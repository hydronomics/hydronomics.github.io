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comments/comment1.xml" ContentType="application/vnd.openxmlformats-officedocument.spreadsheetml.comments+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Notes" sheetId="2" state="visible" r:id="rId2"/>
    <sheet name="Financial Statements" sheetId="3" state="visible" r:id="rId3"/>
    <sheet name="Balance Sheet" sheetId="4" state="visible" r:id="rId4"/>
    <sheet name="Officers &amp; contractors" sheetId="5" state="visible" r:id="rId5"/>
    <sheet name="Revenue (detail)" sheetId="6" state="visible" r:id="rId6"/>
    <sheet name="Operating expenses (detail)" sheetId="7" state="visible" r:id="rId7"/>
    <sheet name="Balance sheet (detail)" sheetId="8" state="visible" r:id="rId8"/>
    <sheet name="Net-assets reconciliation" sheetId="9" state="visible" r:id="rId9"/>
    <sheet name="Cash flow proxies" sheetId="10" state="visible" r:id="rId10"/>
    <sheet name="Ratios" sheetId="11" state="visible" r:id="rId11"/>
    <sheet name="Unit economics" sheetId="12" state="visible" r:id="rId12"/>
    <sheet name="Rate structure" sheetId="13" state="visible" r:id="rId13"/>
    <sheet name="Operational metrics" sheetId="14" state="visible" r:id="rId14"/>
    <sheet name="Supply &amp; weather" sheetId="15" state="visible" r:id="rId15"/>
    <sheet name="How this was built" sheetId="16" state="visible" r:id="rId16"/>
    <sheet name="Sources &amp; audit" sheetId="17" state="visible" r:id="rId17"/>
    <sheet name="Provenance" sheetId="18" state="visible" r:id="rId18"/>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11">
    <font>
      <name val="Calibri"/>
      <family val="2"/>
      <color theme="1"/>
      <sz val="11"/>
      <scheme val="minor"/>
    </font>
    <font>
      <name val="Calibri"/>
      <b val="1"/>
      <color rgb="001F3864"/>
      <sz val="16"/>
    </font>
    <font>
      <name val="Calibri"/>
      <i val="1"/>
      <color rgb="00595959"/>
      <sz val="10"/>
    </font>
    <font>
      <name val="Calibri"/>
      <i val="1"/>
      <color rgb="00808080"/>
      <sz val="9"/>
    </font>
    <font>
      <name val="Calibri"/>
      <b val="1"/>
      <color rgb="00FFFFFF"/>
      <sz val="10"/>
    </font>
    <font>
      <name val="Calibri"/>
      <b val="1"/>
      <color rgb="00FFFFFF"/>
      <sz val="11"/>
    </font>
    <font>
      <name val="Calibri"/>
      <sz val="10"/>
    </font>
    <font>
      <name val="Calibri"/>
      <b val="1"/>
      <sz val="10"/>
    </font>
    <font>
      <name val="Calibri"/>
      <b val="1"/>
      <color rgb="001F3864"/>
      <sz val="10"/>
    </font>
    <font>
      <name val="Calibri"/>
      <b val="1"/>
      <color rgb="00833C00"/>
      <sz val="10"/>
    </font>
    <font>
      <name val="Calibri"/>
      <i val="1"/>
      <color rgb="00A6A6A6"/>
      <sz val="10"/>
    </font>
  </fonts>
  <fills count="7">
    <fill>
      <patternFill/>
    </fill>
    <fill>
      <patternFill patternType="gray125"/>
    </fill>
    <fill>
      <patternFill patternType="solid">
        <fgColor rgb="002E5496"/>
      </patternFill>
    </fill>
    <fill>
      <patternFill patternType="solid">
        <fgColor rgb="001F3864"/>
      </patternFill>
    </fill>
    <fill>
      <patternFill patternType="solid">
        <fgColor rgb="00D9E1F2"/>
      </patternFill>
    </fill>
    <fill>
      <patternFill patternType="solid">
        <fgColor rgb="00E2EFDA"/>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horizontal="left" vertical="top" wrapText="1"/>
    </xf>
    <xf numFmtId="0" fontId="4" fillId="2" borderId="1" applyAlignment="1" pivotButton="0" quotePrefix="0" xfId="0">
      <alignment horizontal="left" vertical="center"/>
    </xf>
    <xf numFmtId="0" fontId="4" fillId="2" borderId="1" applyAlignment="1" pivotButton="0" quotePrefix="0" xfId="0">
      <alignment horizontal="center" vertical="center"/>
    </xf>
    <xf numFmtId="0" fontId="5" fillId="3" borderId="0" pivotButton="0" quotePrefix="0" xfId="0"/>
    <xf numFmtId="0" fontId="0" fillId="3" borderId="0" pivotButton="0" quotePrefix="0" xfId="0"/>
    <xf numFmtId="0" fontId="6" fillId="0" borderId="1" applyAlignment="1" pivotButton="0" quotePrefix="0" xfId="0">
      <alignment horizontal="left" vertical="center"/>
    </xf>
    <xf numFmtId="164" fontId="6" fillId="0" borderId="1" applyAlignment="1" pivotButton="0" quotePrefix="0" xfId="0">
      <alignment horizontal="right"/>
    </xf>
    <xf numFmtId="0" fontId="7" fillId="4" borderId="1" applyAlignment="1" pivotButton="0" quotePrefix="0" xfId="0">
      <alignment horizontal="left" vertical="center"/>
    </xf>
    <xf numFmtId="164" fontId="7" fillId="4" borderId="1" applyAlignment="1" pivotButton="0" quotePrefix="0" xfId="0">
      <alignment horizontal="right"/>
    </xf>
    <xf numFmtId="165" fontId="6" fillId="0" borderId="1" applyAlignment="1" pivotButton="0" quotePrefix="0" xfId="0">
      <alignment horizontal="right"/>
    </xf>
    <xf numFmtId="0" fontId="3" fillId="0" borderId="0" pivotButton="0" quotePrefix="0" xfId="0"/>
    <xf numFmtId="0" fontId="8" fillId="5" borderId="1" applyAlignment="1" pivotButton="0" quotePrefix="0" xfId="0">
      <alignment horizontal="left" vertical="center"/>
    </xf>
    <xf numFmtId="164" fontId="8" fillId="5" borderId="1" applyAlignment="1" pivotButton="0" quotePrefix="0" xfId="0">
      <alignment horizontal="right"/>
    </xf>
    <xf numFmtId="165" fontId="8" fillId="5" borderId="1" applyAlignment="1" pivotButton="0" quotePrefix="0" xfId="0">
      <alignment horizontal="right"/>
    </xf>
    <xf numFmtId="0" fontId="9" fillId="6" borderId="1" applyAlignment="1" pivotButton="0" quotePrefix="0" xfId="0">
      <alignment horizontal="left" vertical="center"/>
    </xf>
    <xf numFmtId="164" fontId="9" fillId="6" borderId="1" applyAlignment="1" pivotButton="0" quotePrefix="0" xfId="0">
      <alignment horizontal="right"/>
    </xf>
    <xf numFmtId="0" fontId="10" fillId="0" borderId="1" applyAlignment="1" pivotButton="0" quotePrefix="0" xfId="0">
      <alignment horizontal="right"/>
    </xf>
    <xf numFmtId="2" fontId="6" fillId="0" borderId="1" applyAlignment="1" pivotButton="0" quotePrefix="0" xfId="0">
      <alignment horizontal="right"/>
    </xf>
    <xf numFmtId="0" fontId="6" fillId="0" borderId="1" applyAlignment="1" pivotButton="0" quotePrefix="0" xfId="0">
      <alignment horizontal="left" vertical="top"/>
    </xf>
    <xf numFmtId="0" fontId="6" fillId="0" borderId="1" applyAlignment="1" pivotButton="0" quotePrefix="0" xfId="0">
      <alignment horizontal="left" vertical="top" wrapText="1"/>
    </xf>
    <xf numFmtId="0" fontId="3" fillId="0" borderId="1" applyAlignment="1" pivotButton="0" quotePrefix="0" xfId="0">
      <alignment horizontal="left" vertical="top" wrapText="1"/>
    </xf>
    <xf numFmtId="0" fontId="8" fillId="0" borderId="1" applyAlignment="1" pivotButton="0" quotePrefix="0" xfId="0">
      <alignment horizontal="center" vertical="center"/>
    </xf>
    <xf numFmtId="0" fontId="6" fillId="0" borderId="1" applyAlignment="1" pivotButton="0" quotePrefix="0" xfId="0">
      <alignment horizontal="right"/>
    </xf>
    <xf numFmtId="0" fontId="2" fillId="0" borderId="0" applyAlignment="1" pivotButton="0" quotePrefix="0" xfId="0">
      <alignment horizontal="left" vertical="top" wrapText="1"/>
    </xf>
    <xf numFmtId="0" fontId="6" fillId="0" borderId="1" applyAlignment="1" pivotButton="0" quotePrefix="0" xfId="0">
      <alignment horizontal="center" vertical="center"/>
    </xf>
    <xf numFmtId="0" fontId="5" fillId="3" borderId="0" applyAlignment="1" pivotButton="0" quotePrefix="0" xfId="0">
      <alignment horizontal="left" vertical="center"/>
    </xf>
    <xf numFmtId="0" fontId="6" fillId="0" borderId="1" pivotButton="0" quotePrefix="0" xfId="0"/>
    <xf numFmtId="0" fontId="10" fillId="0" borderId="1" applyAlignment="1" pivotButton="0" quotePrefix="0" xfId="0">
      <alignment horizontal="left" vertical="center"/>
    </xf>
  </cellXfs>
  <cellStyles count="1">
    <cellStyle name="Normal" xfId="0" builtinId="0" hidden="0"/>
  </cellStyles>
  <dxfs count="1">
    <dxf>
      <font>
        <name val="Calibri"/>
        <b val="1"/>
        <color rgb="009C0006"/>
        <sz val="10"/>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omments/comment1.xml><?xml version="1.0" encoding="utf-8"?>
<comments xmlns="http://schemas.openxmlformats.org/spreadsheetml/2006/main">
  <authors>
    <author>hydronomics</author>
  </authors>
  <commentList>
    <comment ref="B8" authorId="0" shapeId="0">
      <text>
        <t>Sacramento and San Joaquin Valley index classification</t>
      </text>
    </comment>
    <comment ref="C8" authorId="0" shapeId="0">
      <text>
        <t>Sacramento and San Joaquin Valley index classification</t>
      </text>
    </comment>
    <comment ref="D8" authorId="0" shapeId="0">
      <text>
        <t>Sacramento and San Joaquin Valley index classification</t>
      </text>
    </comment>
    <comment ref="E8" authorId="0" shapeId="0">
      <text>
        <t>Sacramento and San Joaquin Valley index classification</t>
      </text>
    </comment>
    <comment ref="F8" authorId="0" shapeId="0">
      <text>
        <t>Sacramento and San Joaquin Valley index classification</t>
      </text>
    </comment>
    <comment ref="B9" authorId="0" shapeId="0">
      <text>
        <t>peak weekly category over Jul 2019-Jun 2020 (severe)</t>
      </text>
    </comment>
    <comment ref="C9" authorId="0" shapeId="0">
      <text>
        <t>peak weekly category over Jul 2020-Jun 2021 (exceptional)</t>
      </text>
    </comment>
    <comment ref="D9" authorId="0" shapeId="0">
      <text>
        <t>peak weekly category over Jul 2021-Jun 2022 (exceptional)</t>
      </text>
    </comment>
    <comment ref="E9" authorId="0" shapeId="0">
      <text>
        <t>peak weekly category over Jul 2022-Jun 2023 (exceptional)</t>
      </text>
    </comment>
    <comment ref="F9" authorId="0" shapeId="0">
      <text>
        <t>peak weekly category over Jul 2023-Jun 2024 (moderate)</t>
      </text>
    </comment>
    <comment ref="B10" authorId="0" shapeId="0">
      <text>
        <t>water-year cumulative 31.7 in / 50 in seasonal normal; statewide SWP-supply index, not local precipitation</t>
      </text>
    </comment>
    <comment ref="C10" authorId="0" shapeId="0">
      <text>
        <t>water-year cumulative 24.0 in / 50 in seasonal normal; statewide SWP-supply index, not local precipitation</t>
      </text>
    </comment>
    <comment ref="D10" authorId="0" shapeId="0">
      <text>
        <t>water-year cumulative 43.0 in / 50 in seasonal normal; statewide SWP-supply index, not local precipitation</t>
      </text>
    </comment>
    <comment ref="E10" authorId="0" shapeId="0">
      <text>
        <t>water-year cumulative 66.6 in / 50 in seasonal normal; statewide SWP-supply index, not local precipitation</t>
      </text>
    </comment>
    <comment ref="F10" authorId="0" shapeId="0">
      <text>
        <t>water-year cumulative 48.2 in / 50 in seasonal normal; statewide SWP-supply index, not local precipitation</t>
      </text>
    </comment>
    <comment ref="B11" authorId="0" shapeId="0">
      <text>
        <t>April 1 statewide Sierra snowpack, percent of average; SWP-import indicator (no per-year API)</t>
      </text>
    </comment>
    <comment ref="C11" authorId="0" shapeId="0">
      <text>
        <t>April 1 statewide Sierra snowpack, percent of average; SWP-import indicator (no per-year API)</t>
      </text>
    </comment>
    <comment ref="D11" authorId="0" shapeId="0">
      <text>
        <t>April 1 statewide Sierra snowpack, percent of average; SWP-import indicator (no per-year API)</t>
      </text>
    </comment>
    <comment ref="E11" authorId="0" shapeId="0">
      <text>
        <t>April 1 statewide Sierra snowpack, percent of average; SWP-import indicator (no per-year API)</t>
      </text>
    </comment>
    <comment ref="F11" authorId="0" shapeId="0">
      <text>
        <t>April 1 statewide Sierra snowpack, percent of average; SWP-import indicator (no per-year API)</t>
      </text>
    </comment>
    <comment ref="B12" authorId="0" shapeId="0">
      <text>
        <t>final State Water Project Table A allocation; published DWR notice (no structured API)</t>
      </text>
    </comment>
    <comment ref="C12" authorId="0" shapeId="0">
      <text>
        <t>final State Water Project Table A allocation; published DWR notice (no structured API)</t>
      </text>
    </comment>
    <comment ref="D12" authorId="0" shapeId="0">
      <text>
        <t>final State Water Project Table A allocation; published DWR notice (no structured API)</t>
      </text>
    </comment>
    <comment ref="E12" authorId="0" shapeId="0">
      <text>
        <t>final State Water Project Table A allocation; published DWR notice (no structured API)</t>
      </text>
    </comment>
    <comment ref="F12" authorId="0" shapeId="0">
      <text>
        <t>final State Water Project Table A allocation; published DWR notice (no structured API)</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F24"/>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32" customWidth="1" min="1" max="1"/>
    <col width="15" customWidth="1" min="2" max="2"/>
    <col width="15" customWidth="1" min="3" max="3"/>
    <col width="15" customWidth="1" min="4" max="4"/>
    <col width="15" customWidth="1" min="5" max="5"/>
    <col width="15" customWidth="1" min="6" max="6"/>
  </cols>
  <sheetData>
    <row r="1">
      <c r="A1" s="1" t="inlineStr">
        <is>
          <t>Bear Valley Mutual Water Company</t>
        </is>
      </c>
    </row>
    <row r="2">
      <c r="A2" s="2" t="inlineStr">
        <is>
          <t>Financial Summary - multi-year overview (USD)</t>
        </is>
      </c>
    </row>
    <row r="3">
      <c r="A3" s="2" t="inlineStr">
        <is>
          <t>Entity ID: cawc_0041   |   Fiscal year ends October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4" t="inlineStr">
        <is>
          <t>Metric</t>
        </is>
      </c>
      <c r="B8" s="5" t="inlineStr">
        <is>
          <t>FY2020</t>
        </is>
      </c>
      <c r="C8" s="5" t="inlineStr">
        <is>
          <t>FY2021</t>
        </is>
      </c>
      <c r="D8" s="5" t="inlineStr">
        <is>
          <t>FY2022</t>
        </is>
      </c>
      <c r="E8" s="5" t="inlineStr">
        <is>
          <t>FY2023</t>
        </is>
      </c>
      <c r="F8" s="5" t="inlineStr">
        <is>
          <t>FY2024</t>
        </is>
      </c>
    </row>
    <row r="9">
      <c r="A9" s="6" t="inlineStr">
        <is>
          <t>Operating results (USD)</t>
        </is>
      </c>
      <c r="B9" s="7" t="n"/>
      <c r="C9" s="7" t="n"/>
      <c r="D9" s="7" t="n"/>
      <c r="E9" s="7" t="n"/>
      <c r="F9" s="7" t="n"/>
    </row>
    <row r="10">
      <c r="A10" s="8" t="inlineStr">
        <is>
          <t xml:space="preserve">    Total revenue</t>
        </is>
      </c>
      <c r="B10" s="9" t="n">
        <v>1521024</v>
      </c>
      <c r="C10" s="9" t="n">
        <v>1467557</v>
      </c>
      <c r="D10" s="9" t="n">
        <v>1450566</v>
      </c>
      <c r="E10" s="9" t="n">
        <v>1702237</v>
      </c>
      <c r="F10" s="9" t="n">
        <v>1818801</v>
      </c>
    </row>
    <row r="11">
      <c r="A11" s="8" t="inlineStr">
        <is>
          <t xml:space="preserve">    Total expenses</t>
        </is>
      </c>
      <c r="B11" s="9" t="n">
        <v>1075784</v>
      </c>
      <c r="C11" s="9" t="n">
        <v>1185067</v>
      </c>
      <c r="D11" s="9" t="n">
        <v>1397380</v>
      </c>
      <c r="E11" s="9" t="n">
        <v>1466456</v>
      </c>
      <c r="F11" s="9" t="n">
        <v>1703071</v>
      </c>
    </row>
    <row r="12">
      <c r="A12" s="10" t="inlineStr">
        <is>
          <t xml:space="preserve">    Net income</t>
        </is>
      </c>
      <c r="B12" s="11" t="n">
        <v>445240</v>
      </c>
      <c r="C12" s="11" t="n">
        <v>282490</v>
      </c>
      <c r="D12" s="11" t="n">
        <v>53186</v>
      </c>
      <c r="E12" s="11" t="n">
        <v>235781</v>
      </c>
      <c r="F12" s="11" t="n">
        <v>115730</v>
      </c>
    </row>
    <row r="14">
      <c r="A14" s="6" t="inlineStr">
        <is>
          <t>Financial position (USD, end of year)</t>
        </is>
      </c>
      <c r="B14" s="7" t="n"/>
      <c r="C14" s="7" t="n"/>
      <c r="D14" s="7" t="n"/>
      <c r="E14" s="7" t="n"/>
      <c r="F14" s="7" t="n"/>
    </row>
    <row r="15">
      <c r="A15" s="8" t="inlineStr">
        <is>
          <t xml:space="preserve">    Total assets</t>
        </is>
      </c>
      <c r="B15" s="9" t="n">
        <v>5098888</v>
      </c>
      <c r="C15" s="9" t="n">
        <v>5418067</v>
      </c>
      <c r="D15" s="9" t="n">
        <v>5439753</v>
      </c>
      <c r="E15" s="9" t="n">
        <v>5683492</v>
      </c>
      <c r="F15" s="9" t="n">
        <v>5782348</v>
      </c>
    </row>
    <row r="16">
      <c r="A16" s="8" t="inlineStr">
        <is>
          <t xml:space="preserve">    Total liabilities</t>
        </is>
      </c>
      <c r="B16" s="9" t="n">
        <v>98940</v>
      </c>
      <c r="C16" s="9" t="n">
        <v>135629</v>
      </c>
      <c r="D16" s="9" t="n">
        <v>160335</v>
      </c>
      <c r="E16" s="9" t="n">
        <v>167093</v>
      </c>
      <c r="F16" s="9" t="n">
        <v>150219</v>
      </c>
    </row>
    <row r="17">
      <c r="A17" s="10" t="inlineStr">
        <is>
          <t xml:space="preserve">    Net assets</t>
        </is>
      </c>
      <c r="B17" s="11" t="n">
        <v>4999948</v>
      </c>
      <c r="C17" s="11" t="n">
        <v>5282438</v>
      </c>
      <c r="D17" s="11" t="n">
        <v>5279418</v>
      </c>
      <c r="E17" s="11" t="n">
        <v>5516399</v>
      </c>
      <c r="F17" s="11" t="n">
        <v>5632129</v>
      </c>
    </row>
    <row r="19">
      <c r="A19" s="6" t="inlineStr">
        <is>
          <t>Headline ratios</t>
        </is>
      </c>
      <c r="B19" s="7" t="n"/>
      <c r="C19" s="7" t="n"/>
      <c r="D19" s="7" t="n"/>
      <c r="E19" s="7" t="n"/>
      <c r="F19" s="7" t="n"/>
    </row>
    <row r="20">
      <c r="A20" s="8" t="inlineStr">
        <is>
          <t xml:space="preserve">    Operating margin</t>
        </is>
      </c>
      <c r="B20" s="12" t="n">
        <v>0.2927238491963309</v>
      </c>
      <c r="C20" s="12" t="n">
        <v>0.192489968021685</v>
      </c>
      <c r="D20" s="12" t="n">
        <v>0.03666568773844141</v>
      </c>
      <c r="E20" s="12" t="n">
        <v>0.1385124398071479</v>
      </c>
      <c r="F20" s="12" t="n">
        <v>0.06362983086110026</v>
      </c>
    </row>
    <row r="21">
      <c r="A21" s="8" t="inlineStr">
        <is>
          <t xml:space="preserve">    Revenue growth (YoY)</t>
        </is>
      </c>
      <c r="B21" s="12" t="n">
        <v>0.01175910269492186</v>
      </c>
      <c r="C21" s="12" t="n">
        <v>-0.03515197656315745</v>
      </c>
      <c r="D21" s="12" t="n">
        <v>-0.01157774451009399</v>
      </c>
      <c r="E21" s="12" t="n">
        <v>0.1734984826612508</v>
      </c>
      <c r="F21" s="12" t="n">
        <v>0.06847695121184653</v>
      </c>
    </row>
    <row r="22">
      <c r="A22" s="8" t="inlineStr">
        <is>
          <t xml:space="preserve">    Return on assets</t>
        </is>
      </c>
      <c r="B22" s="12" t="n">
        <v>0.08732100018670738</v>
      </c>
      <c r="C22" s="12" t="n">
        <v>0.05213852098912767</v>
      </c>
      <c r="D22" s="12" t="n">
        <v>0.00977728216703957</v>
      </c>
      <c r="E22" s="12" t="n">
        <v>0.04148523478171519</v>
      </c>
      <c r="F22" s="12" t="n">
        <v>0.02001436094818229</v>
      </c>
    </row>
    <row r="24" ht="42" customHeight="1">
      <c r="A24" s="3" t="inlineStr">
        <is>
          <t>Figures as reported in source filings (full provenance on the Sources &amp; audit tab). Parentheses denote negatives; ratios are computed upstream in financials_annual.</t>
        </is>
      </c>
    </row>
  </sheetData>
  <mergeCells count="6">
    <mergeCell ref="A24:F24"/>
    <mergeCell ref="A2:F2"/>
    <mergeCell ref="A1:F1"/>
    <mergeCell ref="A5:F5"/>
    <mergeCell ref="A6:F6"/>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5"/>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16" customWidth="1" min="3" max="3"/>
    <col width="90" customWidth="1" min="4" max="4"/>
  </cols>
  <sheetData>
    <row r="1">
      <c r="A1" s="1" t="inlineStr">
        <is>
          <t>Notes</t>
        </is>
      </c>
    </row>
    <row r="2">
      <c r="A2" s="2" t="inlineStr">
        <is>
          <t>Human annotations from the versioned store (data/notes/). Annotations only: they never change a reported figure or a confidence tier.</t>
        </is>
      </c>
    </row>
    <row r="4">
      <c r="A4" s="4" t="inlineStr">
        <is>
          <t>Date</t>
        </is>
      </c>
      <c r="B4" s="4" t="inlineStr">
        <is>
          <t>Tag</t>
        </is>
      </c>
      <c r="C4" s="4" t="inlineStr">
        <is>
          <t>Author</t>
        </is>
      </c>
      <c r="D4" s="4" t="inlineStr">
        <is>
          <t>Note</t>
        </is>
      </c>
    </row>
    <row r="5">
      <c r="A5" s="13" t="inlineStr">
        <is>
          <t>No notes recorded yet.</t>
        </is>
      </c>
    </row>
  </sheetData>
  <mergeCells count="3">
    <mergeCell ref="A1:D1"/>
    <mergeCell ref="A5:D5"/>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s>
  <sheetData>
    <row r="1">
      <c r="A1" s="1" t="inlineStr">
        <is>
          <t>Bear Valley Mutual Water Company</t>
        </is>
      </c>
    </row>
    <row r="2">
      <c r="A2" s="2" t="inlineStr">
        <is>
          <t>Financial Statements - income statement, balance sheet, cash flow, member income test (USD)</t>
        </is>
      </c>
    </row>
    <row r="3">
      <c r="A3" s="2" t="inlineStr">
        <is>
          <t>Entity ID: cawc_0041   |   Fiscal year ends October 31.</t>
        </is>
      </c>
    </row>
    <row r="5">
      <c r="A5" s="6" t="inlineStr">
        <is>
          <t>INCOME STATEMENT - as reported (USD)</t>
        </is>
      </c>
      <c r="B5" s="7" t="n"/>
      <c r="C5" s="7" t="n"/>
      <c r="D5" s="7" t="n"/>
      <c r="E5" s="7" t="n"/>
      <c r="F5" s="7" t="n"/>
    </row>
    <row r="6">
      <c r="A6" s="4" t="inlineStr">
        <is>
          <t>Line item</t>
        </is>
      </c>
      <c r="B6" s="5" t="inlineStr">
        <is>
          <t>FY2020</t>
        </is>
      </c>
      <c r="C6" s="5" t="inlineStr">
        <is>
          <t>FY2021</t>
        </is>
      </c>
      <c r="D6" s="5" t="inlineStr">
        <is>
          <t>FY2022</t>
        </is>
      </c>
      <c r="E6" s="5" t="inlineStr">
        <is>
          <t>FY2023</t>
        </is>
      </c>
      <c r="F6" s="5" t="inlineStr">
        <is>
          <t>FY2024</t>
        </is>
      </c>
    </row>
    <row r="7">
      <c r="A7" s="6" t="inlineStr">
        <is>
          <t>Revenue</t>
        </is>
      </c>
      <c r="B7" s="7" t="n"/>
      <c r="C7" s="7" t="n"/>
      <c r="D7" s="7" t="n"/>
      <c r="E7" s="7" t="n"/>
      <c r="F7" s="7" t="n"/>
    </row>
    <row r="8">
      <c r="A8" s="8" t="inlineStr">
        <is>
          <t xml:space="preserve">    Program service revenue</t>
        </is>
      </c>
      <c r="B8" s="9" t="n">
        <v>1410358</v>
      </c>
      <c r="C8" s="9" t="n">
        <v>1360153</v>
      </c>
      <c r="D8" s="9" t="n">
        <v>1356964</v>
      </c>
      <c r="E8" s="9" t="n">
        <v>1530752</v>
      </c>
      <c r="F8" s="9" t="n">
        <v>1629365</v>
      </c>
    </row>
    <row r="9">
      <c r="A9" s="8" t="inlineStr">
        <is>
          <t xml:space="preserve">    Investment income</t>
        </is>
      </c>
      <c r="B9" s="9" t="n">
        <v>6325</v>
      </c>
      <c r="C9" s="9" t="n">
        <v>1523</v>
      </c>
      <c r="D9" s="9" t="n">
        <v>312</v>
      </c>
      <c r="E9" s="9" t="n">
        <v>41503</v>
      </c>
      <c r="F9" s="9" t="n">
        <v>59888</v>
      </c>
    </row>
    <row r="10">
      <c r="A10" s="8" t="inlineStr">
        <is>
          <t xml:space="preserve">    Net rental income</t>
        </is>
      </c>
      <c r="B10" s="9" t="n">
        <v>84723</v>
      </c>
      <c r="C10" s="9" t="n">
        <v>85259</v>
      </c>
      <c r="D10" s="9" t="n">
        <v>78233</v>
      </c>
      <c r="E10" s="9" t="n">
        <v>121276</v>
      </c>
      <c r="F10" s="9" t="n">
        <v>120061</v>
      </c>
    </row>
    <row r="11">
      <c r="A11" s="8" t="inlineStr">
        <is>
          <t xml:space="preserve">    Net gain/(loss) on investment sales</t>
        </is>
      </c>
      <c r="B11" s="9" t="n"/>
      <c r="C11" s="9" t="n"/>
      <c r="D11" s="9" t="n">
        <v>-3970</v>
      </c>
      <c r="E11" s="9" t="n">
        <v>1000</v>
      </c>
      <c r="F11" s="9" t="n">
        <v>1600</v>
      </c>
    </row>
    <row r="12">
      <c r="A12" s="8" t="inlineStr">
        <is>
          <t xml:space="preserve">    Other revenue</t>
        </is>
      </c>
      <c r="B12" s="9" t="n">
        <v>19618</v>
      </c>
      <c r="C12" s="9" t="n">
        <v>20622</v>
      </c>
      <c r="D12" s="9" t="n">
        <v>19027</v>
      </c>
      <c r="E12" s="9" t="n">
        <v>7706</v>
      </c>
      <c r="F12" s="9" t="n">
        <v>7887</v>
      </c>
    </row>
    <row r="13">
      <c r="A13" s="8" t="inlineStr">
        <is>
          <t xml:space="preserve">    Contributions &amp; grants</t>
        </is>
      </c>
      <c r="B13" s="9" t="n"/>
      <c r="C13" s="9" t="n"/>
      <c r="D13" s="9" t="n"/>
      <c r="E13" s="9" t="n"/>
      <c r="F13" s="9" t="n"/>
    </row>
    <row r="14">
      <c r="A14" s="10" t="inlineStr">
        <is>
          <t>Total revenue</t>
        </is>
      </c>
      <c r="B14" s="11" t="n">
        <v>1521024</v>
      </c>
      <c r="C14" s="11" t="n">
        <v>1467557</v>
      </c>
      <c r="D14" s="11" t="n">
        <v>1450566</v>
      </c>
      <c r="E14" s="11" t="n">
        <v>1702237</v>
      </c>
      <c r="F14" s="11" t="n">
        <v>1818801</v>
      </c>
    </row>
    <row r="16">
      <c r="A16" s="6" t="inlineStr">
        <is>
          <t>Expenses</t>
        </is>
      </c>
      <c r="B16" s="7" t="n"/>
      <c r="C16" s="7" t="n"/>
      <c r="D16" s="7" t="n"/>
      <c r="E16" s="7" t="n"/>
      <c r="F16" s="7" t="n"/>
    </row>
    <row r="17">
      <c r="A17" s="8" t="inlineStr">
        <is>
          <t xml:space="preserve">    Depreciation</t>
        </is>
      </c>
      <c r="B17" s="9" t="n">
        <v>60340</v>
      </c>
      <c r="C17" s="9" t="n">
        <v>64440</v>
      </c>
      <c r="D17" s="9" t="n">
        <v>80022</v>
      </c>
      <c r="E17" s="9" t="n">
        <v>76542</v>
      </c>
      <c r="F17" s="9" t="n">
        <v>72769</v>
      </c>
    </row>
    <row r="18">
      <c r="A18" s="8" t="inlineStr">
        <is>
          <t xml:space="preserve">    Interest expense</t>
        </is>
      </c>
      <c r="B18" s="9" t="n"/>
      <c r="C18" s="9" t="n"/>
      <c r="D18" s="9" t="n"/>
      <c r="E18" s="9" t="n"/>
      <c r="F18" s="9" t="n"/>
    </row>
    <row r="19">
      <c r="A19" s="10" t="inlineStr">
        <is>
          <t>Total expenses</t>
        </is>
      </c>
      <c r="B19" s="11" t="n">
        <v>1075784</v>
      </c>
      <c r="C19" s="11" t="n">
        <v>1185067</v>
      </c>
      <c r="D19" s="11" t="n">
        <v>1397380</v>
      </c>
      <c r="E19" s="11" t="n">
        <v>1466456</v>
      </c>
      <c r="F19" s="11" t="n">
        <v>1703071</v>
      </c>
    </row>
    <row r="21">
      <c r="A21" s="10" t="inlineStr">
        <is>
          <t>Net income</t>
        </is>
      </c>
      <c r="B21" s="11" t="n">
        <v>445240</v>
      </c>
      <c r="C21" s="11" t="n">
        <v>282490</v>
      </c>
      <c r="D21" s="11" t="n">
        <v>53186</v>
      </c>
      <c r="E21" s="11" t="n">
        <v>235781</v>
      </c>
      <c r="F21" s="11" t="n">
        <v>115730</v>
      </c>
    </row>
    <row r="24">
      <c r="A24" s="6" t="inlineStr">
        <is>
          <t>BALANCE SHEET - as reported (USD, end of year)</t>
        </is>
      </c>
      <c r="B24" s="7" t="n"/>
      <c r="C24" s="7" t="n"/>
      <c r="D24" s="7" t="n"/>
      <c r="E24" s="7" t="n"/>
      <c r="F24" s="7" t="n"/>
    </row>
    <row r="25">
      <c r="A25" s="4" t="inlineStr">
        <is>
          <t>Line item</t>
        </is>
      </c>
      <c r="B25" s="5" t="inlineStr">
        <is>
          <t>FY2020</t>
        </is>
      </c>
      <c r="C25" s="5" t="inlineStr">
        <is>
          <t>FY2021</t>
        </is>
      </c>
      <c r="D25" s="5" t="inlineStr">
        <is>
          <t>FY2022</t>
        </is>
      </c>
      <c r="E25" s="5" t="inlineStr">
        <is>
          <t>FY2023</t>
        </is>
      </c>
      <c r="F25" s="5" t="inlineStr">
        <is>
          <t>FY2024</t>
        </is>
      </c>
    </row>
    <row r="26">
      <c r="A26" s="6" t="inlineStr">
        <is>
          <t>Assets</t>
        </is>
      </c>
      <c r="B26" s="7" t="n"/>
      <c r="C26" s="7" t="n"/>
      <c r="D26" s="7" t="n"/>
      <c r="E26" s="7" t="n"/>
      <c r="F26" s="7" t="n"/>
    </row>
    <row r="27">
      <c r="A27" s="8" t="inlineStr">
        <is>
          <t xml:space="preserve">    Cash</t>
        </is>
      </c>
      <c r="B27" s="9" t="n">
        <v>809837</v>
      </c>
      <c r="C27" s="9" t="n">
        <v>657042</v>
      </c>
      <c r="D27" s="9" t="n">
        <v>837082</v>
      </c>
      <c r="E27" s="9" t="n">
        <v>593357</v>
      </c>
      <c r="F27" s="9" t="n">
        <v>555779</v>
      </c>
    </row>
    <row r="28">
      <c r="A28" s="8" t="inlineStr">
        <is>
          <t xml:space="preserve">    Savings &amp; temporary investments</t>
        </is>
      </c>
      <c r="B28" s="9" t="n">
        <v>968669</v>
      </c>
      <c r="C28" s="9" t="n">
        <v>968591</v>
      </c>
      <c r="D28" s="9" t="n">
        <v>968639</v>
      </c>
      <c r="E28" s="9" t="n">
        <v>1456672</v>
      </c>
      <c r="F28" s="9" t="n">
        <v>1516193</v>
      </c>
    </row>
    <row r="29">
      <c r="A29" s="8" t="inlineStr">
        <is>
          <t xml:space="preserve">    Accounts receivable</t>
        </is>
      </c>
      <c r="B29" s="9" t="n">
        <v>118166</v>
      </c>
      <c r="C29" s="9" t="n">
        <v>180891</v>
      </c>
      <c r="D29" s="9" t="n">
        <v>78659</v>
      </c>
      <c r="E29" s="9" t="n">
        <v>104652</v>
      </c>
      <c r="F29" s="9" t="n">
        <v>116589</v>
      </c>
    </row>
    <row r="30">
      <c r="A30" s="8" t="inlineStr">
        <is>
          <t xml:space="preserve">    Inventories</t>
        </is>
      </c>
      <c r="B30" s="9" t="n"/>
      <c r="C30" s="9" t="n"/>
      <c r="D30" s="9" t="n"/>
      <c r="E30" s="9" t="n"/>
      <c r="F30" s="9" t="n"/>
    </row>
    <row r="31">
      <c r="A31" s="8" t="inlineStr">
        <is>
          <t xml:space="preserve">    Prepaid expenses</t>
        </is>
      </c>
      <c r="B31" s="9" t="n">
        <v>349864</v>
      </c>
      <c r="C31" s="9" t="n">
        <v>608561</v>
      </c>
      <c r="D31" s="9" t="n">
        <v>876664</v>
      </c>
      <c r="E31" s="9" t="n">
        <v>921625</v>
      </c>
      <c r="F31" s="9" t="n">
        <v>1011075</v>
      </c>
    </row>
    <row r="32">
      <c r="A32" s="8" t="inlineStr">
        <is>
          <t xml:space="preserve">    Property, plant &amp; equipment (gross)</t>
        </is>
      </c>
      <c r="B32" s="9" t="n">
        <v>2629466</v>
      </c>
      <c r="C32" s="9" t="n">
        <v>2776396</v>
      </c>
      <c r="D32" s="9" t="n">
        <v>2917874</v>
      </c>
      <c r="E32" s="9" t="n">
        <v>2895085</v>
      </c>
      <c r="F32" s="9" t="n">
        <v>2917185</v>
      </c>
    </row>
    <row r="33">
      <c r="A33" s="8" t="inlineStr">
        <is>
          <t xml:space="preserve">    Less: accumulated depreciation</t>
        </is>
      </c>
      <c r="B33" s="9" t="n">
        <v>-1817961</v>
      </c>
      <c r="C33" s="9" t="n">
        <v>-1882400</v>
      </c>
      <c r="D33" s="9" t="n">
        <v>-1947494</v>
      </c>
      <c r="E33" s="9" t="n">
        <v>-1992687</v>
      </c>
      <c r="F33" s="9" t="n">
        <v>-2039261</v>
      </c>
    </row>
    <row r="34">
      <c r="A34" s="10" t="inlineStr">
        <is>
          <t xml:space="preserve">    Net property, plant &amp; equipment</t>
        </is>
      </c>
      <c r="B34" s="11" t="n">
        <v>811505</v>
      </c>
      <c r="C34" s="11" t="n">
        <v>893996</v>
      </c>
      <c r="D34" s="11" t="n">
        <v>970380</v>
      </c>
      <c r="E34" s="11" t="n">
        <v>902398</v>
      </c>
      <c r="F34" s="11" t="n">
        <v>877924</v>
      </c>
    </row>
    <row r="35">
      <c r="A35" s="10" t="inlineStr">
        <is>
          <t>Total assets</t>
        </is>
      </c>
      <c r="B35" s="11" t="n">
        <v>5098888</v>
      </c>
      <c r="C35" s="11" t="n">
        <v>5418067</v>
      </c>
      <c r="D35" s="11" t="n">
        <v>5439753</v>
      </c>
      <c r="E35" s="11" t="n">
        <v>5683492</v>
      </c>
      <c r="F35" s="11" t="n">
        <v>5782348</v>
      </c>
    </row>
    <row r="37">
      <c r="A37" s="6" t="inlineStr">
        <is>
          <t>Liabilities</t>
        </is>
      </c>
      <c r="B37" s="7" t="n"/>
      <c r="C37" s="7" t="n"/>
      <c r="D37" s="7" t="n"/>
      <c r="E37" s="7" t="n"/>
      <c r="F37" s="7" t="n"/>
    </row>
    <row r="38">
      <c r="A38" s="8" t="inlineStr">
        <is>
          <t xml:space="preserve">    Accounts payable</t>
        </is>
      </c>
      <c r="B38" s="9" t="n">
        <v>66568</v>
      </c>
      <c r="C38" s="9" t="n">
        <v>79098</v>
      </c>
      <c r="D38" s="9" t="n">
        <v>40874</v>
      </c>
      <c r="E38" s="9" t="n">
        <v>57134</v>
      </c>
      <c r="F38" s="9" t="n">
        <v>33310</v>
      </c>
    </row>
    <row r="39">
      <c r="A39" s="8" t="inlineStr">
        <is>
          <t xml:space="preserve">    Mortgages &amp; notes payable</t>
        </is>
      </c>
      <c r="B39" s="9" t="n"/>
      <c r="C39" s="9" t="n"/>
      <c r="D39" s="9" t="n"/>
      <c r="E39" s="9" t="n"/>
      <c r="F39" s="9" t="n"/>
    </row>
    <row r="40">
      <c r="A40" s="10" t="inlineStr">
        <is>
          <t>Total liabilities</t>
        </is>
      </c>
      <c r="B40" s="11" t="n">
        <v>98940</v>
      </c>
      <c r="C40" s="11" t="n">
        <v>135629</v>
      </c>
      <c r="D40" s="11" t="n">
        <v>160335</v>
      </c>
      <c r="E40" s="11" t="n">
        <v>167093</v>
      </c>
      <c r="F40" s="11" t="n">
        <v>150219</v>
      </c>
    </row>
    <row r="42">
      <c r="A42" s="6" t="inlineStr">
        <is>
          <t>Net Assets / Equity</t>
        </is>
      </c>
      <c r="B42" s="7" t="n"/>
      <c r="C42" s="7" t="n"/>
      <c r="D42" s="7" t="n"/>
      <c r="E42" s="7" t="n"/>
      <c r="F42" s="7" t="n"/>
    </row>
    <row r="43">
      <c r="A43" s="8" t="inlineStr">
        <is>
          <t xml:space="preserve">    Capital stock</t>
        </is>
      </c>
      <c r="B43" s="9" t="n">
        <v>1250685</v>
      </c>
      <c r="C43" s="9" t="n">
        <v>1250685</v>
      </c>
      <c r="D43" s="9" t="n">
        <v>1250685</v>
      </c>
      <c r="E43" s="9" t="n">
        <v>1251885</v>
      </c>
      <c r="F43" s="9" t="n">
        <v>1251885</v>
      </c>
    </row>
    <row r="44">
      <c r="A44" s="8" t="inlineStr">
        <is>
          <t xml:space="preserve">    Paid-in capital</t>
        </is>
      </c>
      <c r="B44" s="9" t="n">
        <v>625343</v>
      </c>
      <c r="C44" s="9" t="n">
        <v>625343</v>
      </c>
      <c r="D44" s="9" t="n">
        <v>625343</v>
      </c>
      <c r="E44" s="9" t="n">
        <v>625343</v>
      </c>
      <c r="F44" s="9" t="n">
        <v>625343</v>
      </c>
    </row>
    <row r="45">
      <c r="A45" s="8" t="inlineStr">
        <is>
          <t xml:space="preserve">    Retained earnings</t>
        </is>
      </c>
      <c r="B45" s="9" t="n">
        <v>3123920</v>
      </c>
      <c r="C45" s="9" t="n">
        <v>3406410</v>
      </c>
      <c r="D45" s="9" t="n">
        <v>3403390</v>
      </c>
      <c r="E45" s="9" t="n">
        <v>3639171</v>
      </c>
      <c r="F45" s="9" t="n">
        <v>3754901</v>
      </c>
    </row>
    <row r="46">
      <c r="A46" s="10" t="inlineStr">
        <is>
          <t>Net assets</t>
        </is>
      </c>
      <c r="B46" s="11" t="n">
        <v>4999948</v>
      </c>
      <c r="C46" s="11" t="n">
        <v>5282438</v>
      </c>
      <c r="D46" s="11" t="n">
        <v>5279418</v>
      </c>
      <c r="E46" s="11" t="n">
        <v>5516399</v>
      </c>
      <c r="F46" s="11" t="n">
        <v>5632129</v>
      </c>
    </row>
    <row r="49">
      <c r="A49" s="6" t="inlineStr">
        <is>
          <t>CASH FLOW - derived proxy (USD)</t>
        </is>
      </c>
      <c r="B49" s="7" t="n"/>
      <c r="C49" s="7" t="n"/>
      <c r="D49" s="7" t="n"/>
      <c r="E49" s="7" t="n"/>
      <c r="F49" s="7" t="n"/>
    </row>
    <row r="50">
      <c r="A50" s="4" t="inlineStr">
        <is>
          <t>Proxy line</t>
        </is>
      </c>
      <c r="B50" s="5" t="inlineStr">
        <is>
          <t>FY2020</t>
        </is>
      </c>
      <c r="C50" s="5" t="inlineStr">
        <is>
          <t>FY2021</t>
        </is>
      </c>
      <c r="D50" s="5" t="inlineStr">
        <is>
          <t>FY2022</t>
        </is>
      </c>
      <c r="E50" s="5" t="inlineStr">
        <is>
          <t>FY2023</t>
        </is>
      </c>
      <c r="F50" s="5" t="inlineStr">
        <is>
          <t>FY2024</t>
        </is>
      </c>
    </row>
    <row r="51">
      <c r="A51" s="6" t="inlineStr">
        <is>
          <t>Operating</t>
        </is>
      </c>
      <c r="B51" s="7" t="n"/>
      <c r="C51" s="7" t="n"/>
      <c r="D51" s="7" t="n"/>
      <c r="E51" s="7" t="n"/>
      <c r="F51" s="7" t="n"/>
    </row>
    <row r="52">
      <c r="A52" s="8" t="inlineStr">
        <is>
          <t xml:space="preserve">    Net income</t>
        </is>
      </c>
      <c r="B52" s="9" t="n">
        <v>445240</v>
      </c>
      <c r="C52" s="9" t="n">
        <v>282490</v>
      </c>
      <c r="D52" s="9" t="n">
        <v>53186</v>
      </c>
      <c r="E52" s="9" t="n">
        <v>235781</v>
      </c>
      <c r="F52" s="9" t="n">
        <v>115730</v>
      </c>
    </row>
    <row r="53">
      <c r="A53" s="8" t="inlineStr">
        <is>
          <t xml:space="preserve">    + Depreciation (reported)</t>
        </is>
      </c>
      <c r="B53" s="9" t="n">
        <v>60340</v>
      </c>
      <c r="C53" s="9" t="n">
        <v>64440</v>
      </c>
      <c r="D53" s="9" t="n">
        <v>80022</v>
      </c>
      <c r="E53" s="9" t="n">
        <v>76542</v>
      </c>
      <c r="F53" s="9" t="n">
        <v>72769</v>
      </c>
    </row>
    <row r="54">
      <c r="A54" s="8" t="inlineStr">
        <is>
          <t xml:space="preserve">    − Δ Accounts receivable</t>
        </is>
      </c>
      <c r="B54" s="9" t="n"/>
      <c r="C54" s="9" t="n">
        <v>-62725</v>
      </c>
      <c r="D54" s="9" t="n">
        <v>102232</v>
      </c>
      <c r="E54" s="9" t="n">
        <v>-25993</v>
      </c>
      <c r="F54" s="9" t="n">
        <v>-11937</v>
      </c>
    </row>
    <row r="55">
      <c r="A55" s="8" t="inlineStr">
        <is>
          <t xml:space="preserve">    − Δ Inventories</t>
        </is>
      </c>
      <c r="B55" s="9" t="n"/>
      <c r="C55" s="9" t="n"/>
      <c r="D55" s="9" t="n"/>
      <c r="E55" s="9" t="n"/>
      <c r="F55" s="9" t="n"/>
    </row>
    <row r="56">
      <c r="A56" s="8" t="inlineStr">
        <is>
          <t xml:space="preserve">    − Δ Prepaid expenses</t>
        </is>
      </c>
      <c r="B56" s="9" t="n"/>
      <c r="C56" s="9" t="n">
        <v>-258697</v>
      </c>
      <c r="D56" s="9" t="n">
        <v>-268103</v>
      </c>
      <c r="E56" s="9" t="n">
        <v>-44961</v>
      </c>
      <c r="F56" s="9" t="n">
        <v>-89450</v>
      </c>
    </row>
    <row r="57">
      <c r="A57" s="8" t="inlineStr">
        <is>
          <t xml:space="preserve">    + Δ Accounts payable</t>
        </is>
      </c>
      <c r="B57" s="9" t="n"/>
      <c r="C57" s="9" t="n">
        <v>12530</v>
      </c>
      <c r="D57" s="9" t="n">
        <v>-38224</v>
      </c>
      <c r="E57" s="9" t="n">
        <v>16260</v>
      </c>
      <c r="F57" s="9" t="n">
        <v>-23824</v>
      </c>
    </row>
    <row r="58">
      <c r="A58" s="10" t="inlineStr">
        <is>
          <t xml:space="preserve">    Operating cash flow proxy</t>
        </is>
      </c>
      <c r="B58" s="11" t="n"/>
      <c r="C58" s="11" t="n">
        <v>38038</v>
      </c>
      <c r="D58" s="11" t="n">
        <v>-70887</v>
      </c>
      <c r="E58" s="11" t="n">
        <v>257629</v>
      </c>
      <c r="F58" s="11" t="n">
        <v>63288</v>
      </c>
    </row>
    <row r="60">
      <c r="A60" s="6" t="inlineStr">
        <is>
          <t>Investing</t>
        </is>
      </c>
      <c r="B60" s="7" t="n"/>
      <c r="C60" s="7" t="n"/>
      <c r="D60" s="7" t="n"/>
      <c r="E60" s="7" t="n"/>
      <c r="F60" s="7" t="n"/>
    </row>
    <row r="61">
      <c r="A61" s="8" t="inlineStr">
        <is>
          <t xml:space="preserve">    − Δ PP&amp;E gross (capex proxy)</t>
        </is>
      </c>
      <c r="B61" s="9" t="n"/>
      <c r="C61" s="9" t="n">
        <v>-146930</v>
      </c>
      <c r="D61" s="9" t="n">
        <v>-141478</v>
      </c>
      <c r="E61" s="9" t="n">
        <v>22789</v>
      </c>
      <c r="F61" s="9" t="n">
        <v>-22100</v>
      </c>
    </row>
    <row r="63">
      <c r="A63" s="6" t="inlineStr">
        <is>
          <t>Financing</t>
        </is>
      </c>
      <c r="B63" s="7" t="n"/>
      <c r="C63" s="7" t="n"/>
      <c r="D63" s="7" t="n"/>
      <c r="E63" s="7" t="n"/>
      <c r="F63" s="7" t="n"/>
    </row>
    <row r="64">
      <c r="A64" s="8" t="inlineStr">
        <is>
          <t xml:space="preserve">    Δ Mortgages &amp; notes payable</t>
        </is>
      </c>
      <c r="B64" s="9" t="n"/>
      <c r="C64" s="9" t="n"/>
      <c r="D64" s="9" t="n"/>
      <c r="E64" s="9" t="n"/>
      <c r="F64" s="9" t="n"/>
    </row>
    <row r="66">
      <c r="A66" s="6" t="inlineStr">
        <is>
          <t>Reconciliation</t>
        </is>
      </c>
      <c r="B66" s="7" t="n"/>
      <c r="C66" s="7" t="n"/>
      <c r="D66" s="7" t="n"/>
      <c r="E66" s="7" t="n"/>
      <c r="F66" s="7" t="n"/>
    </row>
    <row r="67">
      <c r="A67" s="10" t="inlineStr">
        <is>
          <t xml:space="preserve">    Δ Cash + temp. investments (actual)</t>
        </is>
      </c>
      <c r="B67" s="11" t="n"/>
      <c r="C67" s="11" t="n">
        <v>-152873</v>
      </c>
      <c r="D67" s="11" t="n">
        <v>180088</v>
      </c>
      <c r="E67" s="11" t="n">
        <v>244308</v>
      </c>
      <c r="F67" s="11" t="n">
        <v>21943</v>
      </c>
    </row>
    <row r="69" ht="42" customHeight="1">
      <c r="A69" s="3" t="inlineStr">
        <is>
          <t>Income statement and balance sheet are as reported in source filings (full provenance on the Sources &amp; audit tab). The cash flow block is a PROXY: the filings contain no statement of cash flows, so it is derived from net income, reported depreciation, and year-over-year balance-sheet changes - treat as directional. The earliest year has no prior period, so its delta cells are blank. Parentheses denote negatives.</t>
        </is>
      </c>
    </row>
    <row r="71">
      <c r="A71" s="6" t="inlineStr">
        <is>
          <t>MEMBER INCOME TEST - Form 990 Part V (501(c)(12))</t>
        </is>
      </c>
      <c r="B71" s="7" t="n"/>
      <c r="C71" s="7" t="n"/>
      <c r="D71" s="7" t="n"/>
      <c r="E71" s="7" t="n"/>
      <c r="F71" s="7" t="n"/>
    </row>
    <row r="72">
      <c r="A72" s="4" t="inlineStr">
        <is>
          <t>Part V line 11</t>
        </is>
      </c>
      <c r="B72" s="5" t="inlineStr">
        <is>
          <t>FY2020</t>
        </is>
      </c>
      <c r="C72" s="5" t="inlineStr">
        <is>
          <t>FY2021</t>
        </is>
      </c>
      <c r="D72" s="5" t="inlineStr">
        <is>
          <t>FY2022</t>
        </is>
      </c>
      <c r="E72" s="5" t="inlineStr">
        <is>
          <t>FY2023</t>
        </is>
      </c>
      <c r="F72" s="5" t="inlineStr">
        <is>
          <t>FY2024</t>
        </is>
      </c>
    </row>
    <row r="73">
      <c r="A73" s="8" t="inlineStr">
        <is>
          <t xml:space="preserve">    11a. Gross income from members or shareholders</t>
        </is>
      </c>
      <c r="B73" s="9" t="n">
        <v>1411647</v>
      </c>
      <c r="C73" s="9" t="n">
        <v>1362455</v>
      </c>
      <c r="D73" s="9" t="n">
        <v>13561964</v>
      </c>
      <c r="E73" s="9" t="n">
        <v>1531808</v>
      </c>
      <c r="F73" s="9" t="n">
        <v>1630484</v>
      </c>
    </row>
    <row r="74">
      <c r="A74" s="8" t="inlineStr">
        <is>
          <t xml:space="preserve">    11b. Gross income from other sources</t>
        </is>
      </c>
      <c r="B74" s="9" t="n">
        <v>109377</v>
      </c>
      <c r="C74" s="9" t="n">
        <v>105101</v>
      </c>
      <c r="D74" s="9" t="n">
        <v>89078</v>
      </c>
      <c r="E74" s="9" t="n">
        <v>170429</v>
      </c>
      <c r="F74" s="9" t="n">
        <v>188318</v>
      </c>
    </row>
    <row r="75">
      <c r="A75" s="14" t="inlineStr">
        <is>
          <t>Total gross income (11a + 11b)</t>
        </is>
      </c>
      <c r="B75" s="15">
        <f>SUM(B73,B74)</f>
        <v/>
      </c>
      <c r="C75" s="15">
        <f>SUM(C73,C74)</f>
        <v/>
      </c>
      <c r="D75" s="15">
        <f>SUM(D73,D74)</f>
        <v/>
      </c>
      <c r="E75" s="15">
        <f>SUM(E73,E74)</f>
        <v/>
      </c>
      <c r="F75" s="15">
        <f>SUM(F73,F74)</f>
        <v/>
      </c>
    </row>
    <row r="76">
      <c r="A76" s="14" t="inlineStr">
        <is>
          <t>Member income share (11a / total)</t>
        </is>
      </c>
      <c r="B76" s="16">
        <f>IF(B75=0,"",B73/B75)</f>
        <v/>
      </c>
      <c r="C76" s="16">
        <f>IF(C75=0,"",C73/C75)</f>
        <v/>
      </c>
      <c r="D76" s="16">
        <f>IF(D75=0,"",D73/D75)</f>
        <v/>
      </c>
      <c r="E76" s="16">
        <f>IF(E75=0,"",E73/E75)</f>
        <v/>
      </c>
      <c r="F76" s="16">
        <f>IF(F75=0,"",F73/F75)</f>
        <v/>
      </c>
    </row>
    <row r="78" ht="42" customHeight="1">
      <c r="A78" s="3" t="inlineStr">
        <is>
          <t>A 501(c)(12) mutual water company must collect at least 85 percent of its gross income from members (the member income share above). Figures are as filed on Part V line 11; the total and share are live formulas. Every figure's citation and confidence are on the Sources &amp; audit tab.</t>
        </is>
      </c>
    </row>
  </sheetData>
  <mergeCells count="5">
    <mergeCell ref="A2:F2"/>
    <mergeCell ref="A78:F78"/>
    <mergeCell ref="A1:F1"/>
    <mergeCell ref="A3:F3"/>
    <mergeCell ref="A69:F6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8" customWidth="1" min="1" max="1"/>
    <col width="15" customWidth="1" min="2" max="2"/>
    <col width="15" customWidth="1" min="3" max="3"/>
    <col width="15" customWidth="1" min="4" max="4"/>
    <col width="15" customWidth="1" min="5" max="5"/>
    <col width="15" customWidth="1" min="6" max="6"/>
  </cols>
  <sheetData>
    <row r="1">
      <c r="A1" s="1" t="inlineStr">
        <is>
          <t>Bear Valley Mutual Water Company</t>
        </is>
      </c>
    </row>
    <row r="2">
      <c r="A2" s="2" t="inlineStr">
        <is>
          <t>Balance Sheet - as reported (USD, end of year)</t>
        </is>
      </c>
    </row>
    <row r="3">
      <c r="A3" s="2" t="inlineStr">
        <is>
          <t>Entity ID: cawc_0041   |   Fiscal year ends October 31.</t>
        </is>
      </c>
    </row>
    <row r="5">
      <c r="A5" s="4" t="inlineStr">
        <is>
          <t>Line item</t>
        </is>
      </c>
      <c r="B5" s="5" t="inlineStr">
        <is>
          <t>FY2020</t>
        </is>
      </c>
      <c r="C5" s="5" t="inlineStr">
        <is>
          <t>FY2021</t>
        </is>
      </c>
      <c r="D5" s="5" t="inlineStr">
        <is>
          <t>FY2022</t>
        </is>
      </c>
      <c r="E5" s="5" t="inlineStr">
        <is>
          <t>FY2023</t>
        </is>
      </c>
      <c r="F5" s="5" t="inlineStr">
        <is>
          <t>FY2024</t>
        </is>
      </c>
    </row>
    <row r="6">
      <c r="A6" s="6" t="inlineStr">
        <is>
          <t>Assets</t>
        </is>
      </c>
      <c r="B6" s="7" t="n"/>
      <c r="C6" s="7" t="n"/>
      <c r="D6" s="7" t="n"/>
      <c r="E6" s="7" t="n"/>
      <c r="F6" s="7" t="n"/>
    </row>
    <row r="7">
      <c r="A7" s="8" t="inlineStr">
        <is>
          <t xml:space="preserve">    Cash</t>
        </is>
      </c>
      <c r="B7" s="9" t="n">
        <v>809837</v>
      </c>
      <c r="C7" s="9" t="n">
        <v>657042</v>
      </c>
      <c r="D7" s="9" t="n">
        <v>837082</v>
      </c>
      <c r="E7" s="9" t="n">
        <v>593357</v>
      </c>
      <c r="F7" s="9" t="n">
        <v>555779</v>
      </c>
    </row>
    <row r="8">
      <c r="A8" s="8" t="inlineStr">
        <is>
          <t xml:space="preserve">    Savings &amp; temporary investments</t>
        </is>
      </c>
      <c r="B8" s="9" t="n">
        <v>968669</v>
      </c>
      <c r="C8" s="9" t="n">
        <v>968591</v>
      </c>
      <c r="D8" s="9" t="n">
        <v>968639</v>
      </c>
      <c r="E8" s="9" t="n">
        <v>1456672</v>
      </c>
      <c r="F8" s="9" t="n">
        <v>1516193</v>
      </c>
    </row>
    <row r="9">
      <c r="A9" s="8" t="inlineStr">
        <is>
          <t xml:space="preserve">    Accounts receivable</t>
        </is>
      </c>
      <c r="B9" s="9" t="n">
        <v>118166</v>
      </c>
      <c r="C9" s="9" t="n">
        <v>180891</v>
      </c>
      <c r="D9" s="9" t="n">
        <v>78659</v>
      </c>
      <c r="E9" s="9" t="n">
        <v>104652</v>
      </c>
      <c r="F9" s="9" t="n">
        <v>116589</v>
      </c>
    </row>
    <row r="10">
      <c r="A10" s="8" t="inlineStr">
        <is>
          <t xml:space="preserve">    Inventories</t>
        </is>
      </c>
      <c r="B10" s="9" t="n"/>
      <c r="C10" s="9" t="n"/>
      <c r="D10" s="9" t="n"/>
      <c r="E10" s="9" t="n"/>
      <c r="F10" s="9" t="n"/>
    </row>
    <row r="11">
      <c r="A11" s="8" t="inlineStr">
        <is>
          <t xml:space="preserve">    Prepaid expenses</t>
        </is>
      </c>
      <c r="B11" s="9" t="n">
        <v>349864</v>
      </c>
      <c r="C11" s="9" t="n">
        <v>608561</v>
      </c>
      <c r="D11" s="9" t="n">
        <v>876664</v>
      </c>
      <c r="E11" s="9" t="n">
        <v>921625</v>
      </c>
      <c r="F11" s="9" t="n">
        <v>1011075</v>
      </c>
    </row>
    <row r="12">
      <c r="A12" s="8" t="inlineStr">
        <is>
          <t xml:space="preserve">    Property, plant &amp; equipment (gross)</t>
        </is>
      </c>
      <c r="B12" s="9" t="n">
        <v>2629466</v>
      </c>
      <c r="C12" s="9" t="n">
        <v>2776396</v>
      </c>
      <c r="D12" s="9" t="n">
        <v>2917874</v>
      </c>
      <c r="E12" s="9" t="n">
        <v>2895085</v>
      </c>
      <c r="F12" s="9" t="n">
        <v>2917185</v>
      </c>
    </row>
    <row r="13">
      <c r="A13" s="8" t="inlineStr">
        <is>
          <t xml:space="preserve">    Less: accumulated depreciation</t>
        </is>
      </c>
      <c r="B13" s="9" t="n">
        <v>-1817961</v>
      </c>
      <c r="C13" s="9" t="n">
        <v>-1882400</v>
      </c>
      <c r="D13" s="9" t="n">
        <v>-1947494</v>
      </c>
      <c r="E13" s="9" t="n">
        <v>-1992687</v>
      </c>
      <c r="F13" s="9" t="n">
        <v>-2039261</v>
      </c>
    </row>
    <row r="14">
      <c r="A14" s="10" t="inlineStr">
        <is>
          <t xml:space="preserve">    Net property, plant &amp; equipment</t>
        </is>
      </c>
      <c r="B14" s="11" t="n">
        <v>811505</v>
      </c>
      <c r="C14" s="11" t="n">
        <v>893996</v>
      </c>
      <c r="D14" s="11" t="n">
        <v>970380</v>
      </c>
      <c r="E14" s="11" t="n">
        <v>902398</v>
      </c>
      <c r="F14" s="11" t="n">
        <v>877924</v>
      </c>
    </row>
    <row r="15">
      <c r="A15" s="10" t="inlineStr">
        <is>
          <t>Total assets</t>
        </is>
      </c>
      <c r="B15" s="11" t="n">
        <v>5098888</v>
      </c>
      <c r="C15" s="11" t="n">
        <v>5418067</v>
      </c>
      <c r="D15" s="11" t="n">
        <v>5439753</v>
      </c>
      <c r="E15" s="11" t="n">
        <v>5683492</v>
      </c>
      <c r="F15" s="11" t="n">
        <v>5782348</v>
      </c>
    </row>
    <row r="17">
      <c r="A17" s="6" t="inlineStr">
        <is>
          <t>Liabilities</t>
        </is>
      </c>
      <c r="B17" s="7" t="n"/>
      <c r="C17" s="7" t="n"/>
      <c r="D17" s="7" t="n"/>
      <c r="E17" s="7" t="n"/>
      <c r="F17" s="7" t="n"/>
    </row>
    <row r="18">
      <c r="A18" s="8" t="inlineStr">
        <is>
          <t xml:space="preserve">    Accounts payable</t>
        </is>
      </c>
      <c r="B18" s="9" t="n">
        <v>66568</v>
      </c>
      <c r="C18" s="9" t="n">
        <v>79098</v>
      </c>
      <c r="D18" s="9" t="n">
        <v>40874</v>
      </c>
      <c r="E18" s="9" t="n">
        <v>57134</v>
      </c>
      <c r="F18" s="9" t="n">
        <v>33310</v>
      </c>
    </row>
    <row r="19">
      <c r="A19" s="8" t="inlineStr">
        <is>
          <t xml:space="preserve">    Mortgages &amp; notes payable</t>
        </is>
      </c>
      <c r="B19" s="9" t="n"/>
      <c r="C19" s="9" t="n"/>
      <c r="D19" s="9" t="n"/>
      <c r="E19" s="9" t="n"/>
      <c r="F19" s="9" t="n"/>
    </row>
    <row r="20">
      <c r="A20" s="10" t="inlineStr">
        <is>
          <t>Total liabilities</t>
        </is>
      </c>
      <c r="B20" s="11" t="n">
        <v>98940</v>
      </c>
      <c r="C20" s="11" t="n">
        <v>135629</v>
      </c>
      <c r="D20" s="11" t="n">
        <v>160335</v>
      </c>
      <c r="E20" s="11" t="n">
        <v>167093</v>
      </c>
      <c r="F20" s="11" t="n">
        <v>150219</v>
      </c>
    </row>
    <row r="22">
      <c r="A22" s="6" t="inlineStr">
        <is>
          <t>Net Assets / Equity</t>
        </is>
      </c>
      <c r="B22" s="7" t="n"/>
      <c r="C22" s="7" t="n"/>
      <c r="D22" s="7" t="n"/>
      <c r="E22" s="7" t="n"/>
      <c r="F22" s="7" t="n"/>
    </row>
    <row r="23">
      <c r="A23" s="8" t="inlineStr">
        <is>
          <t xml:space="preserve">    Capital stock</t>
        </is>
      </c>
      <c r="B23" s="9" t="n">
        <v>1250685</v>
      </c>
      <c r="C23" s="9" t="n">
        <v>1250685</v>
      </c>
      <c r="D23" s="9" t="n">
        <v>1250685</v>
      </c>
      <c r="E23" s="9" t="n">
        <v>1251885</v>
      </c>
      <c r="F23" s="9" t="n">
        <v>1251885</v>
      </c>
    </row>
    <row r="24">
      <c r="A24" s="8" t="inlineStr">
        <is>
          <t xml:space="preserve">    Paid-in capital</t>
        </is>
      </c>
      <c r="B24" s="9" t="n">
        <v>625343</v>
      </c>
      <c r="C24" s="9" t="n">
        <v>625343</v>
      </c>
      <c r="D24" s="9" t="n">
        <v>625343</v>
      </c>
      <c r="E24" s="9" t="n">
        <v>625343</v>
      </c>
      <c r="F24" s="9" t="n">
        <v>625343</v>
      </c>
    </row>
    <row r="25">
      <c r="A25" s="8" t="inlineStr">
        <is>
          <t xml:space="preserve">    Retained earnings</t>
        </is>
      </c>
      <c r="B25" s="9" t="n">
        <v>3123920</v>
      </c>
      <c r="C25" s="9" t="n">
        <v>3406410</v>
      </c>
      <c r="D25" s="9" t="n">
        <v>3403390</v>
      </c>
      <c r="E25" s="9" t="n">
        <v>3639171</v>
      </c>
      <c r="F25" s="9" t="n">
        <v>3754901</v>
      </c>
    </row>
    <row r="26">
      <c r="A26" s="10" t="inlineStr">
        <is>
          <t>Net assets</t>
        </is>
      </c>
      <c r="B26" s="11" t="n">
        <v>4999948</v>
      </c>
      <c r="C26" s="11" t="n">
        <v>5282438</v>
      </c>
      <c r="D26" s="11" t="n">
        <v>5279418</v>
      </c>
      <c r="E26" s="11" t="n">
        <v>5516399</v>
      </c>
      <c r="F26" s="11" t="n">
        <v>5632129</v>
      </c>
    </row>
    <row r="28">
      <c r="A28" s="8" t="inlineStr">
        <is>
          <t>Balance check (assets − liab. − net assets)</t>
        </is>
      </c>
      <c r="B28" s="9" t="n">
        <v>0</v>
      </c>
      <c r="C28" s="9" t="n">
        <v>0</v>
      </c>
      <c r="D28" s="9" t="n">
        <v>0</v>
      </c>
      <c r="E28" s="9" t="n">
        <v>0</v>
      </c>
      <c r="F28" s="9" t="n">
        <v>0</v>
      </c>
    </row>
    <row r="30" ht="42" customHeight="1">
      <c r="A30" s="3" t="inlineStr">
        <is>
          <t>Net PP&amp;E is the reported ppe_net column (gross less accumulated depreciation). The balance check should be ~0 where all three totals are reported; a non-zero value flags a reporting or extraction discrepancy worth reviewing.</t>
        </is>
      </c>
    </row>
  </sheetData>
  <mergeCells count="4">
    <mergeCell ref="A3:F3"/>
    <mergeCell ref="A2:F2"/>
    <mergeCell ref="A1:F1"/>
    <mergeCell ref="A30:F3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4"/>
  <sheetViews>
    <sheetView workbookViewId="0">
      <pane ySplit="5" topLeftCell="A6" activePane="bottomLeft" state="frozen"/>
      <selection pane="bottomLeft" activeCell="A1" sqref="A1"/>
    </sheetView>
  </sheetViews>
  <sheetFormatPr baseColWidth="8" defaultRowHeight="15"/>
  <cols>
    <col width="34" customWidth="1" min="1" max="1"/>
    <col width="18" customWidth="1" min="2" max="2"/>
    <col width="18" customWidth="1" min="3" max="3"/>
    <col width="18" customWidth="1" min="4" max="4"/>
    <col width="18" customWidth="1" min="5" max="5"/>
    <col width="18" customWidth="1" min="6" max="6"/>
  </cols>
  <sheetData>
    <row r="1">
      <c r="A1" s="1" t="inlineStr">
        <is>
          <t>Bear Valley Mutual Water Company</t>
        </is>
      </c>
    </row>
    <row r="2">
      <c r="A2" s="2" t="inlineStr">
        <is>
          <t>Officers, Directors &amp; Contractors - Form 990 Part VII (FY2024; USD)</t>
        </is>
      </c>
    </row>
    <row r="3">
      <c r="A3" s="2" t="inlineStr">
        <is>
          <t>Entity ID: cawc_0041   |   Fiscal year ends October 31.</t>
        </is>
      </c>
    </row>
    <row r="5">
      <c r="A5" s="6" t="inlineStr">
        <is>
          <t>Section A - Officers, directors, trustees, key employees</t>
        </is>
      </c>
      <c r="B5" s="7" t="n"/>
      <c r="C5" s="7" t="n"/>
      <c r="D5" s="7" t="n"/>
      <c r="E5" s="7" t="n"/>
      <c r="F5" s="7" t="n"/>
    </row>
    <row r="6">
      <c r="A6" s="5" t="inlineStr">
        <is>
          <t>Name</t>
        </is>
      </c>
      <c r="B6" s="5" t="inlineStr">
        <is>
          <t>Title</t>
        </is>
      </c>
      <c r="C6" s="5" t="inlineStr">
        <is>
          <t>Reportable comp (org)</t>
        </is>
      </c>
      <c r="D6" s="5" t="inlineStr">
        <is>
          <t>Reportable comp (related)</t>
        </is>
      </c>
      <c r="E6" s="5" t="inlineStr">
        <is>
          <t>Other comp</t>
        </is>
      </c>
      <c r="F6" s="5" t="inlineStr">
        <is>
          <t>Total compensation</t>
        </is>
      </c>
    </row>
    <row r="7">
      <c r="A7" s="8" t="inlineStr">
        <is>
          <t>DAVID KNIGHT</t>
        </is>
      </c>
      <c r="B7" s="8" t="inlineStr">
        <is>
          <t>PRESIDENT</t>
        </is>
      </c>
      <c r="C7" s="9" t="n">
        <v>0</v>
      </c>
      <c r="D7" s="9" t="n">
        <v>0</v>
      </c>
      <c r="E7" s="9" t="n">
        <v>0</v>
      </c>
      <c r="F7" s="9" t="n">
        <v>0</v>
      </c>
    </row>
    <row r="8">
      <c r="A8" s="8" t="inlineStr">
        <is>
          <t>LARRY JACINTO</t>
        </is>
      </c>
      <c r="B8" s="8" t="inlineStr">
        <is>
          <t>VICE PRESIDENT</t>
        </is>
      </c>
      <c r="C8" s="9" t="n">
        <v>0</v>
      </c>
      <c r="D8" s="9" t="n">
        <v>0</v>
      </c>
      <c r="E8" s="9" t="n">
        <v>0</v>
      </c>
      <c r="F8" s="9" t="n">
        <v>0</v>
      </c>
    </row>
    <row r="9">
      <c r="A9" s="8" t="inlineStr">
        <is>
          <t>PETER BUOYE</t>
        </is>
      </c>
      <c r="B9" s="8" t="inlineStr">
        <is>
          <t>DIRECTOR</t>
        </is>
      </c>
      <c r="C9" s="9" t="n">
        <v>0</v>
      </c>
      <c r="D9" s="9" t="n">
        <v>0</v>
      </c>
      <c r="E9" s="9" t="n">
        <v>0</v>
      </c>
      <c r="F9" s="9" t="n">
        <v>0</v>
      </c>
    </row>
    <row r="10">
      <c r="A10" s="8" t="inlineStr">
        <is>
          <t>ROBERT STEWART</t>
        </is>
      </c>
      <c r="B10" s="8" t="inlineStr">
        <is>
          <t>DIRECTOR</t>
        </is>
      </c>
      <c r="C10" s="9" t="n">
        <v>0</v>
      </c>
      <c r="D10" s="9" t="n">
        <v>0</v>
      </c>
      <c r="E10" s="9" t="n">
        <v>0</v>
      </c>
      <c r="F10" s="9" t="n">
        <v>0</v>
      </c>
    </row>
    <row r="11">
      <c r="A11" s="8" t="inlineStr">
        <is>
          <t>RON ARNOTT</t>
        </is>
      </c>
      <c r="B11" s="8" t="inlineStr">
        <is>
          <t>DIRECTOR</t>
        </is>
      </c>
      <c r="C11" s="9" t="n">
        <v>0</v>
      </c>
      <c r="D11" s="9" t="n">
        <v>0</v>
      </c>
      <c r="E11" s="9" t="n">
        <v>0</v>
      </c>
      <c r="F11" s="9" t="n">
        <v>0</v>
      </c>
    </row>
    <row r="12">
      <c r="A12" s="8" t="inlineStr">
        <is>
          <t>LARRY BURGESS</t>
        </is>
      </c>
      <c r="B12" s="8" t="inlineStr">
        <is>
          <t>DIRECTOR</t>
        </is>
      </c>
      <c r="C12" s="9" t="n">
        <v>0</v>
      </c>
      <c r="D12" s="9" t="n">
        <v>0</v>
      </c>
      <c r="E12" s="9" t="n">
        <v>0</v>
      </c>
      <c r="F12" s="9" t="n">
        <v>0</v>
      </c>
    </row>
    <row r="13">
      <c r="A13" s="8" t="inlineStr">
        <is>
          <t>LAURA RAMIREZ</t>
        </is>
      </c>
      <c r="B13" s="8" t="inlineStr">
        <is>
          <t>DIRECTOR</t>
        </is>
      </c>
      <c r="C13" s="9" t="n">
        <v>0</v>
      </c>
      <c r="D13" s="9" t="n">
        <v>0</v>
      </c>
      <c r="E13" s="9" t="n">
        <v>0</v>
      </c>
      <c r="F13" s="9" t="n">
        <v>0</v>
      </c>
    </row>
    <row r="14">
      <c r="A14" s="8" t="inlineStr">
        <is>
          <t>CARLETON LOCKWOOD</t>
        </is>
      </c>
      <c r="B14" s="8" t="inlineStr">
        <is>
          <t>DIRECTOR</t>
        </is>
      </c>
      <c r="C14" s="9" t="n">
        <v>0</v>
      </c>
      <c r="D14" s="9" t="n">
        <v>0</v>
      </c>
      <c r="E14" s="9" t="n">
        <v>0</v>
      </c>
      <c r="F14" s="9" t="n">
        <v>0</v>
      </c>
    </row>
    <row r="15">
      <c r="A15" s="8" t="inlineStr">
        <is>
          <t>ALFRED RIVERS</t>
        </is>
      </c>
      <c r="B15" s="8" t="inlineStr">
        <is>
          <t>DIRECTOR</t>
        </is>
      </c>
      <c r="C15" s="9" t="n">
        <v>0</v>
      </c>
      <c r="D15" s="9" t="n">
        <v>0</v>
      </c>
      <c r="E15" s="9" t="n">
        <v>0</v>
      </c>
      <c r="F15" s="9" t="n">
        <v>0</v>
      </c>
    </row>
    <row r="16">
      <c r="A16" s="8" t="inlineStr">
        <is>
          <t>STEVE WELLINGTON</t>
        </is>
      </c>
      <c r="B16" s="8" t="inlineStr">
        <is>
          <t>DIRECTOR</t>
        </is>
      </c>
      <c r="C16" s="9" t="n">
        <v>0</v>
      </c>
      <c r="D16" s="9" t="n">
        <v>0</v>
      </c>
      <c r="E16" s="9" t="n">
        <v>0</v>
      </c>
      <c r="F16" s="9" t="n">
        <v>0</v>
      </c>
    </row>
    <row r="17">
      <c r="A17" s="8" t="inlineStr">
        <is>
          <t>TERESA BUOYE</t>
        </is>
      </c>
      <c r="B17" s="8" t="inlineStr">
        <is>
          <t>DIRECTOR</t>
        </is>
      </c>
      <c r="C17" s="9" t="n">
        <v>0</v>
      </c>
      <c r="D17" s="9" t="n">
        <v>0</v>
      </c>
      <c r="E17" s="9" t="n">
        <v>0</v>
      </c>
      <c r="F17" s="9" t="n">
        <v>0</v>
      </c>
    </row>
    <row r="18">
      <c r="A18" s="17" t="inlineStr">
        <is>
          <t>GEORGE HANSON</t>
        </is>
      </c>
      <c r="B18" s="17" t="inlineStr">
        <is>
          <t>GENERAL MANAGER</t>
        </is>
      </c>
      <c r="C18" s="18" t="n">
        <v>170138</v>
      </c>
      <c r="D18" s="18" t="n">
        <v>0</v>
      </c>
      <c r="E18" s="18" t="n">
        <v>2495</v>
      </c>
      <c r="F18" s="18" t="n">
        <v>172633</v>
      </c>
    </row>
    <row r="19">
      <c r="A19" s="17" t="inlineStr">
        <is>
          <t>CHARLOTTE VAN ECK</t>
        </is>
      </c>
      <c r="B19" s="17" t="inlineStr">
        <is>
          <t>SECRETARY/TREASURER</t>
        </is>
      </c>
      <c r="C19" s="18" t="n">
        <v>116485</v>
      </c>
      <c r="D19" s="18" t="n">
        <v>0</v>
      </c>
      <c r="E19" s="18" t="n">
        <v>24651</v>
      </c>
      <c r="F19" s="18" t="n">
        <v>141136</v>
      </c>
    </row>
    <row r="21">
      <c r="A21" s="6" t="inlineStr">
        <is>
          <t>Section B - Independent contractors (over $100,000)</t>
        </is>
      </c>
      <c r="B21" s="7" t="n"/>
      <c r="C21" s="7" t="n"/>
      <c r="D21" s="7" t="n"/>
      <c r="E21" s="7" t="n"/>
      <c r="F21" s="7" t="n"/>
    </row>
    <row r="22">
      <c r="A22" s="5" t="inlineStr">
        <is>
          <t>Contractor</t>
        </is>
      </c>
      <c r="B22" s="5" t="inlineStr">
        <is>
          <t>Services</t>
        </is>
      </c>
      <c r="C22" s="5" t="inlineStr">
        <is>
          <t>Compensation</t>
        </is>
      </c>
    </row>
    <row r="24" ht="42" customHeight="1">
      <c r="A24" s="3" t="inlineStr">
        <is>
          <t>Section A lists every officer, director, trustee and key employee filed for the latest year; the two with the highest total compensation are highlighted. Total compensation is computed (reportable org + related + other). Section B lists each independent contractor paid over $100,000; the return reports 0 such contractor(s). Source and confidence for every figure are on the Sources &amp; audit tab.</t>
        </is>
      </c>
    </row>
  </sheetData>
  <mergeCells count="4">
    <mergeCell ref="A3:F3"/>
    <mergeCell ref="A2:F2"/>
    <mergeCell ref="A1:F1"/>
    <mergeCell ref="A24:F2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9"/>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Bear Valley Mutual Water Company</t>
        </is>
      </c>
    </row>
    <row r="2">
      <c r="A2" s="2" t="inlineStr">
        <is>
          <t>Revenue - Form 990 Part VIII (USD)</t>
        </is>
      </c>
    </row>
    <row r="3">
      <c r="A3" s="2" t="inlineStr">
        <is>
          <t>Entity ID: cawc_0041   |   Fiscal year ends October 31.</t>
        </is>
      </c>
    </row>
    <row r="5">
      <c r="A5" s="4" t="inlineStr">
        <is>
          <t>Part VIII line</t>
        </is>
      </c>
      <c r="B5" s="5" t="inlineStr">
        <is>
          <t>FY2020</t>
        </is>
      </c>
      <c r="C5" s="5" t="inlineStr">
        <is>
          <t>FY2021</t>
        </is>
      </c>
      <c r="D5" s="5" t="inlineStr">
        <is>
          <t>FY2022</t>
        </is>
      </c>
      <c r="E5" s="5" t="inlineStr">
        <is>
          <t>FY2023</t>
        </is>
      </c>
      <c r="F5" s="5" t="inlineStr">
        <is>
          <t>FY2024</t>
        </is>
      </c>
    </row>
    <row r="6">
      <c r="A6" s="6" t="inlineStr">
        <is>
          <t>Revenue by category</t>
        </is>
      </c>
      <c r="B6" s="7" t="n"/>
      <c r="C6" s="7" t="n"/>
      <c r="D6" s="7" t="n"/>
      <c r="E6" s="7" t="n"/>
      <c r="F6" s="7" t="n"/>
    </row>
    <row r="7">
      <c r="A7" s="8" t="inlineStr">
        <is>
          <t xml:space="preserve">    1h. Total contributions, gifts, grants</t>
        </is>
      </c>
      <c r="B7" s="19" t="inlineStr">
        <is>
          <t>not reported</t>
        </is>
      </c>
      <c r="C7" s="19" t="inlineStr">
        <is>
          <t>not reported</t>
        </is>
      </c>
      <c r="D7" s="19" t="inlineStr">
        <is>
          <t>not reported</t>
        </is>
      </c>
      <c r="E7" s="19" t="inlineStr">
        <is>
          <t>not reported</t>
        </is>
      </c>
      <c r="F7" s="19" t="inlineStr">
        <is>
          <t>not reported</t>
        </is>
      </c>
    </row>
    <row r="8">
      <c r="A8" s="8" t="inlineStr">
        <is>
          <t xml:space="preserve">    2g. Total program service revenue</t>
        </is>
      </c>
      <c r="B8" s="9" t="n">
        <v>1410358</v>
      </c>
      <c r="C8" s="9" t="n">
        <v>1360153</v>
      </c>
      <c r="D8" s="9" t="n">
        <v>1356964</v>
      </c>
      <c r="E8" s="9" t="n">
        <v>1530752</v>
      </c>
      <c r="F8" s="9" t="n">
        <v>1629365</v>
      </c>
    </row>
    <row r="9">
      <c r="A9" s="8" t="inlineStr">
        <is>
          <t xml:space="preserve">    3. Investment income</t>
        </is>
      </c>
      <c r="B9" s="9" t="n">
        <v>6325</v>
      </c>
      <c r="C9" s="9" t="n">
        <v>1523</v>
      </c>
      <c r="D9" s="9" t="n">
        <v>312</v>
      </c>
      <c r="E9" s="9" t="n">
        <v>41503</v>
      </c>
      <c r="F9" s="9" t="n">
        <v>59888</v>
      </c>
    </row>
    <row r="10">
      <c r="A10" s="8" t="inlineStr">
        <is>
          <t xml:space="preserve">    6d. Net rental income</t>
        </is>
      </c>
      <c r="B10" s="9" t="n">
        <v>84723</v>
      </c>
      <c r="C10" s="9" t="n">
        <v>85259</v>
      </c>
      <c r="D10" s="9" t="n">
        <v>78233</v>
      </c>
      <c r="E10" s="9" t="n">
        <v>121276</v>
      </c>
      <c r="F10" s="9" t="n">
        <v>120061</v>
      </c>
    </row>
    <row r="11">
      <c r="A11" s="8" t="inlineStr">
        <is>
          <t xml:space="preserve">    7d. Net gain/(loss) from investment sales</t>
        </is>
      </c>
      <c r="B11" s="19" t="inlineStr">
        <is>
          <t>not reported</t>
        </is>
      </c>
      <c r="C11" s="19" t="inlineStr">
        <is>
          <t>not reported</t>
        </is>
      </c>
      <c r="D11" s="9" t="n">
        <v>-3970</v>
      </c>
      <c r="E11" s="9" t="n">
        <v>1000</v>
      </c>
      <c r="F11" s="9" t="n">
        <v>1600</v>
      </c>
    </row>
    <row r="12">
      <c r="A12" s="8" t="inlineStr">
        <is>
          <t xml:space="preserve">    11e. Other revenue</t>
        </is>
      </c>
      <c r="B12" s="9" t="n">
        <v>19618</v>
      </c>
      <c r="C12" s="9" t="n">
        <v>20622</v>
      </c>
      <c r="D12" s="9" t="n">
        <v>19027</v>
      </c>
      <c r="E12" s="9" t="n">
        <v>7706</v>
      </c>
      <c r="F12" s="9" t="n">
        <v>7887</v>
      </c>
    </row>
    <row r="13">
      <c r="A13" s="10" t="inlineStr">
        <is>
          <t>12. Total revenue</t>
        </is>
      </c>
      <c r="B13" s="11">
        <f>SUM(B7:B12)</f>
        <v/>
      </c>
      <c r="C13" s="11">
        <f>SUM(C7:C12)</f>
        <v/>
      </c>
      <c r="D13" s="11">
        <f>SUM(D7:D12)</f>
        <v/>
      </c>
      <c r="E13" s="11">
        <f>SUM(E7:E12)</f>
        <v/>
      </c>
      <c r="F13" s="11">
        <f>SUM(F7:F12)</f>
        <v/>
      </c>
    </row>
    <row r="15">
      <c r="A15" s="6" t="inlineStr">
        <is>
          <t>Program service revenue detail - FY2024 (lines 2a-2f)</t>
        </is>
      </c>
      <c r="B15" s="7" t="n"/>
      <c r="C15" s="7" t="n"/>
      <c r="D15" s="7" t="n"/>
      <c r="E15" s="7" t="n"/>
      <c r="F15" s="7" t="n"/>
    </row>
    <row r="16">
      <c r="A16" s="5" t="inlineStr">
        <is>
          <t>Description</t>
        </is>
      </c>
      <c r="B16" s="5" t="inlineStr">
        <is>
          <t>Business code</t>
        </is>
      </c>
      <c r="C16" s="5" t="inlineStr">
        <is>
          <t>Total revenue</t>
        </is>
      </c>
    </row>
    <row r="17">
      <c r="A17" s="8" t="inlineStr">
        <is>
          <t>OPERATING ASSESSMENTS</t>
        </is>
      </c>
      <c r="B17" s="8" t="inlineStr">
        <is>
          <t>221000</t>
        </is>
      </c>
      <c r="C17" s="9" t="n">
        <v>1439668</v>
      </c>
    </row>
    <row r="18">
      <c r="A18" s="8" t="inlineStr">
        <is>
          <t>WATER SALES</t>
        </is>
      </c>
      <c r="B18" s="8" t="inlineStr">
        <is>
          <t>221000</t>
        </is>
      </c>
      <c r="C18" s="9" t="n">
        <v>189697</v>
      </c>
    </row>
    <row r="19" ht="42" customHeight="1">
      <c r="A19" s="3" t="inlineStr">
        <is>
          <t>Revenue category subtotals are as filed. Total revenue (line 12) is a live SUM of the category cells above; its tie-out to the filed total is on the Sources &amp; audit tab. Program service revenue detail is shown for the latest year, with its sum-to-line-2g check on that same audit tab.</t>
        </is>
      </c>
    </row>
  </sheetData>
  <mergeCells count="4">
    <mergeCell ref="A3:F3"/>
    <mergeCell ref="A2:F2"/>
    <mergeCell ref="A19:F19"/>
    <mergeCell ref="A1:F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3"/>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6" customWidth="1" min="2" max="2"/>
    <col width="16" customWidth="1" min="3" max="3"/>
    <col width="16" customWidth="1" min="4" max="4"/>
    <col width="16" customWidth="1" min="5" max="5"/>
    <col width="16" customWidth="1" min="6" max="6"/>
  </cols>
  <sheetData>
    <row r="1">
      <c r="A1" s="1" t="inlineStr">
        <is>
          <t>Bear Valley Mutual Water Company</t>
        </is>
      </c>
    </row>
    <row r="2">
      <c r="A2" s="2" t="inlineStr">
        <is>
          <t>Statement of Functional Expenses - Form 990 Part IX (USD)</t>
        </is>
      </c>
    </row>
    <row r="3">
      <c r="A3" s="2" t="inlineStr">
        <is>
          <t>Entity ID: cawc_0041   |   Fiscal year ends October 31.</t>
        </is>
      </c>
    </row>
    <row r="5">
      <c r="A5" s="4" t="inlineStr">
        <is>
          <t>Part IX line (column A Total)</t>
        </is>
      </c>
      <c r="B5" s="5" t="inlineStr">
        <is>
          <t>FY2020</t>
        </is>
      </c>
      <c r="C5" s="5" t="inlineStr">
        <is>
          <t>FY2021</t>
        </is>
      </c>
      <c r="D5" s="5" t="inlineStr">
        <is>
          <t>FY2022</t>
        </is>
      </c>
      <c r="E5" s="5" t="inlineStr">
        <is>
          <t>FY2023</t>
        </is>
      </c>
      <c r="F5" s="5" t="inlineStr">
        <is>
          <t>FY2024</t>
        </is>
      </c>
    </row>
    <row r="6">
      <c r="A6" s="6" t="inlineStr">
        <is>
          <t>Functional expenses, column A Total - by year</t>
        </is>
      </c>
      <c r="B6" s="7" t="n"/>
      <c r="C6" s="7" t="n"/>
      <c r="D6" s="7" t="n"/>
      <c r="E6" s="7" t="n"/>
      <c r="F6" s="7" t="n"/>
    </row>
    <row r="7">
      <c r="A7" s="8" t="inlineStr">
        <is>
          <t xml:space="preserve">    5. Compensation of current officers, directors, trustees</t>
        </is>
      </c>
      <c r="B7" s="9" t="n">
        <v>112515</v>
      </c>
      <c r="C7" s="9" t="n">
        <v>155984</v>
      </c>
      <c r="D7" s="9" t="n">
        <v>171558</v>
      </c>
      <c r="E7" s="9" t="n">
        <v>193095</v>
      </c>
      <c r="F7" s="9" t="n">
        <v>228865</v>
      </c>
    </row>
    <row r="8">
      <c r="A8" s="8" t="inlineStr">
        <is>
          <t xml:space="preserve">    7. Other salaries and wages</t>
        </is>
      </c>
      <c r="B8" s="9" t="n">
        <v>192053</v>
      </c>
      <c r="C8" s="9" t="n">
        <v>188948</v>
      </c>
      <c r="D8" s="9" t="n">
        <v>224785</v>
      </c>
      <c r="E8" s="9" t="n">
        <v>265842</v>
      </c>
      <c r="F8" s="9" t="n">
        <v>306065</v>
      </c>
    </row>
    <row r="9">
      <c r="A9" s="8" t="inlineStr">
        <is>
          <t xml:space="preserve">    8. Pension plan accruals and contributions</t>
        </is>
      </c>
      <c r="B9" s="9" t="n">
        <v>14308</v>
      </c>
      <c r="C9" s="9" t="n">
        <v>11339</v>
      </c>
      <c r="D9" s="9" t="n">
        <v>14225</v>
      </c>
      <c r="E9" s="9" t="n">
        <v>27324</v>
      </c>
      <c r="F9" s="9" t="n">
        <v>28560</v>
      </c>
    </row>
    <row r="10">
      <c r="A10" s="8" t="inlineStr">
        <is>
          <t xml:space="preserve">    9. Other employee benefits</t>
        </is>
      </c>
      <c r="B10" s="9" t="n">
        <v>68471</v>
      </c>
      <c r="C10" s="9" t="n">
        <v>46245</v>
      </c>
      <c r="D10" s="9" t="n">
        <v>45009</v>
      </c>
      <c r="E10" s="9" t="n">
        <v>67472</v>
      </c>
      <c r="F10" s="9" t="n">
        <v>68497</v>
      </c>
    </row>
    <row r="11">
      <c r="A11" s="8" t="inlineStr">
        <is>
          <t xml:space="preserve">    10. Payroll taxes</t>
        </is>
      </c>
      <c r="B11" s="9" t="n">
        <v>37666</v>
      </c>
      <c r="C11" s="9" t="n">
        <v>40075</v>
      </c>
      <c r="D11" s="9" t="n">
        <v>41056</v>
      </c>
      <c r="E11" s="9" t="n">
        <v>45162</v>
      </c>
      <c r="F11" s="9" t="n">
        <v>49968</v>
      </c>
    </row>
    <row r="12">
      <c r="A12" s="8" t="inlineStr">
        <is>
          <t xml:space="preserve">    11b. Fees for services: legal</t>
        </is>
      </c>
      <c r="B12" s="9" t="n">
        <v>29313</v>
      </c>
      <c r="C12" s="19" t="inlineStr">
        <is>
          <t>not reported</t>
        </is>
      </c>
      <c r="D12" s="19" t="inlineStr">
        <is>
          <t>not reported</t>
        </is>
      </c>
      <c r="E12" s="19" t="inlineStr">
        <is>
          <t>not reported</t>
        </is>
      </c>
      <c r="F12" s="19" t="inlineStr">
        <is>
          <t>not reported</t>
        </is>
      </c>
    </row>
    <row r="13">
      <c r="A13" s="8" t="inlineStr">
        <is>
          <t xml:space="preserve">    11c. Fees for services: accounting</t>
        </is>
      </c>
      <c r="B13" s="9" t="n">
        <v>24150</v>
      </c>
      <c r="C13" s="19" t="inlineStr">
        <is>
          <t>not reported</t>
        </is>
      </c>
      <c r="D13" s="19" t="inlineStr">
        <is>
          <t>not reported</t>
        </is>
      </c>
      <c r="E13" s="19" t="inlineStr">
        <is>
          <t>not reported</t>
        </is>
      </c>
      <c r="F13" s="19" t="inlineStr">
        <is>
          <t>not reported</t>
        </is>
      </c>
    </row>
    <row r="14">
      <c r="A14" s="8" t="inlineStr">
        <is>
          <t xml:space="preserve">    11g. Fees for services: other</t>
        </is>
      </c>
      <c r="B14" s="9" t="n">
        <v>56762</v>
      </c>
      <c r="C14" s="9" t="n">
        <v>121120</v>
      </c>
      <c r="D14" s="9" t="n">
        <v>123143</v>
      </c>
      <c r="E14" s="9" t="n">
        <v>61294</v>
      </c>
      <c r="F14" s="9" t="n">
        <v>81399</v>
      </c>
    </row>
    <row r="15">
      <c r="A15" s="8" t="inlineStr">
        <is>
          <t xml:space="preserve">    12. Advertising and promotion</t>
        </is>
      </c>
      <c r="B15" s="9" t="n">
        <v>280</v>
      </c>
      <c r="C15" s="19" t="inlineStr">
        <is>
          <t>not reported</t>
        </is>
      </c>
      <c r="D15" s="19" t="inlineStr">
        <is>
          <t>not reported</t>
        </is>
      </c>
      <c r="E15" s="19" t="inlineStr">
        <is>
          <t>not reported</t>
        </is>
      </c>
      <c r="F15" s="19" t="inlineStr">
        <is>
          <t>not reported</t>
        </is>
      </c>
    </row>
    <row r="16">
      <c r="A16" s="8" t="inlineStr">
        <is>
          <t xml:space="preserve">    13. Office expenses</t>
        </is>
      </c>
      <c r="B16" s="9" t="n">
        <v>25330</v>
      </c>
      <c r="C16" s="9" t="n">
        <v>22812</v>
      </c>
      <c r="D16" s="9" t="n">
        <v>36624</v>
      </c>
      <c r="E16" s="9" t="n">
        <v>24569</v>
      </c>
      <c r="F16" s="9" t="n">
        <v>27742</v>
      </c>
    </row>
    <row r="17">
      <c r="A17" s="8" t="inlineStr">
        <is>
          <t xml:space="preserve">    16. Occupancy</t>
        </is>
      </c>
      <c r="B17" s="9" t="n">
        <v>9909</v>
      </c>
      <c r="C17" s="19" t="inlineStr">
        <is>
          <t>not reported</t>
        </is>
      </c>
      <c r="D17" s="19" t="inlineStr">
        <is>
          <t>not reported</t>
        </is>
      </c>
      <c r="E17" s="19" t="inlineStr">
        <is>
          <t>not reported</t>
        </is>
      </c>
      <c r="F17" s="19" t="inlineStr">
        <is>
          <t>not reported</t>
        </is>
      </c>
    </row>
    <row r="18">
      <c r="A18" s="8" t="inlineStr">
        <is>
          <t xml:space="preserve">    17. Travel</t>
        </is>
      </c>
      <c r="B18" s="9" t="n">
        <v>13743</v>
      </c>
      <c r="C18" s="9" t="n">
        <v>22449</v>
      </c>
      <c r="D18" s="9" t="n">
        <v>30636</v>
      </c>
      <c r="E18" s="9" t="n">
        <v>34493</v>
      </c>
      <c r="F18" s="9" t="n">
        <v>28547</v>
      </c>
    </row>
    <row r="19">
      <c r="A19" s="8" t="inlineStr">
        <is>
          <t xml:space="preserve">    19. Conferences, conventions, and meetings</t>
        </is>
      </c>
      <c r="B19" s="9" t="n">
        <v>7221</v>
      </c>
      <c r="C19" s="9" t="n">
        <v>6303</v>
      </c>
      <c r="D19" s="9" t="n">
        <v>4884</v>
      </c>
      <c r="E19" s="9" t="n">
        <v>824</v>
      </c>
      <c r="F19" s="9" t="n">
        <v>3378</v>
      </c>
    </row>
    <row r="20">
      <c r="A20" s="8" t="inlineStr">
        <is>
          <t xml:space="preserve">    22. Depreciation, depletion, and amortization</t>
        </is>
      </c>
      <c r="B20" s="9" t="n">
        <v>60340</v>
      </c>
      <c r="C20" s="9" t="n">
        <v>64440</v>
      </c>
      <c r="D20" s="9" t="n">
        <v>80022</v>
      </c>
      <c r="E20" s="9" t="n">
        <v>76542</v>
      </c>
      <c r="F20" s="9" t="n">
        <v>72769</v>
      </c>
    </row>
    <row r="21">
      <c r="A21" s="8" t="inlineStr">
        <is>
          <t xml:space="preserve">    23. Insurance</t>
        </is>
      </c>
      <c r="B21" s="9" t="n">
        <v>46929</v>
      </c>
      <c r="C21" s="9" t="n">
        <v>53625</v>
      </c>
      <c r="D21" s="9" t="n">
        <v>60738</v>
      </c>
      <c r="E21" s="9" t="n">
        <v>51392</v>
      </c>
      <c r="F21" s="9" t="n">
        <v>58414</v>
      </c>
    </row>
    <row r="22">
      <c r="A22" s="8" t="inlineStr">
        <is>
          <t xml:space="preserve">    24. UNRELATED BUSINESS TAX</t>
        </is>
      </c>
      <c r="B22" s="9" t="n">
        <v>1102</v>
      </c>
      <c r="C22" s="9" t="n">
        <v>708</v>
      </c>
      <c r="D22" s="19" t="inlineStr">
        <is>
          <t>not reported</t>
        </is>
      </c>
      <c r="E22" s="19" t="inlineStr">
        <is>
          <t>not reported</t>
        </is>
      </c>
      <c r="F22" s="19" t="inlineStr">
        <is>
          <t>not reported</t>
        </is>
      </c>
    </row>
    <row r="23">
      <c r="A23" s="8" t="inlineStr">
        <is>
          <t xml:space="preserve">    24. CANAL, PIPELINE, &amp; EQUI</t>
        </is>
      </c>
      <c r="B23" s="9" t="n">
        <v>142315</v>
      </c>
      <c r="C23" s="9" t="n">
        <v>151923</v>
      </c>
      <c r="D23" s="9" t="n">
        <v>329967</v>
      </c>
      <c r="E23" s="9" t="n">
        <v>170339</v>
      </c>
      <c r="F23" s="9" t="n">
        <v>224047</v>
      </c>
    </row>
    <row r="24">
      <c r="A24" s="8" t="inlineStr">
        <is>
          <t xml:space="preserve">    24. WATER PURCHASED</t>
        </is>
      </c>
      <c r="B24" s="9" t="n">
        <v>103484</v>
      </c>
      <c r="C24" s="9" t="n">
        <v>56737</v>
      </c>
      <c r="D24" s="9" t="n">
        <v>131479</v>
      </c>
      <c r="E24" s="9" t="n">
        <v>298170</v>
      </c>
      <c r="F24" s="9" t="n">
        <v>270173</v>
      </c>
    </row>
    <row r="25">
      <c r="A25" s="8" t="inlineStr">
        <is>
          <t xml:space="preserve">    24. REPAIRS AND MAINTENANCE</t>
        </is>
      </c>
      <c r="B25" s="9" t="n">
        <v>39699</v>
      </c>
      <c r="C25" s="19" t="inlineStr">
        <is>
          <t>not reported</t>
        </is>
      </c>
      <c r="D25" s="9" t="n">
        <v>28829</v>
      </c>
      <c r="E25" s="9" t="n">
        <v>52999</v>
      </c>
      <c r="F25" s="9" t="n">
        <v>168600</v>
      </c>
    </row>
    <row r="26">
      <c r="A26" s="8" t="inlineStr">
        <is>
          <t xml:space="preserve">    24. UTILITIES</t>
        </is>
      </c>
      <c r="B26" s="19" t="inlineStr">
        <is>
          <t>not reported</t>
        </is>
      </c>
      <c r="C26" s="9" t="n">
        <v>132871</v>
      </c>
      <c r="D26" s="19" t="inlineStr">
        <is>
          <t>not reported</t>
        </is>
      </c>
      <c r="E26" s="19" t="inlineStr">
        <is>
          <t>not reported</t>
        </is>
      </c>
      <c r="F26" s="19" t="inlineStr">
        <is>
          <t>not reported</t>
        </is>
      </c>
    </row>
    <row r="27">
      <c r="A27" s="8" t="inlineStr">
        <is>
          <t xml:space="preserve">    24. PROPERTY TAXES</t>
        </is>
      </c>
      <c r="B27" s="19" t="inlineStr">
        <is>
          <t>not reported</t>
        </is>
      </c>
      <c r="C27" s="19" t="inlineStr">
        <is>
          <t>not reported</t>
        </is>
      </c>
      <c r="D27" s="9" t="n">
        <v>31218</v>
      </c>
      <c r="E27" s="9" t="n">
        <v>30438</v>
      </c>
      <c r="F27" s="9" t="n">
        <v>30156</v>
      </c>
    </row>
    <row r="28">
      <c r="A28" s="8" t="inlineStr">
        <is>
          <t xml:space="preserve">    24e. All other expenses</t>
        </is>
      </c>
      <c r="B28" s="9" t="n">
        <v>90194</v>
      </c>
      <c r="C28" s="9" t="n">
        <v>109488</v>
      </c>
      <c r="D28" s="9" t="n">
        <v>43207</v>
      </c>
      <c r="E28" s="9" t="n">
        <v>66501</v>
      </c>
      <c r="F28" s="9" t="n">
        <v>55891</v>
      </c>
    </row>
    <row r="29">
      <c r="A29" s="10" t="inlineStr">
        <is>
          <t>25. Total functional expenses</t>
        </is>
      </c>
      <c r="B29" s="11">
        <f>SUM(B7:B28)</f>
        <v/>
      </c>
      <c r="C29" s="11">
        <f>SUM(C7:C28)</f>
        <v/>
      </c>
      <c r="D29" s="11">
        <f>SUM(D7:D28)</f>
        <v/>
      </c>
      <c r="E29" s="11">
        <f>SUM(E7:E28)</f>
        <v/>
      </c>
      <c r="F29" s="11">
        <f>SUM(F7:F28)</f>
        <v/>
      </c>
    </row>
    <row r="31">
      <c r="A31" s="6" t="inlineStr">
        <is>
          <t>Functional column split - FY2024</t>
        </is>
      </c>
      <c r="B31" s="7" t="n"/>
      <c r="C31" s="7" t="n"/>
      <c r="D31" s="7" t="n"/>
      <c r="E31" s="7" t="n"/>
      <c r="F31" s="7" t="n"/>
    </row>
    <row r="32" ht="42" customHeight="1">
      <c r="A32" s="3" t="inlineStr">
        <is>
          <t>Not reported. This filer reports only column A (Total) of Part IX; the program / management / fundraising split (columns B-D) is not filed, so it is left as not reported rather than shown empty or inferred.</t>
        </is>
      </c>
    </row>
    <row r="33" ht="42" customHeight="1">
      <c r="A33" s="3" t="inlineStr">
        <is>
          <t>Top block: each Part IX line, column A (Total), by year, as filed. Total functional expenses (line 25) is a live SUM of the line cells; its tie-out to the filed total is on the Sources &amp; audit tab. Filer-itemized 24a-24d rows show the most recent year's as-filed wording; rows are aligned across years case-insensitively with collapsed spacing, so a line filed only in a different capitalization or spacing shares one row, while genuinely different wording stays a separate row (every as-filed variant is recorded on the Sources &amp; audit tab). This filer reports only column A (Total); the program / management / fundraising split (columns B-D) is not reported. Lines this filer does not report are omitted rather than shown empty.</t>
        </is>
      </c>
    </row>
  </sheetData>
  <mergeCells count="5">
    <mergeCell ref="A2:F2"/>
    <mergeCell ref="A33:F33"/>
    <mergeCell ref="A1:F1"/>
    <mergeCell ref="A32:F32"/>
    <mergeCell ref="A3:F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9"/>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Bear Valley Mutual Water Company</t>
        </is>
      </c>
    </row>
    <row r="2">
      <c r="A2" s="2" t="inlineStr">
        <is>
          <t>Balance Sheet - Form 990 Part X (end of year, USD)</t>
        </is>
      </c>
    </row>
    <row r="3">
      <c r="A3" s="2" t="inlineStr">
        <is>
          <t>Entity ID: cawc_0041   |   Fiscal year ends October 31.</t>
        </is>
      </c>
    </row>
    <row r="5">
      <c r="A5" s="4" t="inlineStr">
        <is>
          <t>Part X line (column B, EOY)</t>
        </is>
      </c>
      <c r="B5" s="5" t="inlineStr">
        <is>
          <t>FY2020</t>
        </is>
      </c>
      <c r="C5" s="5" t="inlineStr">
        <is>
          <t>FY2021</t>
        </is>
      </c>
      <c r="D5" s="5" t="inlineStr">
        <is>
          <t>FY2022</t>
        </is>
      </c>
      <c r="E5" s="5" t="inlineStr">
        <is>
          <t>FY2023</t>
        </is>
      </c>
      <c r="F5" s="5" t="inlineStr">
        <is>
          <t>FY2024</t>
        </is>
      </c>
    </row>
    <row r="6">
      <c r="A6" s="6" t="inlineStr">
        <is>
          <t>Assets</t>
        </is>
      </c>
      <c r="B6" s="7" t="n"/>
      <c r="C6" s="7" t="n"/>
      <c r="D6" s="7" t="n"/>
      <c r="E6" s="7" t="n"/>
      <c r="F6" s="7" t="n"/>
    </row>
    <row r="7">
      <c r="A7" s="8" t="inlineStr">
        <is>
          <t xml:space="preserve">    1. Cash - non-interest-bearing</t>
        </is>
      </c>
      <c r="B7" s="9" t="n">
        <v>809837</v>
      </c>
      <c r="C7" s="9" t="n">
        <v>657042</v>
      </c>
      <c r="D7" s="9" t="n">
        <v>837082</v>
      </c>
      <c r="E7" s="9" t="n">
        <v>593357</v>
      </c>
      <c r="F7" s="9" t="n">
        <v>555779</v>
      </c>
    </row>
    <row r="8">
      <c r="A8" s="8" t="inlineStr">
        <is>
          <t xml:space="preserve">    2. Savings and temporary cash investments</t>
        </is>
      </c>
      <c r="B8" s="9" t="n">
        <v>968669</v>
      </c>
      <c r="C8" s="9" t="n">
        <v>968591</v>
      </c>
      <c r="D8" s="9" t="n">
        <v>968639</v>
      </c>
      <c r="E8" s="9" t="n">
        <v>1456672</v>
      </c>
      <c r="F8" s="9" t="n">
        <v>1516193</v>
      </c>
    </row>
    <row r="9">
      <c r="A9" s="8" t="inlineStr">
        <is>
          <t xml:space="preserve">    4. Accounts receivable, net</t>
        </is>
      </c>
      <c r="B9" s="9" t="n">
        <v>118166</v>
      </c>
      <c r="C9" s="9" t="n">
        <v>180891</v>
      </c>
      <c r="D9" s="9" t="n">
        <v>78659</v>
      </c>
      <c r="E9" s="9" t="n">
        <v>104652</v>
      </c>
      <c r="F9" s="9" t="n">
        <v>116589</v>
      </c>
    </row>
    <row r="10">
      <c r="A10" s="8" t="inlineStr">
        <is>
          <t xml:space="preserve">    7. Notes and loans receivable, net</t>
        </is>
      </c>
      <c r="B10" s="9" t="n">
        <v>109517</v>
      </c>
      <c r="C10" s="19" t="inlineStr">
        <is>
          <t>not reported</t>
        </is>
      </c>
      <c r="D10" s="19" t="inlineStr">
        <is>
          <t>not reported</t>
        </is>
      </c>
      <c r="E10" s="19" t="inlineStr">
        <is>
          <t>not reported</t>
        </is>
      </c>
      <c r="F10" s="19" t="inlineStr">
        <is>
          <t>not reported</t>
        </is>
      </c>
    </row>
    <row r="11">
      <c r="A11" s="8" t="inlineStr">
        <is>
          <t xml:space="preserve">    9. Prepaid expenses and deferred charges</t>
        </is>
      </c>
      <c r="B11" s="9" t="n">
        <v>349864</v>
      </c>
      <c r="C11" s="9" t="n">
        <v>608561</v>
      </c>
      <c r="D11" s="9" t="n">
        <v>876664</v>
      </c>
      <c r="E11" s="9" t="n">
        <v>921625</v>
      </c>
      <c r="F11" s="9" t="n">
        <v>1011075</v>
      </c>
    </row>
    <row r="12">
      <c r="A12" s="8" t="inlineStr">
        <is>
          <t xml:space="preserve">    10c. Land, buildings, and equipment, net</t>
        </is>
      </c>
      <c r="B12" s="9" t="n">
        <v>811505</v>
      </c>
      <c r="C12" s="9" t="n">
        <v>893996</v>
      </c>
      <c r="D12" s="9" t="n">
        <v>970380</v>
      </c>
      <c r="E12" s="9" t="n">
        <v>902398</v>
      </c>
      <c r="F12" s="9" t="n">
        <v>877924</v>
      </c>
    </row>
    <row r="13">
      <c r="A13" s="8" t="inlineStr">
        <is>
          <t xml:space="preserve">    12. Investments - other securities</t>
        </is>
      </c>
      <c r="B13" s="9" t="n">
        <v>33048</v>
      </c>
      <c r="C13" s="9" t="n">
        <v>33048</v>
      </c>
      <c r="D13" s="9" t="n">
        <v>33048</v>
      </c>
      <c r="E13" s="9" t="n">
        <v>34248</v>
      </c>
      <c r="F13" s="9" t="n">
        <v>34248</v>
      </c>
    </row>
    <row r="14">
      <c r="A14" s="8" t="inlineStr">
        <is>
          <t xml:space="preserve">    15. Other assets</t>
        </is>
      </c>
      <c r="B14" s="9" t="n">
        <v>1898282</v>
      </c>
      <c r="C14" s="9" t="n">
        <v>2075938</v>
      </c>
      <c r="D14" s="9" t="n">
        <v>1675281</v>
      </c>
      <c r="E14" s="9" t="n">
        <v>1670540</v>
      </c>
      <c r="F14" s="9" t="n">
        <v>1670540</v>
      </c>
    </row>
    <row r="15">
      <c r="A15" s="10" t="inlineStr">
        <is>
          <t>16. Total assets</t>
        </is>
      </c>
      <c r="B15" s="11">
        <f>SUM(B7:B14)</f>
        <v/>
      </c>
      <c r="C15" s="11">
        <f>SUM(C7:C14)</f>
        <v/>
      </c>
      <c r="D15" s="11">
        <f>SUM(D7:D14)</f>
        <v/>
      </c>
      <c r="E15" s="11">
        <f>SUM(E7:E14)</f>
        <v/>
      </c>
      <c r="F15" s="11">
        <f>SUM(F7:F14)</f>
        <v/>
      </c>
    </row>
    <row r="17">
      <c r="A17" s="6" t="inlineStr">
        <is>
          <t>Liabilities</t>
        </is>
      </c>
      <c r="B17" s="7" t="n"/>
      <c r="C17" s="7" t="n"/>
      <c r="D17" s="7" t="n"/>
      <c r="E17" s="7" t="n"/>
      <c r="F17" s="7" t="n"/>
    </row>
    <row r="18">
      <c r="A18" s="8" t="inlineStr">
        <is>
          <t xml:space="preserve">    17. Accounts payable and accrued expenses</t>
        </is>
      </c>
      <c r="B18" s="9" t="n">
        <v>66568</v>
      </c>
      <c r="C18" s="9" t="n">
        <v>79098</v>
      </c>
      <c r="D18" s="9" t="n">
        <v>40874</v>
      </c>
      <c r="E18" s="9" t="n">
        <v>57134</v>
      </c>
      <c r="F18" s="9" t="n">
        <v>33310</v>
      </c>
    </row>
    <row r="19">
      <c r="A19" s="8" t="inlineStr">
        <is>
          <t xml:space="preserve">    19. Deferred revenue</t>
        </is>
      </c>
      <c r="B19" s="9" t="n">
        <v>4039</v>
      </c>
      <c r="C19" s="9" t="n">
        <v>5140</v>
      </c>
      <c r="D19" s="9" t="n">
        <v>76086</v>
      </c>
      <c r="E19" s="9" t="n">
        <v>76500</v>
      </c>
      <c r="F19" s="9" t="n">
        <v>78030</v>
      </c>
    </row>
    <row r="20">
      <c r="A20" s="8" t="inlineStr">
        <is>
          <t xml:space="preserve">    25. Other liabilities</t>
        </is>
      </c>
      <c r="B20" s="9" t="n">
        <v>28333</v>
      </c>
      <c r="C20" s="9" t="n">
        <v>51391</v>
      </c>
      <c r="D20" s="9" t="n">
        <v>43375</v>
      </c>
      <c r="E20" s="9" t="n">
        <v>33459</v>
      </c>
      <c r="F20" s="9" t="n">
        <v>38879</v>
      </c>
    </row>
    <row r="21">
      <c r="A21" s="10" t="inlineStr">
        <is>
          <t>26. Total liabilities</t>
        </is>
      </c>
      <c r="B21" s="11">
        <f>SUM(B18:B20)</f>
        <v/>
      </c>
      <c r="C21" s="11">
        <f>SUM(C18:C20)</f>
        <v/>
      </c>
      <c r="D21" s="11">
        <f>SUM(D18:D20)</f>
        <v/>
      </c>
      <c r="E21" s="11">
        <f>SUM(E18:E20)</f>
        <v/>
      </c>
      <c r="F21" s="11">
        <f>SUM(F18:F20)</f>
        <v/>
      </c>
    </row>
    <row r="23">
      <c r="A23" s="6" t="inlineStr">
        <is>
          <t>Net assets / fund balances</t>
        </is>
      </c>
      <c r="B23" s="7" t="n"/>
      <c r="C23" s="7" t="n"/>
      <c r="D23" s="7" t="n"/>
      <c r="E23" s="7" t="n"/>
      <c r="F23" s="7" t="n"/>
    </row>
    <row r="24">
      <c r="A24" s="8" t="inlineStr">
        <is>
          <t xml:space="preserve">    29. Capital stock or trust principal</t>
        </is>
      </c>
      <c r="B24" s="9" t="n">
        <v>1250685</v>
      </c>
      <c r="C24" s="9" t="n">
        <v>1250685</v>
      </c>
      <c r="D24" s="9" t="n">
        <v>1250685</v>
      </c>
      <c r="E24" s="9" t="n">
        <v>1251885</v>
      </c>
      <c r="F24" s="9" t="n">
        <v>1251885</v>
      </c>
    </row>
    <row r="25">
      <c r="A25" s="8" t="inlineStr">
        <is>
          <t xml:space="preserve">    30. Paid-in or capital surplus</t>
        </is>
      </c>
      <c r="B25" s="9" t="n">
        <v>625343</v>
      </c>
      <c r="C25" s="9" t="n">
        <v>625343</v>
      </c>
      <c r="D25" s="9" t="n">
        <v>625343</v>
      </c>
      <c r="E25" s="9" t="n">
        <v>625343</v>
      </c>
      <c r="F25" s="9" t="n">
        <v>625343</v>
      </c>
    </row>
    <row r="26">
      <c r="A26" s="8" t="inlineStr">
        <is>
          <t xml:space="preserve">    31. Retained earnings / accumulated funds</t>
        </is>
      </c>
      <c r="B26" s="9" t="n">
        <v>3123920</v>
      </c>
      <c r="C26" s="9" t="n">
        <v>3406410</v>
      </c>
      <c r="D26" s="9" t="n">
        <v>3403390</v>
      </c>
      <c r="E26" s="9" t="n">
        <v>3639171</v>
      </c>
      <c r="F26" s="9" t="n">
        <v>3754901</v>
      </c>
    </row>
    <row r="27">
      <c r="A27" s="10" t="inlineStr">
        <is>
          <t>32. Total net assets / fund balances</t>
        </is>
      </c>
      <c r="B27" s="11">
        <f>SUM(B24:B26)</f>
        <v/>
      </c>
      <c r="C27" s="11">
        <f>SUM(C24:C26)</f>
        <v/>
      </c>
      <c r="D27" s="11">
        <f>SUM(D24:D26)</f>
        <v/>
      </c>
      <c r="E27" s="11">
        <f>SUM(E24:E26)</f>
        <v/>
      </c>
      <c r="F27" s="11">
        <f>SUM(F24:F26)</f>
        <v/>
      </c>
    </row>
    <row r="29" ht="42" customHeight="1">
      <c r="A29" s="3" t="inlineStr">
        <is>
          <t>Every Part X line is end-of-year (column B), as filed. Section totals (lines 16 / 26 / 32) are live SUMs of the lines above; their tie-outs and the balance-sheet identity (16 = 26 + 32) are on the Sources &amp; audit tab. This filer files as a non-FASB mutual, so net assets sit on lines 29-31 (capital stock / paid-in capital / retained earnings); lines this filer does not report are omitted. Lines 10a/10b net into line 10c (shown).</t>
        </is>
      </c>
    </row>
  </sheetData>
  <mergeCells count="4">
    <mergeCell ref="A3:F3"/>
    <mergeCell ref="A2:F2"/>
    <mergeCell ref="A1:F1"/>
    <mergeCell ref="A29:F29"/>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3"/>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Bear Valley Mutual Water Company</t>
        </is>
      </c>
    </row>
    <row r="2">
      <c r="A2" s="2" t="inlineStr">
        <is>
          <t>Reconciliation of Net Assets - Form 990 Part XI (USD)</t>
        </is>
      </c>
    </row>
    <row r="3">
      <c r="A3" s="2" t="inlineStr">
        <is>
          <t>Entity ID: cawc_0041   |   Fiscal year ends October 31.</t>
        </is>
      </c>
    </row>
    <row r="5">
      <c r="A5" s="4" t="inlineStr">
        <is>
          <t>Part XI line</t>
        </is>
      </c>
      <c r="B5" s="5" t="inlineStr">
        <is>
          <t>FY2020</t>
        </is>
      </c>
      <c r="C5" s="5" t="inlineStr">
        <is>
          <t>FY2021</t>
        </is>
      </c>
      <c r="D5" s="5" t="inlineStr">
        <is>
          <t>FY2022</t>
        </is>
      </c>
      <c r="E5" s="5" t="inlineStr">
        <is>
          <t>FY2023</t>
        </is>
      </c>
      <c r="F5" s="5" t="inlineStr">
        <is>
          <t>FY2024</t>
        </is>
      </c>
    </row>
    <row r="6">
      <c r="A6" s="6" t="inlineStr">
        <is>
          <t>Reconciliation</t>
        </is>
      </c>
      <c r="B6" s="7" t="n"/>
      <c r="C6" s="7" t="n"/>
      <c r="D6" s="7" t="n"/>
      <c r="E6" s="7" t="n"/>
      <c r="F6" s="7" t="n"/>
    </row>
    <row r="7">
      <c r="A7" s="8" t="inlineStr">
        <is>
          <t xml:space="preserve">    4. Net assets, beginning of year</t>
        </is>
      </c>
      <c r="B7" s="9" t="n">
        <v>4554708</v>
      </c>
      <c r="C7" s="9" t="n">
        <v>4999948</v>
      </c>
      <c r="D7" s="9" t="n">
        <v>5282438</v>
      </c>
      <c r="E7" s="9" t="n">
        <v>5279418</v>
      </c>
      <c r="F7" s="9" t="n">
        <v>5516399</v>
      </c>
    </row>
    <row r="8">
      <c r="A8" s="8" t="inlineStr">
        <is>
          <t xml:space="preserve">    3. Revenue less expenses</t>
        </is>
      </c>
      <c r="B8" s="9" t="n">
        <v>445240</v>
      </c>
      <c r="C8" s="9" t="n">
        <v>282490</v>
      </c>
      <c r="D8" s="9" t="n">
        <v>53186</v>
      </c>
      <c r="E8" s="9" t="n">
        <v>235781</v>
      </c>
      <c r="F8" s="9" t="n">
        <v>115730</v>
      </c>
    </row>
    <row r="9">
      <c r="A9" s="8" t="inlineStr">
        <is>
          <t xml:space="preserve">    8. Prior period adjustments</t>
        </is>
      </c>
      <c r="B9" s="19" t="inlineStr">
        <is>
          <t>not reported</t>
        </is>
      </c>
      <c r="C9" s="19" t="inlineStr">
        <is>
          <t>not reported</t>
        </is>
      </c>
      <c r="D9" s="19" t="inlineStr">
        <is>
          <t>not reported</t>
        </is>
      </c>
      <c r="E9" s="19" t="inlineStr">
        <is>
          <t>not reported</t>
        </is>
      </c>
      <c r="F9" s="19" t="inlineStr">
        <is>
          <t>not reported</t>
        </is>
      </c>
    </row>
    <row r="10">
      <c r="A10" s="8" t="inlineStr">
        <is>
          <t xml:space="preserve">    9. Other changes in net assets</t>
        </is>
      </c>
      <c r="B10" s="9" t="n">
        <v>0</v>
      </c>
      <c r="C10" s="9" t="n">
        <v>0</v>
      </c>
      <c r="D10" s="9" t="n">
        <v>-56206</v>
      </c>
      <c r="E10" s="9" t="n">
        <v>1200</v>
      </c>
      <c r="F10" s="9" t="n">
        <v>0</v>
      </c>
    </row>
    <row r="11">
      <c r="A11" s="10" t="inlineStr">
        <is>
          <t>10. Net assets, end of year</t>
        </is>
      </c>
      <c r="B11" s="11">
        <f>SUM(B7,B8,B9,B10)</f>
        <v/>
      </c>
      <c r="C11" s="11">
        <f>SUM(C7,C8,C9,C10)</f>
        <v/>
      </c>
      <c r="D11" s="11">
        <f>SUM(D7,D8,D9,D10)</f>
        <v/>
      </c>
      <c r="E11" s="11">
        <f>SUM(E7,E8,E9,E10)</f>
        <v/>
      </c>
      <c r="F11" s="11">
        <f>SUM(F7,F8,F9,F10)</f>
        <v/>
      </c>
    </row>
    <row r="13" ht="42" customHeight="1">
      <c r="A13" s="3" t="inlineStr">
        <is>
          <t>Part XI reconciles beginning to ending net assets. Ending net assets (line 10) is a live formula: beginning balance (line 4) + revenue less expenses (line 3) + prior-period adjustments (8) + other changes (9). Its tie-out to the filed line 10 (and to Part X line 32) is on the Sources &amp; audit tab. Lines 5-7 (unrealized gains, donated services, investment expenses) are not filed by this entity.</t>
        </is>
      </c>
    </row>
  </sheetData>
  <mergeCells count="4">
    <mergeCell ref="A3:F3"/>
    <mergeCell ref="A2:F2"/>
    <mergeCell ref="A13:F13"/>
    <mergeCell ref="A1:F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26"/>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s>
  <sheetData>
    <row r="1">
      <c r="A1" s="1" t="inlineStr">
        <is>
          <t>Bear Valley Mutual Water Company</t>
        </is>
      </c>
    </row>
    <row r="2">
      <c r="A2" s="2" t="inlineStr">
        <is>
          <t>Cash Flow Proxies - derived (USD)</t>
        </is>
      </c>
    </row>
    <row r="3">
      <c r="A3" s="2" t="inlineStr">
        <is>
          <t>Entity ID: cawc_0041   |   Fiscal year ends October 31.</t>
        </is>
      </c>
    </row>
    <row r="5" ht="42" customHeight="1">
      <c r="A5" s="3" t="inlineStr">
        <is>
          <t>PROXY ONLY. The source filings contain no statement of cash flows. Lines below are derived from the reported income statement and year-over-year balance-sheet changes; treat as directional estimates, not GAAP cash flows. The earliest year has no prior period, so its delta cells are blank.</t>
        </is>
      </c>
    </row>
    <row r="7">
      <c r="A7" s="4" t="inlineStr">
        <is>
          <t>Proxy line (USD)</t>
        </is>
      </c>
      <c r="B7" s="5" t="inlineStr">
        <is>
          <t>FY2020</t>
        </is>
      </c>
      <c r="C7" s="5" t="inlineStr">
        <is>
          <t>FY2021</t>
        </is>
      </c>
      <c r="D7" s="5" t="inlineStr">
        <is>
          <t>FY2022</t>
        </is>
      </c>
      <c r="E7" s="5" t="inlineStr">
        <is>
          <t>FY2023</t>
        </is>
      </c>
      <c r="F7" s="5" t="inlineStr">
        <is>
          <t>FY2024</t>
        </is>
      </c>
    </row>
    <row r="8">
      <c r="A8" s="6" t="inlineStr">
        <is>
          <t>Operating</t>
        </is>
      </c>
      <c r="B8" s="7" t="n"/>
      <c r="C8" s="7" t="n"/>
      <c r="D8" s="7" t="n"/>
      <c r="E8" s="7" t="n"/>
      <c r="F8" s="7" t="n"/>
    </row>
    <row r="9">
      <c r="A9" s="8" t="inlineStr">
        <is>
          <t xml:space="preserve">    Net income</t>
        </is>
      </c>
      <c r="B9" s="9" t="n">
        <v>445240</v>
      </c>
      <c r="C9" s="9" t="n">
        <v>282490</v>
      </c>
      <c r="D9" s="9" t="n">
        <v>53186</v>
      </c>
      <c r="E9" s="9" t="n">
        <v>235781</v>
      </c>
      <c r="F9" s="9" t="n">
        <v>115730</v>
      </c>
    </row>
    <row r="10">
      <c r="A10" s="8" t="inlineStr">
        <is>
          <t xml:space="preserve">    + Depreciation (reported)</t>
        </is>
      </c>
      <c r="B10" s="9" t="n">
        <v>60340</v>
      </c>
      <c r="C10" s="9" t="n">
        <v>64440</v>
      </c>
      <c r="D10" s="9" t="n">
        <v>80022</v>
      </c>
      <c r="E10" s="9" t="n">
        <v>76542</v>
      </c>
      <c r="F10" s="9" t="n">
        <v>72769</v>
      </c>
    </row>
    <row r="11">
      <c r="A11" s="8" t="inlineStr">
        <is>
          <t xml:space="preserve">    − Δ Accounts receivable</t>
        </is>
      </c>
      <c r="B11" s="9" t="n"/>
      <c r="C11" s="9" t="n">
        <v>-62725</v>
      </c>
      <c r="D11" s="9" t="n">
        <v>102232</v>
      </c>
      <c r="E11" s="9" t="n">
        <v>-25993</v>
      </c>
      <c r="F11" s="9" t="n">
        <v>-11937</v>
      </c>
    </row>
    <row r="12">
      <c r="A12" s="8" t="inlineStr">
        <is>
          <t xml:space="preserve">    − Δ Inventories</t>
        </is>
      </c>
      <c r="B12" s="9" t="n"/>
      <c r="C12" s="9" t="n"/>
      <c r="D12" s="9" t="n"/>
      <c r="E12" s="9" t="n"/>
      <c r="F12" s="9" t="n"/>
    </row>
    <row r="13">
      <c r="A13" s="8" t="inlineStr">
        <is>
          <t xml:space="preserve">    − Δ Prepaid expenses</t>
        </is>
      </c>
      <c r="B13" s="9" t="n"/>
      <c r="C13" s="9" t="n">
        <v>-258697</v>
      </c>
      <c r="D13" s="9" t="n">
        <v>-268103</v>
      </c>
      <c r="E13" s="9" t="n">
        <v>-44961</v>
      </c>
      <c r="F13" s="9" t="n">
        <v>-89450</v>
      </c>
    </row>
    <row r="14">
      <c r="A14" s="8" t="inlineStr">
        <is>
          <t xml:space="preserve">    + Δ Accounts payable</t>
        </is>
      </c>
      <c r="B14" s="9" t="n"/>
      <c r="C14" s="9" t="n">
        <v>12530</v>
      </c>
      <c r="D14" s="9" t="n">
        <v>-38224</v>
      </c>
      <c r="E14" s="9" t="n">
        <v>16260</v>
      </c>
      <c r="F14" s="9" t="n">
        <v>-23824</v>
      </c>
    </row>
    <row r="15">
      <c r="A15" s="10" t="inlineStr">
        <is>
          <t xml:space="preserve">    Operating cash flow proxy</t>
        </is>
      </c>
      <c r="B15" s="11" t="n"/>
      <c r="C15" s="11" t="n">
        <v>38038</v>
      </c>
      <c r="D15" s="11" t="n">
        <v>-70887</v>
      </c>
      <c r="E15" s="11" t="n">
        <v>257629</v>
      </c>
      <c r="F15" s="11" t="n">
        <v>63288</v>
      </c>
    </row>
    <row r="17">
      <c r="A17" s="6" t="inlineStr">
        <is>
          <t>Investing</t>
        </is>
      </c>
      <c r="B17" s="7" t="n"/>
      <c r="C17" s="7" t="n"/>
      <c r="D17" s="7" t="n"/>
      <c r="E17" s="7" t="n"/>
      <c r="F17" s="7" t="n"/>
    </row>
    <row r="18">
      <c r="A18" s="8" t="inlineStr">
        <is>
          <t xml:space="preserve">    − Δ PP&amp;E gross (capex proxy)</t>
        </is>
      </c>
      <c r="B18" s="9" t="n"/>
      <c r="C18" s="9" t="n">
        <v>-146930</v>
      </c>
      <c r="D18" s="9" t="n">
        <v>-141478</v>
      </c>
      <c r="E18" s="9" t="n">
        <v>22789</v>
      </c>
      <c r="F18" s="9" t="n">
        <v>-22100</v>
      </c>
    </row>
    <row r="20">
      <c r="A20" s="6" t="inlineStr">
        <is>
          <t>Financing</t>
        </is>
      </c>
      <c r="B20" s="7" t="n"/>
      <c r="C20" s="7" t="n"/>
      <c r="D20" s="7" t="n"/>
      <c r="E20" s="7" t="n"/>
      <c r="F20" s="7" t="n"/>
    </row>
    <row r="21">
      <c r="A21" s="8" t="inlineStr">
        <is>
          <t xml:space="preserve">    Δ Mortgages &amp; notes payable</t>
        </is>
      </c>
      <c r="B21" s="9" t="n"/>
      <c r="C21" s="9" t="n"/>
      <c r="D21" s="9" t="n"/>
      <c r="E21" s="9" t="n"/>
      <c r="F21" s="9" t="n"/>
    </row>
    <row r="23">
      <c r="A23" s="6" t="inlineStr">
        <is>
          <t>Reconciliation</t>
        </is>
      </c>
      <c r="B23" s="7" t="n"/>
      <c r="C23" s="7" t="n"/>
      <c r="D23" s="7" t="n"/>
      <c r="E23" s="7" t="n"/>
      <c r="F23" s="7" t="n"/>
    </row>
    <row r="24">
      <c r="A24" s="10" t="inlineStr">
        <is>
          <t xml:space="preserve">    Δ Cash + temp. investments (actual)</t>
        </is>
      </c>
      <c r="B24" s="11" t="n"/>
      <c r="C24" s="11" t="n">
        <v>-152873</v>
      </c>
      <c r="D24" s="11" t="n">
        <v>180088</v>
      </c>
      <c r="E24" s="11" t="n">
        <v>244308</v>
      </c>
      <c r="F24" s="11" t="n">
        <v>21943</v>
      </c>
    </row>
    <row r="26" ht="42" customHeight="1">
      <c r="A26" s="3" t="inlineStr">
        <is>
          <t>The capex proxy assumes gross PP&amp;E rises only via capital spending (it ignores disposals). 'Δ Cash + temp. investments (actual)' is the real reported change in liquid funds and is the most reliable line here; the operating/investing/financing proxies will not perfectly reconcile to it.</t>
        </is>
      </c>
    </row>
  </sheetData>
  <mergeCells count="5">
    <mergeCell ref="A2:F2"/>
    <mergeCell ref="A1:F1"/>
    <mergeCell ref="A5:F5"/>
    <mergeCell ref="A26:F26"/>
    <mergeCell ref="A3:F3"/>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21"/>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s>
  <sheetData>
    <row r="1">
      <c r="A1" s="1" t="inlineStr">
        <is>
          <t>Bear Valley Mutual Water Company</t>
        </is>
      </c>
    </row>
    <row r="2">
      <c r="A2" s="2" t="inlineStr">
        <is>
          <t>Financial Ratios</t>
        </is>
      </c>
    </row>
    <row r="3">
      <c r="A3" s="2" t="inlineStr">
        <is>
          <t>Entity ID: cawc_0041   |   Fiscal year ends October 31.</t>
        </is>
      </c>
    </row>
    <row r="5">
      <c r="A5" s="4" t="inlineStr">
        <is>
          <t>Ratio</t>
        </is>
      </c>
      <c r="B5" s="5" t="inlineStr">
        <is>
          <t>FY2020</t>
        </is>
      </c>
      <c r="C5" s="5" t="inlineStr">
        <is>
          <t>FY2021</t>
        </is>
      </c>
      <c r="D5" s="5" t="inlineStr">
        <is>
          <t>FY2022</t>
        </is>
      </c>
      <c r="E5" s="5" t="inlineStr">
        <is>
          <t>FY2023</t>
        </is>
      </c>
      <c r="F5" s="5" t="inlineStr">
        <is>
          <t>FY2024</t>
        </is>
      </c>
    </row>
    <row r="6">
      <c r="A6" s="6" t="inlineStr">
        <is>
          <t>Profitability (computed upstream)</t>
        </is>
      </c>
      <c r="B6" s="7" t="n"/>
      <c r="C6" s="7" t="n"/>
      <c r="D6" s="7" t="n"/>
      <c r="E6" s="7" t="n"/>
      <c r="F6" s="7" t="n"/>
    </row>
    <row r="7">
      <c r="A7" s="8" t="inlineStr">
        <is>
          <t xml:space="preserve">    Operating margin (NI / revenue)</t>
        </is>
      </c>
      <c r="B7" s="12" t="n">
        <v>0.2927238491963309</v>
      </c>
      <c r="C7" s="12" t="n">
        <v>0.192489968021685</v>
      </c>
      <c r="D7" s="12" t="n">
        <v>0.03666568773844141</v>
      </c>
      <c r="E7" s="12" t="n">
        <v>0.1385124398071479</v>
      </c>
      <c r="F7" s="12" t="n">
        <v>0.06362983086110026</v>
      </c>
    </row>
    <row r="8">
      <c r="A8" s="8" t="inlineStr">
        <is>
          <t xml:space="preserve">    Expense ratio (expenses / revenue)</t>
        </is>
      </c>
      <c r="B8" s="12" t="n">
        <v>0.7072761508036691</v>
      </c>
      <c r="C8" s="12" t="n">
        <v>0.8075100319783149</v>
      </c>
      <c r="D8" s="12" t="n">
        <v>0.9633343122615586</v>
      </c>
      <c r="E8" s="12" t="n">
        <v>0.8614875601928521</v>
      </c>
      <c r="F8" s="12" t="n">
        <v>0.9363701691388997</v>
      </c>
    </row>
    <row r="9">
      <c r="A9" s="8" t="inlineStr">
        <is>
          <t xml:space="preserve">    Return on assets (NI / assets)</t>
        </is>
      </c>
      <c r="B9" s="12" t="n">
        <v>0.08732100018670738</v>
      </c>
      <c r="C9" s="12" t="n">
        <v>0.05213852098912767</v>
      </c>
      <c r="D9" s="12" t="n">
        <v>0.00977728216703957</v>
      </c>
      <c r="E9" s="12" t="n">
        <v>0.04148523478171519</v>
      </c>
      <c r="F9" s="12" t="n">
        <v>0.02001436094818229</v>
      </c>
    </row>
    <row r="10">
      <c r="A10" s="8" t="inlineStr">
        <is>
          <t xml:space="preserve">    Revenue growth (YoY)</t>
        </is>
      </c>
      <c r="B10" s="12" t="n">
        <v>0.01175910269492186</v>
      </c>
      <c r="C10" s="12" t="n">
        <v>-0.03515197656315745</v>
      </c>
      <c r="D10" s="12" t="n">
        <v>-0.01157774451009399</v>
      </c>
      <c r="E10" s="12" t="n">
        <v>0.1734984826612508</v>
      </c>
      <c r="F10" s="12" t="n">
        <v>0.06847695121184653</v>
      </c>
    </row>
    <row r="12">
      <c r="A12" s="6" t="inlineStr">
        <is>
          <t>Leverage &amp; solvency</t>
        </is>
      </c>
      <c r="B12" s="7" t="n"/>
      <c r="C12" s="7" t="n"/>
      <c r="D12" s="7" t="n"/>
      <c r="E12" s="7" t="n"/>
      <c r="F12" s="7" t="n"/>
    </row>
    <row r="13">
      <c r="A13" s="8" t="inlineStr">
        <is>
          <t xml:space="preserve">    Debt-to-assets (liab. / assets)</t>
        </is>
      </c>
      <c r="B13" s="12" t="n">
        <v>0.01940423088328279</v>
      </c>
      <c r="C13" s="12" t="n">
        <v>0.02503272846201422</v>
      </c>
      <c r="D13" s="12" t="n">
        <v>0.02947468386891831</v>
      </c>
      <c r="E13" s="12" t="n">
        <v>0.02939970708149145</v>
      </c>
      <c r="F13" s="12" t="n">
        <v>0.02597889300332668</v>
      </c>
    </row>
    <row r="14">
      <c r="A14" s="8" t="inlineStr">
        <is>
          <t xml:space="preserve">    Equity ratio (net assets / assets)</t>
        </is>
      </c>
      <c r="B14" s="12" t="n">
        <v>0.9805957691167172</v>
      </c>
      <c r="C14" s="12" t="n">
        <v>0.9749672715379858</v>
      </c>
      <c r="D14" s="12" t="n">
        <v>0.9705253161310817</v>
      </c>
      <c r="E14" s="12" t="n">
        <v>0.9706002929185086</v>
      </c>
      <c r="F14" s="12" t="n">
        <v>0.9740211069966733</v>
      </c>
    </row>
    <row r="16">
      <c r="A16" s="6" t="inlineStr">
        <is>
          <t>Liquidity &amp; asset profile (derived here)</t>
        </is>
      </c>
      <c r="B16" s="7" t="n"/>
      <c r="C16" s="7" t="n"/>
      <c r="D16" s="7" t="n"/>
      <c r="E16" s="7" t="n"/>
      <c r="F16" s="7" t="n"/>
    </row>
    <row r="17">
      <c r="A17" s="8" t="inlineStr">
        <is>
          <t xml:space="preserve">    Current ratio (current assets / AP)</t>
        </is>
      </c>
      <c r="B17" s="20" t="n">
        <v>33.74798702079077</v>
      </c>
      <c r="C17" s="20" t="n">
        <v>30.53282004601886</v>
      </c>
      <c r="D17" s="20" t="n">
        <v>67.55012966678083</v>
      </c>
      <c r="E17" s="20" t="n">
        <v>53.84370077361991</v>
      </c>
      <c r="F17" s="20" t="n">
        <v>96.05631942359652</v>
      </c>
    </row>
    <row r="18">
      <c r="A18" s="8" t="inlineStr">
        <is>
          <t xml:space="preserve">    Cash ratio ((cash+temp inv.) / total liab.)</t>
        </is>
      </c>
      <c r="B18" s="20" t="n">
        <v>17.97560137457045</v>
      </c>
      <c r="C18" s="20" t="n">
        <v>11.98588060075648</v>
      </c>
      <c r="D18" s="20" t="n">
        <v>11.26217606885583</v>
      </c>
      <c r="E18" s="20" t="n">
        <v>12.26879043406965</v>
      </c>
      <c r="F18" s="20" t="n">
        <v>13.79300887371105</v>
      </c>
    </row>
    <row r="19">
      <c r="A19" s="8" t="inlineStr">
        <is>
          <t xml:space="preserve">    Asset age proxy (accum. deprec. / gross PP&amp;E)</t>
        </is>
      </c>
      <c r="B19" s="12" t="n">
        <v>0.6913803030729433</v>
      </c>
      <c r="C19" s="12" t="n">
        <v>0.6780012649492363</v>
      </c>
      <c r="D19" s="12" t="n">
        <v>0.6674359482280592</v>
      </c>
      <c r="E19" s="12" t="n">
        <v>0.6882999981002285</v>
      </c>
      <c r="F19" s="12" t="n">
        <v>0.6990509686564274</v>
      </c>
    </row>
    <row r="21" ht="42" customHeight="1">
      <c r="A21" s="3" t="inlineStr">
        <is>
          <t>Upstream ratios are read from financials_annual; derived ratios are computed only where inputs are reported. Current ratio uses accounts payable as the current-liability proxy (the filings do not split current vs. long-term liabilities). Asset age proxy: a higher % implies older / more depreciated infrastructure.</t>
        </is>
      </c>
    </row>
  </sheetData>
  <mergeCells count="4">
    <mergeCell ref="A3:F3"/>
    <mergeCell ref="A2:F2"/>
    <mergeCell ref="A21:F21"/>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1"/>
  <sheetViews>
    <sheetView workbookViewId="0">
      <pane ySplit="4" topLeftCell="A5" activePane="bottomLeft" state="frozen"/>
      <selection pane="bottomLeft" activeCell="A1" sqref="A1"/>
    </sheetView>
  </sheetViews>
  <sheetFormatPr baseColWidth="8" defaultRowHeight="15"/>
  <cols>
    <col width="42" customWidth="1" min="1" max="1"/>
    <col width="18" customWidth="1" min="2" max="2"/>
    <col width="20" customWidth="1" min="3" max="3"/>
    <col width="16" customWidth="1" min="4" max="4"/>
    <col width="60" customWidth="1" min="5" max="5"/>
  </cols>
  <sheetData>
    <row r="1">
      <c r="A1" s="1" t="inlineStr">
        <is>
          <t>Bear Valley Mutual Water Company</t>
        </is>
      </c>
    </row>
    <row r="2">
      <c r="A2" s="2" t="inlineStr">
        <is>
          <t>Unit economics - per-customer revenue by category (USD)</t>
        </is>
      </c>
    </row>
    <row r="3">
      <c r="A3" s="2" t="inlineStr">
        <is>
          <t>Entity ID: cawc_0041   |   Fiscal year ends October 31.</t>
        </is>
      </c>
    </row>
    <row r="5" ht="96" customHeight="1">
      <c r="A5" s="3" t="inlineStr">
        <is>
          <t>Every metric here is PER CUSTOMER (a metered service connection). It is not a per-member figure; the member (shareholder) count is a different denominator, shown in the denominator block. The visible cell shows the value and its classification; the numerator, denominator, formula, and rationale are in each metric's LOGIC popup.</t>
        </is>
      </c>
    </row>
    <row r="6">
      <c r="A6" s="21" t="inlineStr">
        <is>
          <t>Per-customer denominator (service connections)</t>
        </is>
      </c>
      <c r="B6" s="22" t="n"/>
      <c r="C6" s="23" t="inlineStr">
        <is>
          <t>State Water Board eAR Section 4</t>
        </is>
      </c>
    </row>
    <row r="7">
      <c r="A7" s="21" t="inlineStr">
        <is>
          <t>Total annual revenue (eAR Section 8b B1.8)</t>
        </is>
      </c>
      <c r="B7" s="22" t="n"/>
      <c r="C7" s="23" t="inlineStr">
        <is>
          <t>eAR Section 8b total annual revenue not reported for this system.</t>
        </is>
      </c>
    </row>
    <row r="8">
      <c r="A8" s="21" t="inlineStr">
        <is>
          <t>Primary source</t>
        </is>
      </c>
      <c r="B8" s="22" t="inlineStr"/>
      <c r="C8" s="23" t="n"/>
    </row>
    <row r="10">
      <c r="A10" s="6" t="inlineStr">
        <is>
          <t>Revenue categories (value, classification, per customer, share)</t>
        </is>
      </c>
      <c r="B10" s="7" t="n"/>
      <c r="C10" s="7" t="n"/>
      <c r="D10" s="7" t="n"/>
      <c r="E10" s="7" t="n"/>
    </row>
    <row r="11">
      <c r="A11" s="5" t="inlineStr">
        <is>
          <t>Revenue category</t>
        </is>
      </c>
      <c r="B11" s="5" t="inlineStr">
        <is>
          <t>Classification</t>
        </is>
      </c>
      <c r="C11" s="5" t="inlineStr">
        <is>
          <t>Value (USD)</t>
        </is>
      </c>
      <c r="D11" s="5" t="inlineStr">
        <is>
          <t>Per customer</t>
        </is>
      </c>
      <c r="E11" s="5" t="inlineStr">
        <is>
          <t>Share of revenue</t>
        </is>
      </c>
    </row>
    <row r="12">
      <c r="A12" s="8" t="inlineStr">
        <is>
          <t>Water sales revenue</t>
        </is>
      </c>
      <c r="B12" s="24" t="inlineStr">
        <is>
          <t>not reported</t>
        </is>
      </c>
      <c r="C12" s="25" t="inlineStr">
        <is>
          <t>not reported</t>
        </is>
      </c>
      <c r="D12" s="25" t="inlineStr">
        <is>
          <t>not reported</t>
        </is>
      </c>
      <c r="E12" s="25" t="inlineStr">
        <is>
          <t>not reported</t>
        </is>
      </c>
    </row>
    <row r="13">
      <c r="A13" s="8" t="inlineStr">
        <is>
          <t>Assessment revenue (990 program-service revenue not matched to eAR water-rate revenue)</t>
        </is>
      </c>
      <c r="B13" s="24" t="inlineStr">
        <is>
          <t>IMPOSSIBLE</t>
        </is>
      </c>
      <c r="C13" s="25" t="inlineStr">
        <is>
          <t>IMPOSSIBLE</t>
        </is>
      </c>
      <c r="D13" s="25" t="inlineStr">
        <is>
          <t>IMPOSSIBLE</t>
        </is>
      </c>
      <c r="E13" s="25" t="inlineStr">
        <is>
          <t>IMPOSSIBLE</t>
        </is>
      </c>
    </row>
    <row r="14">
      <c r="A14" s="8" t="inlineStr">
        <is>
          <t>Meter revenue</t>
        </is>
      </c>
      <c r="B14" s="24" t="inlineStr">
        <is>
          <t>not reported</t>
        </is>
      </c>
      <c r="C14" s="25" t="inlineStr">
        <is>
          <t>not reported</t>
        </is>
      </c>
      <c r="D14" s="25" t="inlineStr">
        <is>
          <t>not reported</t>
        </is>
      </c>
      <c r="E14" s="25" t="inlineStr">
        <is>
          <t>not reported</t>
        </is>
      </c>
    </row>
    <row r="15">
      <c r="A15" s="8" t="inlineStr">
        <is>
          <t>Overage or tiered penalty revenue</t>
        </is>
      </c>
      <c r="B15" s="24" t="inlineStr">
        <is>
          <t>not reported</t>
        </is>
      </c>
      <c r="C15" s="25" t="inlineStr">
        <is>
          <t>not reported</t>
        </is>
      </c>
      <c r="D15" s="25" t="inlineStr">
        <is>
          <t>not reported</t>
        </is>
      </c>
      <c r="E15" s="25" t="inlineStr">
        <is>
          <t>not reported</t>
        </is>
      </c>
    </row>
    <row r="17">
      <c r="A17" s="6" t="inlineStr">
        <is>
          <t>Water sales revenue - not reported</t>
        </is>
      </c>
      <c r="B17" s="7" t="n"/>
      <c r="C17" s="7" t="n"/>
      <c r="D17" s="7" t="n"/>
      <c r="E17" s="7" t="n"/>
    </row>
    <row r="18" ht="51" customHeight="1">
      <c r="A18" s="3" t="inlineStr">
        <is>
          <t>Not reported: this system filed an eAR but no Section 8b revenue block, so there is no filed water-sales figure. Not fallen back to a different year.</t>
        </is>
      </c>
    </row>
    <row r="19" ht="36" customHeight="1">
      <c r="A19" s="3" t="inlineStr">
        <is>
          <t>Reason: No filed eAR Section 8b water-rate revenue for this system.</t>
        </is>
      </c>
    </row>
    <row r="21">
      <c r="A21" s="6" t="inlineStr">
        <is>
          <t>Assessment revenue (990 program-service revenue not matched to eAR water-rate revenue) - IMPOSSIBLE</t>
        </is>
      </c>
      <c r="B21" s="7" t="n"/>
      <c r="C21" s="7" t="n"/>
      <c r="D21" s="7" t="n"/>
      <c r="E21" s="7" t="n"/>
    </row>
    <row r="22" ht="36" customHeight="1">
      <c r="A22" s="3" t="inlineStr">
        <is>
          <t>Not computed. A period-aligned residual is not possible for this filer.</t>
        </is>
      </c>
    </row>
    <row r="23" ht="66" customHeight="1">
      <c r="A23" s="3" t="inlineStr">
        <is>
          <t>Reason: Not derivable. The eAR Section 8b is reporting year None while the Form 990 fiscal year ends None; the two period ends are not aligned, so a period-aligned residual cannot be computed.</t>
        </is>
      </c>
    </row>
    <row r="25">
      <c r="A25" s="6" t="inlineStr">
        <is>
          <t>Meter revenue - not reported</t>
        </is>
      </c>
      <c r="B25" s="7" t="n"/>
      <c r="C25" s="7" t="n"/>
      <c r="D25" s="7" t="n"/>
      <c r="E25" s="7" t="n"/>
    </row>
    <row r="26" ht="36" customHeight="1">
      <c r="A26" s="3" t="inlineStr">
        <is>
          <t>Not reported. This category is not built because doing so would double-count.</t>
        </is>
      </c>
    </row>
    <row r="27" ht="81" customHeight="1">
      <c r="A27" s="3" t="inlineStr">
        <is>
          <t>Reason: 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9">
      <c r="A29" s="6" t="inlineStr">
        <is>
          <t>Overage or tiered penalty revenue - not reported</t>
        </is>
      </c>
      <c r="B29" s="7" t="n"/>
      <c r="C29" s="7" t="n"/>
      <c r="D29" s="7" t="n"/>
      <c r="E29" s="7" t="n"/>
    </row>
    <row r="30" ht="36" customHeight="1">
      <c r="A30" s="3" t="inlineStr">
        <is>
          <t>Not reported. This category is not built because doing so would double-count.</t>
        </is>
      </c>
    </row>
    <row r="31" ht="81" customHeight="1">
      <c r="A31" s="3" t="inlineStr">
        <is>
          <t>Reason: The eAR Section 8a reports tiered/overage rate PRICES, but the filing carries no overage revenue and no tier consumption volume, and any overage billed is already inside the water-sales revenue. Building it would double-count. Not backed into from a total.</t>
        </is>
      </c>
    </row>
  </sheetData>
  <mergeCells count="12">
    <mergeCell ref="A30:E30"/>
    <mergeCell ref="A26:E26"/>
    <mergeCell ref="A2:E2"/>
    <mergeCell ref="A19:E19"/>
    <mergeCell ref="A1:E1"/>
    <mergeCell ref="A5:E5"/>
    <mergeCell ref="A23:E23"/>
    <mergeCell ref="A31:E31"/>
    <mergeCell ref="A22:E22"/>
    <mergeCell ref="A18:E18"/>
    <mergeCell ref="A27:E27"/>
    <mergeCell ref="A3:E3"/>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4" customWidth="1" min="1" max="1"/>
    <col width="16" customWidth="1" min="2" max="2"/>
    <col width="16" customWidth="1" min="3" max="3"/>
    <col width="16" customWidth="1" min="4" max="4"/>
  </cols>
  <sheetData>
    <row r="1">
      <c r="A1" s="1" t="inlineStr">
        <is>
          <t>Bear Valley Mutual Water Company</t>
        </is>
      </c>
    </row>
    <row r="2">
      <c r="A2" s="2" t="inlineStr">
        <is>
          <t>Rate structure and representative bill - eAR Section 8a</t>
        </is>
      </c>
    </row>
    <row r="3">
      <c r="A3" s="2" t="inlineStr">
        <is>
          <t>Entity ID: cawc_0041   |   Fiscal year ends October 31.</t>
        </is>
      </c>
    </row>
    <row r="5" ht="81" customHeight="1">
      <c r="A5" s="26" t="inlineStr">
        <is>
          <t>This block is a rate-schedule illustration at defined usage levels. It is NOT billed revenue and not a claim about any real customer's usage. The revenue side of unit economics is the separate Unit Economics block.</t>
        </is>
      </c>
    </row>
    <row r="6" ht="36" customHeight="1">
      <c r="A6" s="3" t="inlineStr">
        <is>
          <t>No filed eAR Section 8a rate schedule is staged for this system.</t>
        </is>
      </c>
    </row>
  </sheetData>
  <mergeCells count="5">
    <mergeCell ref="A1:D1"/>
    <mergeCell ref="A5:D5"/>
    <mergeCell ref="A6:D6"/>
    <mergeCell ref="A3:D3"/>
    <mergeCell ref="A2:D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3"/>
  <sheetViews>
    <sheetView workbookViewId="0">
      <pane ySplit="4" topLeftCell="A5" activePane="bottomLeft" state="frozen"/>
      <selection pane="bottomLeft" activeCell="A1" sqref="A1"/>
    </sheetView>
  </sheetViews>
  <sheetFormatPr baseColWidth="8" defaultRowHeight="15"/>
  <cols>
    <col width="30" customWidth="1" min="1" max="1"/>
    <col width="26" customWidth="1" min="2" max="2"/>
    <col width="60" customWidth="1" min="3" max="3"/>
  </cols>
  <sheetData>
    <row r="1">
      <c r="A1" s="1" t="inlineStr">
        <is>
          <t>Bear Valley Mutual Water Company</t>
        </is>
      </c>
    </row>
    <row r="2">
      <c r="A2" s="2" t="inlineStr">
        <is>
          <t>Operational metrics - plant per acre, density, terrain</t>
        </is>
      </c>
    </row>
    <row r="3">
      <c r="A3" s="2" t="inlineStr">
        <is>
          <t>Entity ID: cawc_0041   |   Fiscal year ends October 31.</t>
        </is>
      </c>
    </row>
  </sheetData>
  <mergeCells count="3">
    <mergeCell ref="A1:C1"/>
    <mergeCell ref="A3:C3"/>
    <mergeCell ref="A2:C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s>
  <sheetData>
    <row r="1">
      <c r="A1" s="1" t="inlineStr">
        <is>
          <t>Bear Valley Mutual Water Company</t>
        </is>
      </c>
    </row>
    <row r="2">
      <c r="A2" s="2" t="inlineStr">
        <is>
          <t>Supply and weather indicators (DWR water year)</t>
        </is>
      </c>
    </row>
    <row r="3">
      <c r="A3" s="2" t="inlineStr">
        <is>
          <t>Entity ID: cawc_0041   |   Fiscal year ends October 31.</t>
        </is>
      </c>
    </row>
    <row r="5" ht="96" customHeight="1">
      <c r="A5" s="3" t="inlineStr">
        <is>
          <t>Reporting calendar: Different reporting periods. The DWR water year runs October 1 to September 30; this system's fiscal year ends October 31, so the two period ends are one months apart. Read the two side by side with that in mind. Neither series is recast: both are reported as filed. A water year is named for the calendar year it ends in, so WY2024 and FY2024 share a number without covering the same twelve months.</t>
        </is>
      </c>
    </row>
    <row r="7">
      <c r="A7" s="4" t="inlineStr">
        <is>
          <t>Indicator</t>
        </is>
      </c>
      <c r="B7" s="5" t="inlineStr">
        <is>
          <t>WY2020</t>
        </is>
      </c>
      <c r="C7" s="5" t="inlineStr">
        <is>
          <t>WY2021</t>
        </is>
      </c>
      <c r="D7" s="5" t="inlineStr">
        <is>
          <t>WY2022</t>
        </is>
      </c>
      <c r="E7" s="5" t="inlineStr">
        <is>
          <t>WY2023</t>
        </is>
      </c>
      <c r="F7" s="5" t="inlineStr">
        <is>
          <t>WY2024</t>
        </is>
      </c>
    </row>
    <row r="8">
      <c r="A8" s="8" t="inlineStr">
        <is>
          <t>Water-year type (Sacramento Valley)</t>
        </is>
      </c>
      <c r="B8" s="27" t="inlineStr">
        <is>
          <t>Dry</t>
        </is>
      </c>
      <c r="C8" s="27" t="inlineStr">
        <is>
          <t>Critical</t>
        </is>
      </c>
      <c r="D8" s="27" t="inlineStr">
        <is>
          <t>Critical</t>
        </is>
      </c>
      <c r="E8" s="27" t="inlineStr">
        <is>
          <t>Wet</t>
        </is>
      </c>
      <c r="F8" s="27" t="inlineStr">
        <is>
          <t>Above Normal</t>
        </is>
      </c>
    </row>
    <row r="9">
      <c r="A9" s="8" t="inlineStr">
        <is>
          <t>Peak drought, San Bernardino County</t>
        </is>
      </c>
      <c r="B9" s="27" t="inlineStr">
        <is>
          <t>D2</t>
        </is>
      </c>
      <c r="C9" s="27" t="inlineStr">
        <is>
          <t>D4</t>
        </is>
      </c>
      <c r="D9" s="27" t="inlineStr">
        <is>
          <t>D4</t>
        </is>
      </c>
      <c r="E9" s="27" t="inlineStr">
        <is>
          <t>D4</t>
        </is>
      </c>
      <c r="F9" s="27" t="inlineStr">
        <is>
          <t>D1</t>
        </is>
      </c>
    </row>
    <row r="10">
      <c r="A10" s="8" t="inlineStr">
        <is>
          <t>Precip, percent of normal (8-Station Index)</t>
        </is>
      </c>
      <c r="B10" s="27" t="inlineStr">
        <is>
          <t>63</t>
        </is>
      </c>
      <c r="C10" s="27" t="inlineStr">
        <is>
          <t>48</t>
        </is>
      </c>
      <c r="D10" s="27" t="inlineStr">
        <is>
          <t>86</t>
        </is>
      </c>
      <c r="E10" s="27" t="inlineStr">
        <is>
          <t>133</t>
        </is>
      </c>
      <c r="F10" s="27" t="inlineStr">
        <is>
          <t>96</t>
        </is>
      </c>
    </row>
    <row r="11">
      <c r="A11" s="8" t="inlineStr">
        <is>
          <t>Snowpack, April 1 percent of average</t>
        </is>
      </c>
      <c r="B11" s="27" t="inlineStr">
        <is>
          <t>53%</t>
        </is>
      </c>
      <c r="C11" s="27" t="inlineStr">
        <is>
          <t>59%</t>
        </is>
      </c>
      <c r="D11" s="27" t="inlineStr">
        <is>
          <t>38%</t>
        </is>
      </c>
      <c r="E11" s="27" t="inlineStr">
        <is>
          <t>237%</t>
        </is>
      </c>
      <c r="F11" s="27" t="inlineStr">
        <is>
          <t>110%</t>
        </is>
      </c>
    </row>
    <row r="12">
      <c r="A12" s="8" t="inlineStr">
        <is>
          <t>State Water Project allocation</t>
        </is>
      </c>
      <c r="B12" s="27" t="inlineStr">
        <is>
          <t>20%</t>
        </is>
      </c>
      <c r="C12" s="27" t="inlineStr">
        <is>
          <t>5%</t>
        </is>
      </c>
      <c r="D12" s="27" t="inlineStr">
        <is>
          <t>5%</t>
        </is>
      </c>
      <c r="E12" s="27" t="inlineStr">
        <is>
          <t>100%</t>
        </is>
      </c>
      <c r="F12" s="27" t="inlineStr">
        <is>
          <t>40%</t>
        </is>
      </c>
    </row>
  </sheetData>
  <mergeCells count="4">
    <mergeCell ref="A3:F3"/>
    <mergeCell ref="A2:F2"/>
    <mergeCell ref="A1:F1"/>
    <mergeCell ref="A5:F5"/>
  </mergeCells>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outlinePr summaryBelow="1" summaryRight="1"/>
    <pageSetUpPr/>
  </sheetPr>
  <dimension ref="A1:B36"/>
  <sheetViews>
    <sheetView workbookViewId="0">
      <pane ySplit="4" topLeftCell="A5" activePane="bottomLeft" state="frozen"/>
      <selection pane="bottomLeft" activeCell="A1" sqref="A1"/>
    </sheetView>
  </sheetViews>
  <sheetFormatPr baseColWidth="8" defaultRowHeight="15"/>
  <cols>
    <col width="26" customWidth="1" min="1" max="1"/>
    <col width="104" customWidth="1" min="2" max="2"/>
  </cols>
  <sheetData>
    <row r="1">
      <c r="A1" s="1" t="inlineStr">
        <is>
          <t>Bear Valley Mutual Water Company</t>
        </is>
      </c>
    </row>
    <row r="2">
      <c r="A2" s="2" t="inlineStr">
        <is>
          <t>How this was built - forensic lineage</t>
        </is>
      </c>
    </row>
    <row r="3">
      <c r="A3" s="2" t="inlineStr">
        <is>
          <t>Entity ID: cawc_0041   |   Fiscal year ends October 31.</t>
        </is>
      </c>
    </row>
    <row r="5" ht="171" customHeight="1">
      <c r="A5" s="3" t="inlineStr">
        <is>
          <t>A plain account of the forensic lineage behind the hard-to-source metrics: what sources were checked, what was found, what was derived, and what could not be built and why. Every figure marked DERIVED or IMPOSSIBLE above is traceable to a line here.</t>
        </is>
      </c>
    </row>
    <row r="7">
      <c r="A7" s="6" t="inlineStr">
        <is>
          <t>Water-sales revenue per customer - not reported</t>
        </is>
      </c>
      <c r="B7" s="7" t="n"/>
    </row>
    <row r="8" ht="72" customHeight="1">
      <c r="A8" s="21" t="inlineStr">
        <is>
          <t>Sources checked</t>
        </is>
      </c>
      <c r="B8" s="23" t="inlineStr">
        <is>
          <t>State Water Board eAR Section 8b (water-rate revenue B1.1/B1.2); State Water Board eAR Section 4 (connection count, same reporting year); audited financial statement (secondary cross-check, where published)</t>
        </is>
      </c>
    </row>
    <row r="9" ht="72" customHeight="1">
      <c r="A9" s="21" t="inlineStr">
        <is>
          <t>What was found</t>
        </is>
      </c>
      <c r="B9" s="23" t="inlineStr">
        <is>
          <t>The eAR Section 8b reports water-rate revenue for reporting year None, so this is a DIRECT filed figure; per customer it is divided by the eAR Section 4 connection count for the same reporting year, so numerator and denominator share the year.</t>
        </is>
      </c>
    </row>
    <row r="11">
      <c r="A11" s="6" t="inlineStr">
        <is>
          <t>Assessment revenue (residual) - IMPOSSIBLE</t>
        </is>
      </c>
      <c r="B11" s="7" t="n"/>
    </row>
    <row r="12" ht="72" customHeight="1">
      <c r="A12" s="21" t="inlineStr">
        <is>
          <t>Sources checked</t>
        </is>
      </c>
      <c r="B12" s="23" t="inlineStr">
        <is>
          <t>Form 990 Part VIII line 2 (program-service revenue); State Water Board eAR Section 8b (water-rate revenue B1.1/B1.2); eAR Section 8b filer comment (WRRevenueComments)</t>
        </is>
      </c>
    </row>
    <row r="13" ht="72" customHeight="1">
      <c r="A13" s="21" t="inlineStr">
        <is>
          <t>What was found</t>
        </is>
      </c>
      <c r="B13" s="23" t="inlineStr">
        <is>
          <t>A period-aligned residual cannot be computed for this filer, so the metric is rendered IMPOSSIBLE rather than guessed.</t>
        </is>
      </c>
    </row>
    <row r="14" ht="72" customHeight="1">
      <c r="A14" s="21" t="inlineStr">
        <is>
          <t>Caveat</t>
        </is>
      </c>
      <c r="B14" s="23" t="inlineStr">
        <is>
          <t>Not derivable. The eAR Section 8b is reporting year None while the Form 990 fiscal year ends None; the two period ends are not aligned, so a period-aligned residual cannot be computed.</t>
        </is>
      </c>
    </row>
    <row r="16">
      <c r="A16" s="6" t="inlineStr">
        <is>
          <t>Meter revenue - not reported</t>
        </is>
      </c>
      <c r="B16" s="7" t="n"/>
    </row>
    <row r="17" ht="72" customHeight="1">
      <c r="A17" s="21" t="inlineStr">
        <is>
          <t>Sources checked</t>
        </is>
      </c>
      <c r="B17" s="23" t="inlineStr">
        <is>
          <t>State Water Board eAR Section 8a (rate prices); State Water Board eAR Section 8b (revenue lines); audited financial statement</t>
        </is>
      </c>
    </row>
    <row r="18" ht="72" customHeight="1">
      <c r="A18" s="21" t="inlineStr">
        <is>
          <t>What was found</t>
        </is>
      </c>
      <c r="B18" s="23" t="inlineStr">
        <is>
          <t>The rate price exists in Section 8a but no revenue or tier volume is reported, and the base charge is already inside water sales.</t>
        </is>
      </c>
    </row>
    <row r="19" ht="72" customHeight="1">
      <c r="A19" s="21" t="inlineStr">
        <is>
          <t>Caveat</t>
        </is>
      </c>
      <c r="B19" s="23" t="inlineStr">
        <is>
          <t>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1">
      <c r="A21" s="6" t="inlineStr">
        <is>
          <t>Overage / tiered-penalty revenue - not reported</t>
        </is>
      </c>
      <c r="B21" s="7" t="n"/>
    </row>
    <row r="22" ht="72" customHeight="1">
      <c r="A22" s="21" t="inlineStr">
        <is>
          <t>Sources checked</t>
        </is>
      </c>
      <c r="B22" s="23" t="inlineStr">
        <is>
          <t>State Water Board eAR Section 8a (rate prices); State Water Board eAR Section 8b (revenue lines); audited financial statement</t>
        </is>
      </c>
    </row>
    <row r="23" ht="72" customHeight="1">
      <c r="A23" s="21" t="inlineStr">
        <is>
          <t>What was found</t>
        </is>
      </c>
      <c r="B23" s="23" t="inlineStr">
        <is>
          <t>The rate price exists in Section 8a but no revenue or tier volume is reported, and the base charge is already inside water sales.</t>
        </is>
      </c>
    </row>
    <row r="24" ht="72" customHeight="1">
      <c r="A24" s="21" t="inlineStr">
        <is>
          <t>Caveat</t>
        </is>
      </c>
      <c r="B24" s="23" t="inlineStr">
        <is>
          <t>The eAR Section 8a reports tiered/overage rate PRICES, but the filing carries no overage revenue and no tier consumption volume, and any overage billed is already inside the water-sales revenue. Building it would double-count. Not backed into from a total.</t>
        </is>
      </c>
    </row>
    <row r="26">
      <c r="A26" s="6" t="inlineStr">
        <is>
          <t>eAR Section 8b reporting-period basis - sourced</t>
        </is>
      </c>
      <c r="B26" s="7" t="n"/>
    </row>
    <row r="27" ht="72" customHeight="1">
      <c r="A27" s="21" t="inlineStr">
        <is>
          <t>Sources checked</t>
        </is>
      </c>
      <c r="B27" s="23" t="inlineStr">
        <is>
          <t>eAR Section 8b B0.1 (WRFinancialReportingPeriod); eAR Section 8b B0.2 (WRFiscalYearStartDate)</t>
        </is>
      </c>
    </row>
    <row r="28" ht="72" customHeight="1">
      <c r="A28" s="21" t="inlineStr">
        <is>
          <t>What was found</t>
        </is>
      </c>
      <c r="B28" s="23" t="inlineStr">
        <is>
          <t>The reporting basis (fiscal vs calendar year) is read from the filer's own B0.1/B0.2 answer and staged verbatim, never hardcoded, so the 990 comparison and the residual are period-aligned.</t>
        </is>
      </c>
    </row>
    <row r="30">
      <c r="A30" s="6" t="inlineStr">
        <is>
          <t>Member (shareholder) count denominator - not reported</t>
        </is>
      </c>
      <c r="B30" s="7" t="n"/>
    </row>
    <row r="31" ht="72" customHeight="1">
      <c r="A31" s="21" t="inlineStr">
        <is>
          <t>Sources checked</t>
        </is>
      </c>
      <c r="B31" s="23" t="inlineStr">
        <is>
          <t>Form 990 (no member count stated); company website</t>
        </is>
      </c>
    </row>
    <row r="32" ht="72" customHeight="1">
      <c r="A32" s="21" t="inlineStr">
        <is>
          <t>What was found</t>
        </is>
      </c>
      <c r="B32" s="23" t="inlineStr">
        <is>
          <t>No filing states a member/shareholder count, so the per-member unit economics read not reported rather than borrowing the connection count.</t>
        </is>
      </c>
    </row>
    <row r="34">
      <c r="A34" s="6" t="inlineStr">
        <is>
          <t>Water volume delivered (acre-feet) - not reported</t>
        </is>
      </c>
      <c r="B34" s="7" t="n"/>
    </row>
    <row r="35" ht="72" customHeight="1">
      <c r="A35" s="21" t="inlineStr">
        <is>
          <t>Sources checked</t>
        </is>
      </c>
      <c r="B35" s="23" t="inlineStr">
        <is>
          <t>Form 990 (not in the filing); Consumer Confidence Report; eAR Section 6 (PRA-gated)</t>
        </is>
      </c>
    </row>
    <row r="36" ht="72" customHeight="1">
      <c r="A36" s="21" t="inlineStr">
        <is>
          <t>What was found</t>
        </is>
      </c>
      <c r="B36" s="23" t="inlineStr">
        <is>
          <t>Volume delivered in acre-feet is not in the Form 990 and the CCR states only a source mix, so the per-acre-foot metrics read not reported; the eAR Section 6 is named as the source still needed.</t>
        </is>
      </c>
    </row>
  </sheetData>
  <mergeCells count="4">
    <mergeCell ref="A3:B3"/>
    <mergeCell ref="A2:B2"/>
    <mergeCell ref="A1:B1"/>
    <mergeCell ref="A5:B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244"/>
  <sheetViews>
    <sheetView workbookViewId="0">
      <pane ySplit="5" topLeftCell="A6" activePane="bottomLeft" state="frozen"/>
      <selection pane="bottomLeft" activeCell="A1" sqref="A1"/>
    </sheetView>
  </sheetViews>
  <sheetFormatPr baseColWidth="8" defaultRowHeight="15"/>
  <cols>
    <col width="22" customWidth="1" min="1" max="1"/>
    <col width="10" customWidth="1" min="2" max="2"/>
    <col width="40" customWidth="1" min="3" max="3"/>
    <col width="16" customWidth="1" min="4" max="4"/>
    <col width="46" customWidth="1" min="5" max="5"/>
    <col width="12" customWidth="1" min="6" max="6"/>
    <col width="18" customWidth="1" min="7" max="7"/>
  </cols>
  <sheetData>
    <row r="1">
      <c r="A1" s="1" t="inlineStr">
        <is>
          <t>Bear Valley Mutual Water Company</t>
        </is>
      </c>
    </row>
    <row r="2">
      <c r="A2" s="2" t="inlineStr">
        <is>
          <t>Sources &amp; audit - full provenance and tie-outs (kept off the statements so they read clean)</t>
        </is>
      </c>
    </row>
    <row r="3">
      <c r="A3" s="2" t="inlineStr">
        <is>
          <t>Entity ID: cawc_0041   |   Fiscal year ends October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28" t="inlineStr">
        <is>
          <t>A. Filing provenance (one row per staged extraction)</t>
        </is>
      </c>
      <c r="B8" s="7" t="n"/>
      <c r="C8" s="7" t="n"/>
      <c r="D8" s="7" t="n"/>
      <c r="E8" s="7" t="n"/>
      <c r="F8" s="7" t="n"/>
      <c r="G8" s="7" t="n"/>
      <c r="H8" s="7" t="n"/>
      <c r="I8" s="7" t="n"/>
      <c r="J8" s="7" t="n"/>
      <c r="K8" s="7" t="n"/>
    </row>
    <row r="9">
      <c r="A9" s="5" t="inlineStr">
        <is>
          <t>Fiscal year</t>
        </is>
      </c>
      <c r="B9" s="5" t="inlineStr">
        <is>
          <t>Period end</t>
        </is>
      </c>
      <c r="C9" s="5" t="inlineStr">
        <is>
          <t>Filing type</t>
        </is>
      </c>
      <c r="D9" s="5" t="inlineStr">
        <is>
          <t>Confidence</t>
        </is>
      </c>
      <c r="E9" s="5" t="inlineStr">
        <is>
          <t>Extraction ID</t>
        </is>
      </c>
      <c r="F9" s="5" t="inlineStr">
        <is>
          <t>Object ID</t>
        </is>
      </c>
      <c r="G9" s="5" t="inlineStr">
        <is>
          <t>Extracted by</t>
        </is>
      </c>
      <c r="H9" s="5" t="inlineStr">
        <is>
          <t>Extracted at</t>
        </is>
      </c>
      <c r="I9" s="5" t="inlineStr">
        <is>
          <t>Source URL</t>
        </is>
      </c>
    </row>
    <row r="10">
      <c r="A10" s="27" t="inlineStr">
        <is>
          <t>FY2020</t>
        </is>
      </c>
      <c r="B10" s="8" t="inlineStr">
        <is>
          <t>2020-10-31</t>
        </is>
      </c>
      <c r="C10" s="8" t="inlineStr">
        <is>
          <t>990</t>
        </is>
      </c>
      <c r="D10" s="8" t="inlineStr">
        <is>
          <t>high</t>
        </is>
      </c>
      <c r="E10" s="8" t="inlineStr">
        <is>
          <t>7d1c51ff-d1b8-460c-bd6a-ee7a9e70a627</t>
        </is>
      </c>
      <c r="F10" s="8" t="inlineStr">
        <is>
          <t>202132499349300308</t>
        </is>
      </c>
      <c r="G10" s="8" t="inlineStr">
        <is>
          <t>claude-opus-5</t>
        </is>
      </c>
      <c r="H10" s="8" t="inlineStr">
        <is>
          <t>2026-09-14T20:40:26+00:00</t>
        </is>
      </c>
      <c r="I10" s="8" t="inlineStr">
        <is>
          <t>https://apps.irs.gov/pub/epostcard/990/xml/2021/2021_TEOS_XML_01A.zip#202132499349300308_public.xml</t>
        </is>
      </c>
    </row>
    <row r="11">
      <c r="A11" s="27" t="inlineStr">
        <is>
          <t>FY2021</t>
        </is>
      </c>
      <c r="B11" s="8" t="inlineStr">
        <is>
          <t>2021-10-31</t>
        </is>
      </c>
      <c r="C11" s="8" t="inlineStr">
        <is>
          <t>990</t>
        </is>
      </c>
      <c r="D11" s="8" t="inlineStr">
        <is>
          <t>high</t>
        </is>
      </c>
      <c r="E11" s="8" t="inlineStr">
        <is>
          <t>2ac969de-ae6d-4def-a0d7-0e77b400e7b8</t>
        </is>
      </c>
      <c r="F11" s="8" t="inlineStr">
        <is>
          <t>202242579349300529</t>
        </is>
      </c>
      <c r="G11" s="8" t="inlineStr">
        <is>
          <t>claude-opus-5</t>
        </is>
      </c>
      <c r="H11" s="8" t="inlineStr">
        <is>
          <t>2026-09-14T20:40:26+00:00</t>
        </is>
      </c>
      <c r="I11" s="8" t="inlineStr">
        <is>
          <t>https://apps.irs.gov/pub/epostcard/990/xml/2024/2024_TEOS_XML_07A.zip#202242579349300529_public.xml</t>
        </is>
      </c>
    </row>
    <row r="12">
      <c r="A12" s="27" t="inlineStr">
        <is>
          <t>FY2022</t>
        </is>
      </c>
      <c r="B12" s="8" t="inlineStr">
        <is>
          <t>2022-10-31</t>
        </is>
      </c>
      <c r="C12" s="8" t="inlineStr">
        <is>
          <t>990</t>
        </is>
      </c>
      <c r="D12" s="8" t="inlineStr">
        <is>
          <t>high</t>
        </is>
      </c>
      <c r="E12" s="8" t="inlineStr">
        <is>
          <t>bc30ab8e-5787-41be-b1f7-1d62d395b5ff</t>
        </is>
      </c>
      <c r="F12" s="8" t="inlineStr">
        <is>
          <t>202312859349302351</t>
        </is>
      </c>
      <c r="G12" s="8" t="inlineStr">
        <is>
          <t>claude-opus-5</t>
        </is>
      </c>
      <c r="H12" s="8" t="inlineStr">
        <is>
          <t>2026-09-14T20:40:26+00:00</t>
        </is>
      </c>
      <c r="I12" s="8" t="inlineStr">
        <is>
          <t>https://apps.irs.gov/pub/epostcard/990/xml/2023/2023_TEOS_XML_10A.zip#202312859349302351_public.xml</t>
        </is>
      </c>
    </row>
    <row r="13">
      <c r="A13" s="27" t="inlineStr">
        <is>
          <t>FY2023</t>
        </is>
      </c>
      <c r="B13" s="8" t="inlineStr">
        <is>
          <t>2023-10-31</t>
        </is>
      </c>
      <c r="C13" s="8" t="inlineStr">
        <is>
          <t>990</t>
        </is>
      </c>
      <c r="D13" s="8" t="inlineStr">
        <is>
          <t>high</t>
        </is>
      </c>
      <c r="E13" s="8" t="inlineStr">
        <is>
          <t>87b7a9d0-d479-41cf-b7f7-4b9f16a2572d</t>
        </is>
      </c>
      <c r="F13" s="8" t="inlineStr">
        <is>
          <t>202431649349301908</t>
        </is>
      </c>
      <c r="G13" s="8" t="inlineStr">
        <is>
          <t>claude-opus-5</t>
        </is>
      </c>
      <c r="H13" s="8" t="inlineStr">
        <is>
          <t>2026-09-14T20:40:26+00:00</t>
        </is>
      </c>
      <c r="I13" s="8" t="inlineStr">
        <is>
          <t>https://apps.irs.gov/pub/epostcard/990/xml/2024/2024_TEOS_XML_06A.zip#202431649349301908_public.xml</t>
        </is>
      </c>
    </row>
    <row r="14">
      <c r="A14" s="27" t="inlineStr">
        <is>
          <t>FY2024</t>
        </is>
      </c>
      <c r="B14" s="8" t="inlineStr">
        <is>
          <t>2024-10-31</t>
        </is>
      </c>
      <c r="C14" s="8" t="inlineStr">
        <is>
          <t>990</t>
        </is>
      </c>
      <c r="D14" s="8" t="inlineStr">
        <is>
          <t>high</t>
        </is>
      </c>
      <c r="E14" s="8" t="inlineStr">
        <is>
          <t>c8e3d163-1a73-4ca9-b4e7-4cb45252be72</t>
        </is>
      </c>
      <c r="F14" s="8" t="inlineStr">
        <is>
          <t>202522549349301702</t>
        </is>
      </c>
      <c r="G14" s="8" t="inlineStr">
        <is>
          <t>claude-opus-5</t>
        </is>
      </c>
      <c r="H14" s="8" t="inlineStr">
        <is>
          <t>2026-09-14T20:40:26+00:00</t>
        </is>
      </c>
      <c r="I14" s="8" t="inlineStr">
        <is>
          <t>https://apps.irs.gov/pub/epostcard/990/xml/2025/2025_TEOS_XML_09A.zip#202522549349301702_public.xml</t>
        </is>
      </c>
    </row>
    <row r="16">
      <c r="A16" s="28" t="inlineStr">
        <is>
          <t>B. Figure citations (every figure on the statement tabs, keyed by cell)</t>
        </is>
      </c>
      <c r="B16" s="7" t="n"/>
      <c r="C16" s="7" t="n"/>
      <c r="D16" s="7" t="n"/>
      <c r="E16" s="7" t="n"/>
      <c r="F16" s="7" t="n"/>
      <c r="G16" s="7" t="n"/>
      <c r="H16" s="7" t="n"/>
      <c r="I16" s="7" t="n"/>
      <c r="J16" s="7" t="n"/>
      <c r="K16" s="7" t="n"/>
    </row>
    <row r="17">
      <c r="A17" s="5" t="inlineStr">
        <is>
          <t>Tab</t>
        </is>
      </c>
      <c r="B17" s="5" t="inlineStr">
        <is>
          <t>Cell</t>
        </is>
      </c>
      <c r="C17" s="5" t="inlineStr">
        <is>
          <t>Line item</t>
        </is>
      </c>
      <c r="D17" s="5" t="inlineStr">
        <is>
          <t>Form 990 line</t>
        </is>
      </c>
      <c r="E17" s="5" t="inlineStr">
        <is>
          <t>Key path</t>
        </is>
      </c>
      <c r="F17" s="5" t="inlineStr">
        <is>
          <t>Confidence</t>
        </is>
      </c>
      <c r="G17" s="5" t="inlineStr">
        <is>
          <t>As filed</t>
        </is>
      </c>
    </row>
    <row r="18">
      <c r="A18" s="8" t="inlineStr">
        <is>
          <t>Financial Statements</t>
        </is>
      </c>
      <c r="B18" s="8" t="inlineStr">
        <is>
          <t>B73</t>
        </is>
      </c>
      <c r="C18" s="8" t="inlineStr">
        <is>
          <t>11a. Gross income from members or shareholders</t>
        </is>
      </c>
      <c r="D18" s="8" t="inlineStr">
        <is>
          <t>11a</t>
        </is>
      </c>
      <c r="E18" s="8" t="inlineStr">
        <is>
          <t>part_v_other_irs_filings.members_and_shareholders_gross_income</t>
        </is>
      </c>
      <c r="F18" s="8" t="inlineStr">
        <is>
          <t>high</t>
        </is>
      </c>
      <c r="G18" s="9" t="n">
        <v>1411647</v>
      </c>
    </row>
    <row r="19">
      <c r="A19" s="8" t="inlineStr">
        <is>
          <t>Financial Statements</t>
        </is>
      </c>
      <c r="B19" s="8" t="inlineStr">
        <is>
          <t>C73</t>
        </is>
      </c>
      <c r="C19" s="8" t="inlineStr">
        <is>
          <t>11a. Gross income from members or shareholders</t>
        </is>
      </c>
      <c r="D19" s="8" t="inlineStr">
        <is>
          <t>11a</t>
        </is>
      </c>
      <c r="E19" s="8" t="inlineStr">
        <is>
          <t>part_v_other_irs_filings.members_and_shareholders_gross_income</t>
        </is>
      </c>
      <c r="F19" s="8" t="inlineStr">
        <is>
          <t>high</t>
        </is>
      </c>
      <c r="G19" s="9" t="n">
        <v>1362455</v>
      </c>
    </row>
    <row r="20">
      <c r="A20" s="8" t="inlineStr">
        <is>
          <t>Financial Statements</t>
        </is>
      </c>
      <c r="B20" s="8" t="inlineStr">
        <is>
          <t>D73</t>
        </is>
      </c>
      <c r="C20" s="8" t="inlineStr">
        <is>
          <t>11a. Gross income from members or shareholders</t>
        </is>
      </c>
      <c r="D20" s="8" t="inlineStr">
        <is>
          <t>11a</t>
        </is>
      </c>
      <c r="E20" s="8" t="inlineStr">
        <is>
          <t>part_v_other_irs_filings.members_and_shareholders_gross_income</t>
        </is>
      </c>
      <c r="F20" s="8" t="inlineStr">
        <is>
          <t>high</t>
        </is>
      </c>
      <c r="G20" s="9" t="n">
        <v>13561964</v>
      </c>
    </row>
    <row r="21">
      <c r="A21" s="8" t="inlineStr">
        <is>
          <t>Financial Statements</t>
        </is>
      </c>
      <c r="B21" s="8" t="inlineStr">
        <is>
          <t>E73</t>
        </is>
      </c>
      <c r="C21" s="8" t="inlineStr">
        <is>
          <t>11a. Gross income from members or shareholders</t>
        </is>
      </c>
      <c r="D21" s="8" t="inlineStr">
        <is>
          <t>11a</t>
        </is>
      </c>
      <c r="E21" s="8" t="inlineStr">
        <is>
          <t>part_v_other_irs_filings.members_and_shareholders_gross_income</t>
        </is>
      </c>
      <c r="F21" s="8" t="inlineStr">
        <is>
          <t>high</t>
        </is>
      </c>
      <c r="G21" s="9" t="n">
        <v>1531808</v>
      </c>
    </row>
    <row r="22">
      <c r="A22" s="8" t="inlineStr">
        <is>
          <t>Financial Statements</t>
        </is>
      </c>
      <c r="B22" s="8" t="inlineStr">
        <is>
          <t>F73</t>
        </is>
      </c>
      <c r="C22" s="8" t="inlineStr">
        <is>
          <t>11a. Gross income from members or shareholders</t>
        </is>
      </c>
      <c r="D22" s="8" t="inlineStr">
        <is>
          <t>11a</t>
        </is>
      </c>
      <c r="E22" s="8" t="inlineStr">
        <is>
          <t>part_v_other_irs_filings.members_and_shareholders_gross_income</t>
        </is>
      </c>
      <c r="F22" s="8" t="inlineStr">
        <is>
          <t>high</t>
        </is>
      </c>
      <c r="G22" s="9" t="n">
        <v>1630484</v>
      </c>
    </row>
    <row r="23">
      <c r="A23" s="8" t="inlineStr">
        <is>
          <t>Financial Statements</t>
        </is>
      </c>
      <c r="B23" s="8" t="inlineStr">
        <is>
          <t>B74</t>
        </is>
      </c>
      <c r="C23" s="8" t="inlineStr">
        <is>
          <t>11b. Gross income from other sources</t>
        </is>
      </c>
      <c r="D23" s="8" t="inlineStr">
        <is>
          <t>11b</t>
        </is>
      </c>
      <c r="E23" s="8" t="inlineStr">
        <is>
          <t>part_v_other_irs_filings.other_sources_gross_income</t>
        </is>
      </c>
      <c r="F23" s="8" t="inlineStr">
        <is>
          <t>high</t>
        </is>
      </c>
      <c r="G23" s="9" t="n">
        <v>109377</v>
      </c>
    </row>
    <row r="24">
      <c r="A24" s="8" t="inlineStr">
        <is>
          <t>Financial Statements</t>
        </is>
      </c>
      <c r="B24" s="8" t="inlineStr">
        <is>
          <t>C74</t>
        </is>
      </c>
      <c r="C24" s="8" t="inlineStr">
        <is>
          <t>11b. Gross income from other sources</t>
        </is>
      </c>
      <c r="D24" s="8" t="inlineStr">
        <is>
          <t>11b</t>
        </is>
      </c>
      <c r="E24" s="8" t="inlineStr">
        <is>
          <t>part_v_other_irs_filings.other_sources_gross_income</t>
        </is>
      </c>
      <c r="F24" s="8" t="inlineStr">
        <is>
          <t>high</t>
        </is>
      </c>
      <c r="G24" s="9" t="n">
        <v>105101</v>
      </c>
    </row>
    <row r="25">
      <c r="A25" s="8" t="inlineStr">
        <is>
          <t>Financial Statements</t>
        </is>
      </c>
      <c r="B25" s="8" t="inlineStr">
        <is>
          <t>D74</t>
        </is>
      </c>
      <c r="C25" s="8" t="inlineStr">
        <is>
          <t>11b. Gross income from other sources</t>
        </is>
      </c>
      <c r="D25" s="8" t="inlineStr">
        <is>
          <t>11b</t>
        </is>
      </c>
      <c r="E25" s="8" t="inlineStr">
        <is>
          <t>part_v_other_irs_filings.other_sources_gross_income</t>
        </is>
      </c>
      <c r="F25" s="8" t="inlineStr">
        <is>
          <t>high</t>
        </is>
      </c>
      <c r="G25" s="9" t="n">
        <v>89078</v>
      </c>
    </row>
    <row r="26">
      <c r="A26" s="8" t="inlineStr">
        <is>
          <t>Financial Statements</t>
        </is>
      </c>
      <c r="B26" s="8" t="inlineStr">
        <is>
          <t>E74</t>
        </is>
      </c>
      <c r="C26" s="8" t="inlineStr">
        <is>
          <t>11b. Gross income from other sources</t>
        </is>
      </c>
      <c r="D26" s="8" t="inlineStr">
        <is>
          <t>11b</t>
        </is>
      </c>
      <c r="E26" s="8" t="inlineStr">
        <is>
          <t>part_v_other_irs_filings.other_sources_gross_income</t>
        </is>
      </c>
      <c r="F26" s="8" t="inlineStr">
        <is>
          <t>high</t>
        </is>
      </c>
      <c r="G26" s="9" t="n">
        <v>170429</v>
      </c>
    </row>
    <row r="27">
      <c r="A27" s="8" t="inlineStr">
        <is>
          <t>Financial Statements</t>
        </is>
      </c>
      <c r="B27" s="8" t="inlineStr">
        <is>
          <t>F74</t>
        </is>
      </c>
      <c r="C27" s="8" t="inlineStr">
        <is>
          <t>11b. Gross income from other sources</t>
        </is>
      </c>
      <c r="D27" s="8" t="inlineStr">
        <is>
          <t>11b</t>
        </is>
      </c>
      <c r="E27" s="8" t="inlineStr">
        <is>
          <t>part_v_other_irs_filings.other_sources_gross_income</t>
        </is>
      </c>
      <c r="F27" s="8" t="inlineStr">
        <is>
          <t>high</t>
        </is>
      </c>
      <c r="G27" s="9" t="n">
        <v>188318</v>
      </c>
    </row>
    <row r="28">
      <c r="A28" s="8" t="inlineStr">
        <is>
          <t>Revenue (detail)</t>
        </is>
      </c>
      <c r="B28" s="8" t="inlineStr">
        <is>
          <t>B8</t>
        </is>
      </c>
      <c r="C28" s="8" t="inlineStr">
        <is>
          <t>2g. Total program service revenue</t>
        </is>
      </c>
      <c r="D28" s="8" t="inlineStr">
        <is>
          <t>2g</t>
        </is>
      </c>
      <c r="E28" s="8" t="inlineStr">
        <is>
          <t>part_viii_revenue.total_program_service_revenue</t>
        </is>
      </c>
      <c r="F28" s="8" t="inlineStr">
        <is>
          <t>high</t>
        </is>
      </c>
      <c r="G28" s="9" t="n">
        <v>1410358</v>
      </c>
    </row>
    <row r="29">
      <c r="A29" s="8" t="inlineStr">
        <is>
          <t>Revenue (detail)</t>
        </is>
      </c>
      <c r="B29" s="8" t="inlineStr">
        <is>
          <t>C8</t>
        </is>
      </c>
      <c r="C29" s="8" t="inlineStr">
        <is>
          <t>2g. Total program service revenue</t>
        </is>
      </c>
      <c r="D29" s="8" t="inlineStr">
        <is>
          <t>2g</t>
        </is>
      </c>
      <c r="E29" s="8" t="inlineStr">
        <is>
          <t>part_viii_revenue.total_program_service_revenue</t>
        </is>
      </c>
      <c r="F29" s="8" t="inlineStr">
        <is>
          <t>high</t>
        </is>
      </c>
      <c r="G29" s="9" t="n">
        <v>1360153</v>
      </c>
    </row>
    <row r="30">
      <c r="A30" s="8" t="inlineStr">
        <is>
          <t>Revenue (detail)</t>
        </is>
      </c>
      <c r="B30" s="8" t="inlineStr">
        <is>
          <t>D8</t>
        </is>
      </c>
      <c r="C30" s="8" t="inlineStr">
        <is>
          <t>2g. Total program service revenue</t>
        </is>
      </c>
      <c r="D30" s="8" t="inlineStr">
        <is>
          <t>2g</t>
        </is>
      </c>
      <c r="E30" s="8" t="inlineStr">
        <is>
          <t>part_viii_revenue.total_program_service_revenue</t>
        </is>
      </c>
      <c r="F30" s="8" t="inlineStr">
        <is>
          <t>high</t>
        </is>
      </c>
      <c r="G30" s="9" t="n">
        <v>1356964</v>
      </c>
    </row>
    <row r="31">
      <c r="A31" s="8" t="inlineStr">
        <is>
          <t>Revenue (detail)</t>
        </is>
      </c>
      <c r="B31" s="8" t="inlineStr">
        <is>
          <t>E8</t>
        </is>
      </c>
      <c r="C31" s="8" t="inlineStr">
        <is>
          <t>2g. Total program service revenue</t>
        </is>
      </c>
      <c r="D31" s="8" t="inlineStr">
        <is>
          <t>2g</t>
        </is>
      </c>
      <c r="E31" s="8" t="inlineStr">
        <is>
          <t>part_viii_revenue.total_program_service_revenue</t>
        </is>
      </c>
      <c r="F31" s="8" t="inlineStr">
        <is>
          <t>high</t>
        </is>
      </c>
      <c r="G31" s="9" t="n">
        <v>1530752</v>
      </c>
    </row>
    <row r="32">
      <c r="A32" s="8" t="inlineStr">
        <is>
          <t>Revenue (detail)</t>
        </is>
      </c>
      <c r="B32" s="8" t="inlineStr">
        <is>
          <t>F8</t>
        </is>
      </c>
      <c r="C32" s="8" t="inlineStr">
        <is>
          <t>2g. Total program service revenue</t>
        </is>
      </c>
      <c r="D32" s="8" t="inlineStr">
        <is>
          <t>2g</t>
        </is>
      </c>
      <c r="E32" s="8" t="inlineStr">
        <is>
          <t>part_viii_revenue.total_program_service_revenue</t>
        </is>
      </c>
      <c r="F32" s="8" t="inlineStr">
        <is>
          <t>high</t>
        </is>
      </c>
      <c r="G32" s="9" t="n">
        <v>1629365</v>
      </c>
    </row>
    <row r="33">
      <c r="A33" s="8" t="inlineStr">
        <is>
          <t>Revenue (detail)</t>
        </is>
      </c>
      <c r="B33" s="8" t="inlineStr">
        <is>
          <t>B9</t>
        </is>
      </c>
      <c r="C33" s="8" t="inlineStr">
        <is>
          <t>3. Investment income</t>
        </is>
      </c>
      <c r="D33" s="8" t="inlineStr">
        <is>
          <t>3</t>
        </is>
      </c>
      <c r="E33" s="8" t="inlineStr">
        <is>
          <t>part_viii_revenue.investment_income</t>
        </is>
      </c>
      <c r="F33" s="8" t="inlineStr">
        <is>
          <t>high</t>
        </is>
      </c>
      <c r="G33" s="9" t="n">
        <v>6325</v>
      </c>
    </row>
    <row r="34">
      <c r="A34" s="8" t="inlineStr">
        <is>
          <t>Revenue (detail)</t>
        </is>
      </c>
      <c r="B34" s="8" t="inlineStr">
        <is>
          <t>C9</t>
        </is>
      </c>
      <c r="C34" s="8" t="inlineStr">
        <is>
          <t>3. Investment income</t>
        </is>
      </c>
      <c r="D34" s="8" t="inlineStr">
        <is>
          <t>3</t>
        </is>
      </c>
      <c r="E34" s="8" t="inlineStr">
        <is>
          <t>part_viii_revenue.investment_income</t>
        </is>
      </c>
      <c r="F34" s="8" t="inlineStr">
        <is>
          <t>high</t>
        </is>
      </c>
      <c r="G34" s="9" t="n">
        <v>1523</v>
      </c>
    </row>
    <row r="35">
      <c r="A35" s="8" t="inlineStr">
        <is>
          <t>Revenue (detail)</t>
        </is>
      </c>
      <c r="B35" s="8" t="inlineStr">
        <is>
          <t>D9</t>
        </is>
      </c>
      <c r="C35" s="8" t="inlineStr">
        <is>
          <t>3. Investment income</t>
        </is>
      </c>
      <c r="D35" s="8" t="inlineStr">
        <is>
          <t>3</t>
        </is>
      </c>
      <c r="E35" s="8" t="inlineStr">
        <is>
          <t>part_viii_revenue.investment_income</t>
        </is>
      </c>
      <c r="F35" s="8" t="inlineStr">
        <is>
          <t>high</t>
        </is>
      </c>
      <c r="G35" s="9" t="n">
        <v>312</v>
      </c>
    </row>
    <row r="36">
      <c r="A36" s="8" t="inlineStr">
        <is>
          <t>Revenue (detail)</t>
        </is>
      </c>
      <c r="B36" s="8" t="inlineStr">
        <is>
          <t>E9</t>
        </is>
      </c>
      <c r="C36" s="8" t="inlineStr">
        <is>
          <t>3. Investment income</t>
        </is>
      </c>
      <c r="D36" s="8" t="inlineStr">
        <is>
          <t>3</t>
        </is>
      </c>
      <c r="E36" s="8" t="inlineStr">
        <is>
          <t>part_viii_revenue.investment_income</t>
        </is>
      </c>
      <c r="F36" s="8" t="inlineStr">
        <is>
          <t>high</t>
        </is>
      </c>
      <c r="G36" s="9" t="n">
        <v>41503</v>
      </c>
    </row>
    <row r="37">
      <c r="A37" s="8" t="inlineStr">
        <is>
          <t>Revenue (detail)</t>
        </is>
      </c>
      <c r="B37" s="8" t="inlineStr">
        <is>
          <t>F9</t>
        </is>
      </c>
      <c r="C37" s="8" t="inlineStr">
        <is>
          <t>3. Investment income</t>
        </is>
      </c>
      <c r="D37" s="8" t="inlineStr">
        <is>
          <t>3</t>
        </is>
      </c>
      <c r="E37" s="8" t="inlineStr">
        <is>
          <t>part_viii_revenue.investment_income</t>
        </is>
      </c>
      <c r="F37" s="8" t="inlineStr">
        <is>
          <t>high</t>
        </is>
      </c>
      <c r="G37" s="9" t="n">
        <v>59888</v>
      </c>
    </row>
    <row r="38">
      <c r="A38" s="8" t="inlineStr">
        <is>
          <t>Revenue (detail)</t>
        </is>
      </c>
      <c r="B38" s="8" t="inlineStr">
        <is>
          <t>B10</t>
        </is>
      </c>
      <c r="C38" s="8" t="inlineStr">
        <is>
          <t>6d. Net rental income</t>
        </is>
      </c>
      <c r="D38" s="8" t="inlineStr">
        <is>
          <t>6d</t>
        </is>
      </c>
      <c r="E38" s="8" t="inlineStr">
        <is>
          <t>part_viii_revenue.net_rental_income</t>
        </is>
      </c>
      <c r="F38" s="8" t="inlineStr">
        <is>
          <t>high</t>
        </is>
      </c>
      <c r="G38" s="9" t="n">
        <v>84723</v>
      </c>
    </row>
    <row r="39">
      <c r="A39" s="8" t="inlineStr">
        <is>
          <t>Revenue (detail)</t>
        </is>
      </c>
      <c r="B39" s="8" t="inlineStr">
        <is>
          <t>C10</t>
        </is>
      </c>
      <c r="C39" s="8" t="inlineStr">
        <is>
          <t>6d. Net rental income</t>
        </is>
      </c>
      <c r="D39" s="8" t="inlineStr">
        <is>
          <t>6d</t>
        </is>
      </c>
      <c r="E39" s="8" t="inlineStr">
        <is>
          <t>part_viii_revenue.net_rental_income</t>
        </is>
      </c>
      <c r="F39" s="8" t="inlineStr">
        <is>
          <t>high</t>
        </is>
      </c>
      <c r="G39" s="9" t="n">
        <v>85259</v>
      </c>
    </row>
    <row r="40">
      <c r="A40" s="8" t="inlineStr">
        <is>
          <t>Revenue (detail)</t>
        </is>
      </c>
      <c r="B40" s="8" t="inlineStr">
        <is>
          <t>D10</t>
        </is>
      </c>
      <c r="C40" s="8" t="inlineStr">
        <is>
          <t>6d. Net rental income</t>
        </is>
      </c>
      <c r="D40" s="8" t="inlineStr">
        <is>
          <t>6d</t>
        </is>
      </c>
      <c r="E40" s="8" t="inlineStr">
        <is>
          <t>part_viii_revenue.net_rental_income</t>
        </is>
      </c>
      <c r="F40" s="8" t="inlineStr">
        <is>
          <t>high</t>
        </is>
      </c>
      <c r="G40" s="9" t="n">
        <v>78233</v>
      </c>
    </row>
    <row r="41">
      <c r="A41" s="8" t="inlineStr">
        <is>
          <t>Revenue (detail)</t>
        </is>
      </c>
      <c r="B41" s="8" t="inlineStr">
        <is>
          <t>E10</t>
        </is>
      </c>
      <c r="C41" s="8" t="inlineStr">
        <is>
          <t>6d. Net rental income</t>
        </is>
      </c>
      <c r="D41" s="8" t="inlineStr">
        <is>
          <t>6d</t>
        </is>
      </c>
      <c r="E41" s="8" t="inlineStr">
        <is>
          <t>part_viii_revenue.net_rental_income</t>
        </is>
      </c>
      <c r="F41" s="8" t="inlineStr">
        <is>
          <t>high</t>
        </is>
      </c>
      <c r="G41" s="9" t="n">
        <v>121276</v>
      </c>
    </row>
    <row r="42">
      <c r="A42" s="8" t="inlineStr">
        <is>
          <t>Revenue (detail)</t>
        </is>
      </c>
      <c r="B42" s="8" t="inlineStr">
        <is>
          <t>F10</t>
        </is>
      </c>
      <c r="C42" s="8" t="inlineStr">
        <is>
          <t>6d. Net rental income</t>
        </is>
      </c>
      <c r="D42" s="8" t="inlineStr">
        <is>
          <t>6d</t>
        </is>
      </c>
      <c r="E42" s="8" t="inlineStr">
        <is>
          <t>part_viii_revenue.net_rental_income</t>
        </is>
      </c>
      <c r="F42" s="8" t="inlineStr">
        <is>
          <t>high</t>
        </is>
      </c>
      <c r="G42" s="9" t="n">
        <v>120061</v>
      </c>
    </row>
    <row r="43">
      <c r="A43" s="8" t="inlineStr">
        <is>
          <t>Revenue (detail)</t>
        </is>
      </c>
      <c r="B43" s="8" t="inlineStr">
        <is>
          <t>D11</t>
        </is>
      </c>
      <c r="C43" s="8" t="inlineStr">
        <is>
          <t>7d. Net gain/(loss) from investment sales</t>
        </is>
      </c>
      <c r="D43" s="8" t="inlineStr">
        <is>
          <t>7d</t>
        </is>
      </c>
      <c r="E43" s="8" t="inlineStr">
        <is>
          <t>part_viii_revenue.net_gain_or_loss_investments</t>
        </is>
      </c>
      <c r="F43" s="8" t="inlineStr">
        <is>
          <t>high</t>
        </is>
      </c>
      <c r="G43" s="9" t="n">
        <v>-3970</v>
      </c>
    </row>
    <row r="44">
      <c r="A44" s="8" t="inlineStr">
        <is>
          <t>Revenue (detail)</t>
        </is>
      </c>
      <c r="B44" s="8" t="inlineStr">
        <is>
          <t>E11</t>
        </is>
      </c>
      <c r="C44" s="8" t="inlineStr">
        <is>
          <t>7d. Net gain/(loss) from investment sales</t>
        </is>
      </c>
      <c r="D44" s="8" t="inlineStr">
        <is>
          <t>7d</t>
        </is>
      </c>
      <c r="E44" s="8" t="inlineStr">
        <is>
          <t>part_viii_revenue.net_gain_or_loss_investments</t>
        </is>
      </c>
      <c r="F44" s="8" t="inlineStr">
        <is>
          <t>high</t>
        </is>
      </c>
      <c r="G44" s="9" t="n">
        <v>1000</v>
      </c>
    </row>
    <row r="45">
      <c r="A45" s="8" t="inlineStr">
        <is>
          <t>Revenue (detail)</t>
        </is>
      </c>
      <c r="B45" s="8" t="inlineStr">
        <is>
          <t>F11</t>
        </is>
      </c>
      <c r="C45" s="8" t="inlineStr">
        <is>
          <t>7d. Net gain/(loss) from investment sales</t>
        </is>
      </c>
      <c r="D45" s="8" t="inlineStr">
        <is>
          <t>7d</t>
        </is>
      </c>
      <c r="E45" s="8" t="inlineStr">
        <is>
          <t>part_viii_revenue.net_gain_or_loss_investments</t>
        </is>
      </c>
      <c r="F45" s="8" t="inlineStr">
        <is>
          <t>high</t>
        </is>
      </c>
      <c r="G45" s="9" t="n">
        <v>1600</v>
      </c>
    </row>
    <row r="46">
      <c r="A46" s="8" t="inlineStr">
        <is>
          <t>Revenue (detail)</t>
        </is>
      </c>
      <c r="B46" s="8" t="inlineStr">
        <is>
          <t>B12</t>
        </is>
      </c>
      <c r="C46" s="8" t="inlineStr">
        <is>
          <t>11e. Other revenue</t>
        </is>
      </c>
      <c r="D46" s="8" t="inlineStr">
        <is>
          <t>11e</t>
        </is>
      </c>
      <c r="E46" s="8" t="inlineStr">
        <is>
          <t>part_viii_revenue.other_revenue_total</t>
        </is>
      </c>
      <c r="F46" s="8" t="inlineStr">
        <is>
          <t>high</t>
        </is>
      </c>
      <c r="G46" s="9" t="n">
        <v>19618</v>
      </c>
    </row>
    <row r="47">
      <c r="A47" s="8" t="inlineStr">
        <is>
          <t>Revenue (detail)</t>
        </is>
      </c>
      <c r="B47" s="8" t="inlineStr">
        <is>
          <t>C12</t>
        </is>
      </c>
      <c r="C47" s="8" t="inlineStr">
        <is>
          <t>11e. Other revenue</t>
        </is>
      </c>
      <c r="D47" s="8" t="inlineStr">
        <is>
          <t>11e</t>
        </is>
      </c>
      <c r="E47" s="8" t="inlineStr">
        <is>
          <t>part_viii_revenue.other_revenue_total</t>
        </is>
      </c>
      <c r="F47" s="8" t="inlineStr">
        <is>
          <t>high</t>
        </is>
      </c>
      <c r="G47" s="9" t="n">
        <v>20622</v>
      </c>
    </row>
    <row r="48">
      <c r="A48" s="8" t="inlineStr">
        <is>
          <t>Revenue (detail)</t>
        </is>
      </c>
      <c r="B48" s="8" t="inlineStr">
        <is>
          <t>D12</t>
        </is>
      </c>
      <c r="C48" s="8" t="inlineStr">
        <is>
          <t>11e. Other revenue</t>
        </is>
      </c>
      <c r="D48" s="8" t="inlineStr">
        <is>
          <t>11e</t>
        </is>
      </c>
      <c r="E48" s="8" t="inlineStr">
        <is>
          <t>part_viii_revenue.other_revenue_total</t>
        </is>
      </c>
      <c r="F48" s="8" t="inlineStr">
        <is>
          <t>high</t>
        </is>
      </c>
      <c r="G48" s="9" t="n">
        <v>19027</v>
      </c>
    </row>
    <row r="49">
      <c r="A49" s="8" t="inlineStr">
        <is>
          <t>Revenue (detail)</t>
        </is>
      </c>
      <c r="B49" s="8" t="inlineStr">
        <is>
          <t>E12</t>
        </is>
      </c>
      <c r="C49" s="8" t="inlineStr">
        <is>
          <t>11e. Other revenue</t>
        </is>
      </c>
      <c r="D49" s="8" t="inlineStr">
        <is>
          <t>11e</t>
        </is>
      </c>
      <c r="E49" s="8" t="inlineStr">
        <is>
          <t>part_viii_revenue.other_revenue_total</t>
        </is>
      </c>
      <c r="F49" s="8" t="inlineStr">
        <is>
          <t>high</t>
        </is>
      </c>
      <c r="G49" s="9" t="n">
        <v>7706</v>
      </c>
    </row>
    <row r="50">
      <c r="A50" s="8" t="inlineStr">
        <is>
          <t>Revenue (detail)</t>
        </is>
      </c>
      <c r="B50" s="8" t="inlineStr">
        <is>
          <t>F12</t>
        </is>
      </c>
      <c r="C50" s="8" t="inlineStr">
        <is>
          <t>11e. Other revenue</t>
        </is>
      </c>
      <c r="D50" s="8" t="inlineStr">
        <is>
          <t>11e</t>
        </is>
      </c>
      <c r="E50" s="8" t="inlineStr">
        <is>
          <t>part_viii_revenue.other_revenue_total</t>
        </is>
      </c>
      <c r="F50" s="8" t="inlineStr">
        <is>
          <t>high</t>
        </is>
      </c>
      <c r="G50" s="9" t="n">
        <v>7887</v>
      </c>
    </row>
    <row r="51">
      <c r="A51" s="8" t="inlineStr">
        <is>
          <t>Operating expenses (detail)</t>
        </is>
      </c>
      <c r="B51" s="8" t="inlineStr">
        <is>
          <t>B7</t>
        </is>
      </c>
      <c r="C51" s="8" t="inlineStr">
        <is>
          <t>5. Compensation of current officers, directors, trustees</t>
        </is>
      </c>
      <c r="D51" s="8" t="inlineStr">
        <is>
          <t>5</t>
        </is>
      </c>
      <c r="E51" s="8" t="inlineStr">
        <is>
          <t>part_ix_expenses.comp_current_officers</t>
        </is>
      </c>
      <c r="F51" s="8" t="inlineStr">
        <is>
          <t>high</t>
        </is>
      </c>
      <c r="G51" s="9" t="n">
        <v>112515</v>
      </c>
    </row>
    <row r="52">
      <c r="A52" s="8" t="inlineStr">
        <is>
          <t>Operating expenses (detail)</t>
        </is>
      </c>
      <c r="B52" s="8" t="inlineStr">
        <is>
          <t>C7</t>
        </is>
      </c>
      <c r="C52" s="8" t="inlineStr">
        <is>
          <t>5. Compensation of current officers, directors, trustees</t>
        </is>
      </c>
      <c r="D52" s="8" t="inlineStr">
        <is>
          <t>5</t>
        </is>
      </c>
      <c r="E52" s="8" t="inlineStr">
        <is>
          <t>part_ix_expenses.comp_current_officers</t>
        </is>
      </c>
      <c r="F52" s="8" t="inlineStr">
        <is>
          <t>high</t>
        </is>
      </c>
      <c r="G52" s="9" t="n">
        <v>155984</v>
      </c>
    </row>
    <row r="53">
      <c r="A53" s="8" t="inlineStr">
        <is>
          <t>Operating expenses (detail)</t>
        </is>
      </c>
      <c r="B53" s="8" t="inlineStr">
        <is>
          <t>D7</t>
        </is>
      </c>
      <c r="C53" s="8" t="inlineStr">
        <is>
          <t>5. Compensation of current officers, directors, trustees</t>
        </is>
      </c>
      <c r="D53" s="8" t="inlineStr">
        <is>
          <t>5</t>
        </is>
      </c>
      <c r="E53" s="8" t="inlineStr">
        <is>
          <t>part_ix_expenses.comp_current_officers</t>
        </is>
      </c>
      <c r="F53" s="8" t="inlineStr">
        <is>
          <t>high</t>
        </is>
      </c>
      <c r="G53" s="9" t="n">
        <v>171558</v>
      </c>
    </row>
    <row r="54">
      <c r="A54" s="8" t="inlineStr">
        <is>
          <t>Operating expenses (detail)</t>
        </is>
      </c>
      <c r="B54" s="8" t="inlineStr">
        <is>
          <t>E7</t>
        </is>
      </c>
      <c r="C54" s="8" t="inlineStr">
        <is>
          <t>5. Compensation of current officers, directors, trustees</t>
        </is>
      </c>
      <c r="D54" s="8" t="inlineStr">
        <is>
          <t>5</t>
        </is>
      </c>
      <c r="E54" s="8" t="inlineStr">
        <is>
          <t>part_ix_expenses.comp_current_officers</t>
        </is>
      </c>
      <c r="F54" s="8" t="inlineStr">
        <is>
          <t>high</t>
        </is>
      </c>
      <c r="G54" s="9" t="n">
        <v>193095</v>
      </c>
    </row>
    <row r="55">
      <c r="A55" s="8" t="inlineStr">
        <is>
          <t>Operating expenses (detail)</t>
        </is>
      </c>
      <c r="B55" s="8" t="inlineStr">
        <is>
          <t>F7</t>
        </is>
      </c>
      <c r="C55" s="8" t="inlineStr">
        <is>
          <t>5. Compensation of current officers, directors, trustees</t>
        </is>
      </c>
      <c r="D55" s="8" t="inlineStr">
        <is>
          <t>5</t>
        </is>
      </c>
      <c r="E55" s="8" t="inlineStr">
        <is>
          <t>part_ix_expenses.comp_current_officers</t>
        </is>
      </c>
      <c r="F55" s="8" t="inlineStr">
        <is>
          <t>high</t>
        </is>
      </c>
      <c r="G55" s="9" t="n">
        <v>228865</v>
      </c>
    </row>
    <row r="56">
      <c r="A56" s="8" t="inlineStr">
        <is>
          <t>Operating expenses (detail)</t>
        </is>
      </c>
      <c r="B56" s="8" t="inlineStr">
        <is>
          <t>B8</t>
        </is>
      </c>
      <c r="C56" s="8" t="inlineStr">
        <is>
          <t>7. Other salaries and wages</t>
        </is>
      </c>
      <c r="D56" s="8" t="inlineStr">
        <is>
          <t>7</t>
        </is>
      </c>
      <c r="E56" s="8" t="inlineStr">
        <is>
          <t>part_ix_expenses.other_salaries_and_wages</t>
        </is>
      </c>
      <c r="F56" s="8" t="inlineStr">
        <is>
          <t>high</t>
        </is>
      </c>
      <c r="G56" s="9" t="n">
        <v>192053</v>
      </c>
    </row>
    <row r="57">
      <c r="A57" s="8" t="inlineStr">
        <is>
          <t>Operating expenses (detail)</t>
        </is>
      </c>
      <c r="B57" s="8" t="inlineStr">
        <is>
          <t>C8</t>
        </is>
      </c>
      <c r="C57" s="8" t="inlineStr">
        <is>
          <t>7. Other salaries and wages</t>
        </is>
      </c>
      <c r="D57" s="8" t="inlineStr">
        <is>
          <t>7</t>
        </is>
      </c>
      <c r="E57" s="8" t="inlineStr">
        <is>
          <t>part_ix_expenses.other_salaries_and_wages</t>
        </is>
      </c>
      <c r="F57" s="8" t="inlineStr">
        <is>
          <t>high</t>
        </is>
      </c>
      <c r="G57" s="9" t="n">
        <v>188948</v>
      </c>
    </row>
    <row r="58">
      <c r="A58" s="8" t="inlineStr">
        <is>
          <t>Operating expenses (detail)</t>
        </is>
      </c>
      <c r="B58" s="8" t="inlineStr">
        <is>
          <t>D8</t>
        </is>
      </c>
      <c r="C58" s="8" t="inlineStr">
        <is>
          <t>7. Other salaries and wages</t>
        </is>
      </c>
      <c r="D58" s="8" t="inlineStr">
        <is>
          <t>7</t>
        </is>
      </c>
      <c r="E58" s="8" t="inlineStr">
        <is>
          <t>part_ix_expenses.other_salaries_and_wages</t>
        </is>
      </c>
      <c r="F58" s="8" t="inlineStr">
        <is>
          <t>high</t>
        </is>
      </c>
      <c r="G58" s="9" t="n">
        <v>224785</v>
      </c>
    </row>
    <row r="59">
      <c r="A59" s="8" t="inlineStr">
        <is>
          <t>Operating expenses (detail)</t>
        </is>
      </c>
      <c r="B59" s="8" t="inlineStr">
        <is>
          <t>E8</t>
        </is>
      </c>
      <c r="C59" s="8" t="inlineStr">
        <is>
          <t>7. Other salaries and wages</t>
        </is>
      </c>
      <c r="D59" s="8" t="inlineStr">
        <is>
          <t>7</t>
        </is>
      </c>
      <c r="E59" s="8" t="inlineStr">
        <is>
          <t>part_ix_expenses.other_salaries_and_wages</t>
        </is>
      </c>
      <c r="F59" s="8" t="inlineStr">
        <is>
          <t>high</t>
        </is>
      </c>
      <c r="G59" s="9" t="n">
        <v>265842</v>
      </c>
    </row>
    <row r="60">
      <c r="A60" s="8" t="inlineStr">
        <is>
          <t>Operating expenses (detail)</t>
        </is>
      </c>
      <c r="B60" s="8" t="inlineStr">
        <is>
          <t>F8</t>
        </is>
      </c>
      <c r="C60" s="8" t="inlineStr">
        <is>
          <t>7. Other salaries and wages</t>
        </is>
      </c>
      <c r="D60" s="8" t="inlineStr">
        <is>
          <t>7</t>
        </is>
      </c>
      <c r="E60" s="8" t="inlineStr">
        <is>
          <t>part_ix_expenses.other_salaries_and_wages</t>
        </is>
      </c>
      <c r="F60" s="8" t="inlineStr">
        <is>
          <t>high</t>
        </is>
      </c>
      <c r="G60" s="9" t="n">
        <v>306065</v>
      </c>
    </row>
    <row r="61">
      <c r="A61" s="8" t="inlineStr">
        <is>
          <t>Operating expenses (detail)</t>
        </is>
      </c>
      <c r="B61" s="8" t="inlineStr">
        <is>
          <t>B9</t>
        </is>
      </c>
      <c r="C61" s="8" t="inlineStr">
        <is>
          <t>8. Pension plan accruals and contributions</t>
        </is>
      </c>
      <c r="D61" s="8" t="inlineStr">
        <is>
          <t>8</t>
        </is>
      </c>
      <c r="E61" s="8" t="inlineStr">
        <is>
          <t>part_ix_expenses.pension_plan_contributions</t>
        </is>
      </c>
      <c r="F61" s="8" t="inlineStr">
        <is>
          <t>high</t>
        </is>
      </c>
      <c r="G61" s="9" t="n">
        <v>14308</v>
      </c>
    </row>
    <row r="62">
      <c r="A62" s="8" t="inlineStr">
        <is>
          <t>Operating expenses (detail)</t>
        </is>
      </c>
      <c r="B62" s="8" t="inlineStr">
        <is>
          <t>C9</t>
        </is>
      </c>
      <c r="C62" s="8" t="inlineStr">
        <is>
          <t>8. Pension plan accruals and contributions</t>
        </is>
      </c>
      <c r="D62" s="8" t="inlineStr">
        <is>
          <t>8</t>
        </is>
      </c>
      <c r="E62" s="8" t="inlineStr">
        <is>
          <t>part_ix_expenses.pension_plan_contributions</t>
        </is>
      </c>
      <c r="F62" s="8" t="inlineStr">
        <is>
          <t>high</t>
        </is>
      </c>
      <c r="G62" s="9" t="n">
        <v>11339</v>
      </c>
    </row>
    <row r="63">
      <c r="A63" s="8" t="inlineStr">
        <is>
          <t>Operating expenses (detail)</t>
        </is>
      </c>
      <c r="B63" s="8" t="inlineStr">
        <is>
          <t>D9</t>
        </is>
      </c>
      <c r="C63" s="8" t="inlineStr">
        <is>
          <t>8. Pension plan accruals and contributions</t>
        </is>
      </c>
      <c r="D63" s="8" t="inlineStr">
        <is>
          <t>8</t>
        </is>
      </c>
      <c r="E63" s="8" t="inlineStr">
        <is>
          <t>part_ix_expenses.pension_plan_contributions</t>
        </is>
      </c>
      <c r="F63" s="8" t="inlineStr">
        <is>
          <t>high</t>
        </is>
      </c>
      <c r="G63" s="9" t="n">
        <v>14225</v>
      </c>
    </row>
    <row r="64">
      <c r="A64" s="8" t="inlineStr">
        <is>
          <t>Operating expenses (detail)</t>
        </is>
      </c>
      <c r="B64" s="8" t="inlineStr">
        <is>
          <t>E9</t>
        </is>
      </c>
      <c r="C64" s="8" t="inlineStr">
        <is>
          <t>8. Pension plan accruals and contributions</t>
        </is>
      </c>
      <c r="D64" s="8" t="inlineStr">
        <is>
          <t>8</t>
        </is>
      </c>
      <c r="E64" s="8" t="inlineStr">
        <is>
          <t>part_ix_expenses.pension_plan_contributions</t>
        </is>
      </c>
      <c r="F64" s="8" t="inlineStr">
        <is>
          <t>high</t>
        </is>
      </c>
      <c r="G64" s="9" t="n">
        <v>27324</v>
      </c>
    </row>
    <row r="65">
      <c r="A65" s="8" t="inlineStr">
        <is>
          <t>Operating expenses (detail)</t>
        </is>
      </c>
      <c r="B65" s="8" t="inlineStr">
        <is>
          <t>F9</t>
        </is>
      </c>
      <c r="C65" s="8" t="inlineStr">
        <is>
          <t>8. Pension plan accruals and contributions</t>
        </is>
      </c>
      <c r="D65" s="8" t="inlineStr">
        <is>
          <t>8</t>
        </is>
      </c>
      <c r="E65" s="8" t="inlineStr">
        <is>
          <t>part_ix_expenses.pension_plan_contributions</t>
        </is>
      </c>
      <c r="F65" s="8" t="inlineStr">
        <is>
          <t>high</t>
        </is>
      </c>
      <c r="G65" s="9" t="n">
        <v>28560</v>
      </c>
    </row>
    <row r="66">
      <c r="A66" s="8" t="inlineStr">
        <is>
          <t>Operating expenses (detail)</t>
        </is>
      </c>
      <c r="B66" s="8" t="inlineStr">
        <is>
          <t>B10</t>
        </is>
      </c>
      <c r="C66" s="8" t="inlineStr">
        <is>
          <t>9. Other employee benefits</t>
        </is>
      </c>
      <c r="D66" s="8" t="inlineStr">
        <is>
          <t>9</t>
        </is>
      </c>
      <c r="E66" s="8" t="inlineStr">
        <is>
          <t>part_ix_expenses.other_employee_benefits</t>
        </is>
      </c>
      <c r="F66" s="8" t="inlineStr">
        <is>
          <t>high</t>
        </is>
      </c>
      <c r="G66" s="9" t="n">
        <v>68471</v>
      </c>
    </row>
    <row r="67">
      <c r="A67" s="8" t="inlineStr">
        <is>
          <t>Operating expenses (detail)</t>
        </is>
      </c>
      <c r="B67" s="8" t="inlineStr">
        <is>
          <t>C10</t>
        </is>
      </c>
      <c r="C67" s="8" t="inlineStr">
        <is>
          <t>9. Other employee benefits</t>
        </is>
      </c>
      <c r="D67" s="8" t="inlineStr">
        <is>
          <t>9</t>
        </is>
      </c>
      <c r="E67" s="8" t="inlineStr">
        <is>
          <t>part_ix_expenses.other_employee_benefits</t>
        </is>
      </c>
      <c r="F67" s="8" t="inlineStr">
        <is>
          <t>high</t>
        </is>
      </c>
      <c r="G67" s="9" t="n">
        <v>46245</v>
      </c>
    </row>
    <row r="68">
      <c r="A68" s="8" t="inlineStr">
        <is>
          <t>Operating expenses (detail)</t>
        </is>
      </c>
      <c r="B68" s="8" t="inlineStr">
        <is>
          <t>D10</t>
        </is>
      </c>
      <c r="C68" s="8" t="inlineStr">
        <is>
          <t>9. Other employee benefits</t>
        </is>
      </c>
      <c r="D68" s="8" t="inlineStr">
        <is>
          <t>9</t>
        </is>
      </c>
      <c r="E68" s="8" t="inlineStr">
        <is>
          <t>part_ix_expenses.other_employee_benefits</t>
        </is>
      </c>
      <c r="F68" s="8" t="inlineStr">
        <is>
          <t>high</t>
        </is>
      </c>
      <c r="G68" s="9" t="n">
        <v>45009</v>
      </c>
    </row>
    <row r="69">
      <c r="A69" s="8" t="inlineStr">
        <is>
          <t>Operating expenses (detail)</t>
        </is>
      </c>
      <c r="B69" s="8" t="inlineStr">
        <is>
          <t>E10</t>
        </is>
      </c>
      <c r="C69" s="8" t="inlineStr">
        <is>
          <t>9. Other employee benefits</t>
        </is>
      </c>
      <c r="D69" s="8" t="inlineStr">
        <is>
          <t>9</t>
        </is>
      </c>
      <c r="E69" s="8" t="inlineStr">
        <is>
          <t>part_ix_expenses.other_employee_benefits</t>
        </is>
      </c>
      <c r="F69" s="8" t="inlineStr">
        <is>
          <t>high</t>
        </is>
      </c>
      <c r="G69" s="9" t="n">
        <v>67472</v>
      </c>
    </row>
    <row r="70">
      <c r="A70" s="8" t="inlineStr">
        <is>
          <t>Operating expenses (detail)</t>
        </is>
      </c>
      <c r="B70" s="8" t="inlineStr">
        <is>
          <t>F10</t>
        </is>
      </c>
      <c r="C70" s="8" t="inlineStr">
        <is>
          <t>9. Other employee benefits</t>
        </is>
      </c>
      <c r="D70" s="8" t="inlineStr">
        <is>
          <t>9</t>
        </is>
      </c>
      <c r="E70" s="8" t="inlineStr">
        <is>
          <t>part_ix_expenses.other_employee_benefits</t>
        </is>
      </c>
      <c r="F70" s="8" t="inlineStr">
        <is>
          <t>high</t>
        </is>
      </c>
      <c r="G70" s="9" t="n">
        <v>68497</v>
      </c>
    </row>
    <row r="71">
      <c r="A71" s="8" t="inlineStr">
        <is>
          <t>Operating expenses (detail)</t>
        </is>
      </c>
      <c r="B71" s="8" t="inlineStr">
        <is>
          <t>B11</t>
        </is>
      </c>
      <c r="C71" s="8" t="inlineStr">
        <is>
          <t>10. Payroll taxes</t>
        </is>
      </c>
      <c r="D71" s="8" t="inlineStr">
        <is>
          <t>10</t>
        </is>
      </c>
      <c r="E71" s="8" t="inlineStr">
        <is>
          <t>part_ix_expenses.payroll_taxes</t>
        </is>
      </c>
      <c r="F71" s="8" t="inlineStr">
        <is>
          <t>high</t>
        </is>
      </c>
      <c r="G71" s="9" t="n">
        <v>37666</v>
      </c>
    </row>
    <row r="72">
      <c r="A72" s="8" t="inlineStr">
        <is>
          <t>Operating expenses (detail)</t>
        </is>
      </c>
      <c r="B72" s="8" t="inlineStr">
        <is>
          <t>C11</t>
        </is>
      </c>
      <c r="C72" s="8" t="inlineStr">
        <is>
          <t>10. Payroll taxes</t>
        </is>
      </c>
      <c r="D72" s="8" t="inlineStr">
        <is>
          <t>10</t>
        </is>
      </c>
      <c r="E72" s="8" t="inlineStr">
        <is>
          <t>part_ix_expenses.payroll_taxes</t>
        </is>
      </c>
      <c r="F72" s="8" t="inlineStr">
        <is>
          <t>high</t>
        </is>
      </c>
      <c r="G72" s="9" t="n">
        <v>40075</v>
      </c>
    </row>
    <row r="73">
      <c r="A73" s="8" t="inlineStr">
        <is>
          <t>Operating expenses (detail)</t>
        </is>
      </c>
      <c r="B73" s="8" t="inlineStr">
        <is>
          <t>D11</t>
        </is>
      </c>
      <c r="C73" s="8" t="inlineStr">
        <is>
          <t>10. Payroll taxes</t>
        </is>
      </c>
      <c r="D73" s="8" t="inlineStr">
        <is>
          <t>10</t>
        </is>
      </c>
      <c r="E73" s="8" t="inlineStr">
        <is>
          <t>part_ix_expenses.payroll_taxes</t>
        </is>
      </c>
      <c r="F73" s="8" t="inlineStr">
        <is>
          <t>high</t>
        </is>
      </c>
      <c r="G73" s="9" t="n">
        <v>41056</v>
      </c>
    </row>
    <row r="74">
      <c r="A74" s="8" t="inlineStr">
        <is>
          <t>Operating expenses (detail)</t>
        </is>
      </c>
      <c r="B74" s="8" t="inlineStr">
        <is>
          <t>E11</t>
        </is>
      </c>
      <c r="C74" s="8" t="inlineStr">
        <is>
          <t>10. Payroll taxes</t>
        </is>
      </c>
      <c r="D74" s="8" t="inlineStr">
        <is>
          <t>10</t>
        </is>
      </c>
      <c r="E74" s="8" t="inlineStr">
        <is>
          <t>part_ix_expenses.payroll_taxes</t>
        </is>
      </c>
      <c r="F74" s="8" t="inlineStr">
        <is>
          <t>high</t>
        </is>
      </c>
      <c r="G74" s="9" t="n">
        <v>45162</v>
      </c>
    </row>
    <row r="75">
      <c r="A75" s="8" t="inlineStr">
        <is>
          <t>Operating expenses (detail)</t>
        </is>
      </c>
      <c r="B75" s="8" t="inlineStr">
        <is>
          <t>F11</t>
        </is>
      </c>
      <c r="C75" s="8" t="inlineStr">
        <is>
          <t>10. Payroll taxes</t>
        </is>
      </c>
      <c r="D75" s="8" t="inlineStr">
        <is>
          <t>10</t>
        </is>
      </c>
      <c r="E75" s="8" t="inlineStr">
        <is>
          <t>part_ix_expenses.payroll_taxes</t>
        </is>
      </c>
      <c r="F75" s="8" t="inlineStr">
        <is>
          <t>high</t>
        </is>
      </c>
      <c r="G75" s="9" t="n">
        <v>49968</v>
      </c>
    </row>
    <row r="76">
      <c r="A76" s="8" t="inlineStr">
        <is>
          <t>Operating expenses (detail)</t>
        </is>
      </c>
      <c r="B76" s="8" t="inlineStr">
        <is>
          <t>B12</t>
        </is>
      </c>
      <c r="C76" s="8" t="inlineStr">
        <is>
          <t>11b. Fees for services: legal</t>
        </is>
      </c>
      <c r="D76" s="8" t="inlineStr">
        <is>
          <t>11b</t>
        </is>
      </c>
      <c r="E76" s="8" t="inlineStr">
        <is>
          <t>part_ix_expenses.fees_legal</t>
        </is>
      </c>
      <c r="F76" s="8" t="inlineStr">
        <is>
          <t>high</t>
        </is>
      </c>
      <c r="G76" s="9" t="n">
        <v>29313</v>
      </c>
    </row>
    <row r="77">
      <c r="A77" s="8" t="inlineStr">
        <is>
          <t>Operating expenses (detail)</t>
        </is>
      </c>
      <c r="B77" s="8" t="inlineStr">
        <is>
          <t>B13</t>
        </is>
      </c>
      <c r="C77" s="8" t="inlineStr">
        <is>
          <t>11c. Fees for services: accounting</t>
        </is>
      </c>
      <c r="D77" s="8" t="inlineStr">
        <is>
          <t>11c</t>
        </is>
      </c>
      <c r="E77" s="8" t="inlineStr">
        <is>
          <t>part_ix_expenses.fees_accounting</t>
        </is>
      </c>
      <c r="F77" s="8" t="inlineStr">
        <is>
          <t>high</t>
        </is>
      </c>
      <c r="G77" s="9" t="n">
        <v>24150</v>
      </c>
    </row>
    <row r="78">
      <c r="A78" s="8" t="inlineStr">
        <is>
          <t>Operating expenses (detail)</t>
        </is>
      </c>
      <c r="B78" s="8" t="inlineStr">
        <is>
          <t>B14</t>
        </is>
      </c>
      <c r="C78" s="8" t="inlineStr">
        <is>
          <t>11g. Fees for services: other</t>
        </is>
      </c>
      <c r="D78" s="8" t="inlineStr">
        <is>
          <t>11g</t>
        </is>
      </c>
      <c r="E78" s="8" t="inlineStr">
        <is>
          <t>part_ix_expenses.fees_other</t>
        </is>
      </c>
      <c r="F78" s="8" t="inlineStr">
        <is>
          <t>high</t>
        </is>
      </c>
      <c r="G78" s="9" t="n">
        <v>56762</v>
      </c>
    </row>
    <row r="79">
      <c r="A79" s="8" t="inlineStr">
        <is>
          <t>Operating expenses (detail)</t>
        </is>
      </c>
      <c r="B79" s="8" t="inlineStr">
        <is>
          <t>C14</t>
        </is>
      </c>
      <c r="C79" s="8" t="inlineStr">
        <is>
          <t>11g. Fees for services: other</t>
        </is>
      </c>
      <c r="D79" s="8" t="inlineStr">
        <is>
          <t>11g</t>
        </is>
      </c>
      <c r="E79" s="8" t="inlineStr">
        <is>
          <t>part_ix_expenses.fees_other</t>
        </is>
      </c>
      <c r="F79" s="8" t="inlineStr">
        <is>
          <t>high</t>
        </is>
      </c>
      <c r="G79" s="9" t="n">
        <v>121120</v>
      </c>
    </row>
    <row r="80">
      <c r="A80" s="8" t="inlineStr">
        <is>
          <t>Operating expenses (detail)</t>
        </is>
      </c>
      <c r="B80" s="8" t="inlineStr">
        <is>
          <t>D14</t>
        </is>
      </c>
      <c r="C80" s="8" t="inlineStr">
        <is>
          <t>11g. Fees for services: other</t>
        </is>
      </c>
      <c r="D80" s="8" t="inlineStr">
        <is>
          <t>11g</t>
        </is>
      </c>
      <c r="E80" s="8" t="inlineStr">
        <is>
          <t>part_ix_expenses.fees_other</t>
        </is>
      </c>
      <c r="F80" s="8" t="inlineStr">
        <is>
          <t>high</t>
        </is>
      </c>
      <c r="G80" s="9" t="n">
        <v>123143</v>
      </c>
    </row>
    <row r="81">
      <c r="A81" s="8" t="inlineStr">
        <is>
          <t>Operating expenses (detail)</t>
        </is>
      </c>
      <c r="B81" s="8" t="inlineStr">
        <is>
          <t>E14</t>
        </is>
      </c>
      <c r="C81" s="8" t="inlineStr">
        <is>
          <t>11g. Fees for services: other</t>
        </is>
      </c>
      <c r="D81" s="8" t="inlineStr">
        <is>
          <t>11g</t>
        </is>
      </c>
      <c r="E81" s="8" t="inlineStr">
        <is>
          <t>part_ix_expenses.fees_other</t>
        </is>
      </c>
      <c r="F81" s="8" t="inlineStr">
        <is>
          <t>high</t>
        </is>
      </c>
      <c r="G81" s="9" t="n">
        <v>61294</v>
      </c>
    </row>
    <row r="82">
      <c r="A82" s="8" t="inlineStr">
        <is>
          <t>Operating expenses (detail)</t>
        </is>
      </c>
      <c r="B82" s="8" t="inlineStr">
        <is>
          <t>F14</t>
        </is>
      </c>
      <c r="C82" s="8" t="inlineStr">
        <is>
          <t>11g. Fees for services: other</t>
        </is>
      </c>
      <c r="D82" s="8" t="inlineStr">
        <is>
          <t>11g</t>
        </is>
      </c>
      <c r="E82" s="8" t="inlineStr">
        <is>
          <t>part_ix_expenses.fees_other</t>
        </is>
      </c>
      <c r="F82" s="8" t="inlineStr">
        <is>
          <t>high</t>
        </is>
      </c>
      <c r="G82" s="9" t="n">
        <v>81399</v>
      </c>
    </row>
    <row r="83">
      <c r="A83" s="8" t="inlineStr">
        <is>
          <t>Operating expenses (detail)</t>
        </is>
      </c>
      <c r="B83" s="8" t="inlineStr">
        <is>
          <t>B15</t>
        </is>
      </c>
      <c r="C83" s="8" t="inlineStr">
        <is>
          <t>12. Advertising and promotion</t>
        </is>
      </c>
      <c r="D83" s="8" t="inlineStr">
        <is>
          <t>12</t>
        </is>
      </c>
      <c r="E83" s="8" t="inlineStr">
        <is>
          <t>part_ix_expenses.advertising</t>
        </is>
      </c>
      <c r="F83" s="8" t="inlineStr">
        <is>
          <t>high</t>
        </is>
      </c>
      <c r="G83" s="9" t="n">
        <v>280</v>
      </c>
    </row>
    <row r="84">
      <c r="A84" s="8" t="inlineStr">
        <is>
          <t>Operating expenses (detail)</t>
        </is>
      </c>
      <c r="B84" s="8" t="inlineStr">
        <is>
          <t>B16</t>
        </is>
      </c>
      <c r="C84" s="8" t="inlineStr">
        <is>
          <t>13. Office expenses</t>
        </is>
      </c>
      <c r="D84" s="8" t="inlineStr">
        <is>
          <t>13</t>
        </is>
      </c>
      <c r="E84" s="8" t="inlineStr">
        <is>
          <t>part_ix_expenses.office_expenses</t>
        </is>
      </c>
      <c r="F84" s="8" t="inlineStr">
        <is>
          <t>high</t>
        </is>
      </c>
      <c r="G84" s="9" t="n">
        <v>25330</v>
      </c>
    </row>
    <row r="85">
      <c r="A85" s="8" t="inlineStr">
        <is>
          <t>Operating expenses (detail)</t>
        </is>
      </c>
      <c r="B85" s="8" t="inlineStr">
        <is>
          <t>C16</t>
        </is>
      </c>
      <c r="C85" s="8" t="inlineStr">
        <is>
          <t>13. Office expenses</t>
        </is>
      </c>
      <c r="D85" s="8" t="inlineStr">
        <is>
          <t>13</t>
        </is>
      </c>
      <c r="E85" s="8" t="inlineStr">
        <is>
          <t>part_ix_expenses.office_expenses</t>
        </is>
      </c>
      <c r="F85" s="8" t="inlineStr">
        <is>
          <t>high</t>
        </is>
      </c>
      <c r="G85" s="9" t="n">
        <v>22812</v>
      </c>
    </row>
    <row r="86">
      <c r="A86" s="8" t="inlineStr">
        <is>
          <t>Operating expenses (detail)</t>
        </is>
      </c>
      <c r="B86" s="8" t="inlineStr">
        <is>
          <t>D16</t>
        </is>
      </c>
      <c r="C86" s="8" t="inlineStr">
        <is>
          <t>13. Office expenses</t>
        </is>
      </c>
      <c r="D86" s="8" t="inlineStr">
        <is>
          <t>13</t>
        </is>
      </c>
      <c r="E86" s="8" t="inlineStr">
        <is>
          <t>part_ix_expenses.office_expenses</t>
        </is>
      </c>
      <c r="F86" s="8" t="inlineStr">
        <is>
          <t>high</t>
        </is>
      </c>
      <c r="G86" s="9" t="n">
        <v>36624</v>
      </c>
    </row>
    <row r="87">
      <c r="A87" s="8" t="inlineStr">
        <is>
          <t>Operating expenses (detail)</t>
        </is>
      </c>
      <c r="B87" s="8" t="inlineStr">
        <is>
          <t>E16</t>
        </is>
      </c>
      <c r="C87" s="8" t="inlineStr">
        <is>
          <t>13. Office expenses</t>
        </is>
      </c>
      <c r="D87" s="8" t="inlineStr">
        <is>
          <t>13</t>
        </is>
      </c>
      <c r="E87" s="8" t="inlineStr">
        <is>
          <t>part_ix_expenses.office_expenses</t>
        </is>
      </c>
      <c r="F87" s="8" t="inlineStr">
        <is>
          <t>high</t>
        </is>
      </c>
      <c r="G87" s="9" t="n">
        <v>24569</v>
      </c>
    </row>
    <row r="88">
      <c r="A88" s="8" t="inlineStr">
        <is>
          <t>Operating expenses (detail)</t>
        </is>
      </c>
      <c r="B88" s="8" t="inlineStr">
        <is>
          <t>F16</t>
        </is>
      </c>
      <c r="C88" s="8" t="inlineStr">
        <is>
          <t>13. Office expenses</t>
        </is>
      </c>
      <c r="D88" s="8" t="inlineStr">
        <is>
          <t>13</t>
        </is>
      </c>
      <c r="E88" s="8" t="inlineStr">
        <is>
          <t>part_ix_expenses.office_expenses</t>
        </is>
      </c>
      <c r="F88" s="8" t="inlineStr">
        <is>
          <t>high</t>
        </is>
      </c>
      <c r="G88" s="9" t="n">
        <v>27742</v>
      </c>
    </row>
    <row r="89">
      <c r="A89" s="8" t="inlineStr">
        <is>
          <t>Operating expenses (detail)</t>
        </is>
      </c>
      <c r="B89" s="8" t="inlineStr">
        <is>
          <t>B17</t>
        </is>
      </c>
      <c r="C89" s="8" t="inlineStr">
        <is>
          <t>16. Occupancy</t>
        </is>
      </c>
      <c r="D89" s="8" t="inlineStr">
        <is>
          <t>16</t>
        </is>
      </c>
      <c r="E89" s="8" t="inlineStr">
        <is>
          <t>part_ix_expenses.occupancy</t>
        </is>
      </c>
      <c r="F89" s="8" t="inlineStr">
        <is>
          <t>high</t>
        </is>
      </c>
      <c r="G89" s="9" t="n">
        <v>9909</v>
      </c>
    </row>
    <row r="90">
      <c r="A90" s="8" t="inlineStr">
        <is>
          <t>Operating expenses (detail)</t>
        </is>
      </c>
      <c r="B90" s="8" t="inlineStr">
        <is>
          <t>B18</t>
        </is>
      </c>
      <c r="C90" s="8" t="inlineStr">
        <is>
          <t>17. Travel</t>
        </is>
      </c>
      <c r="D90" s="8" t="inlineStr">
        <is>
          <t>17</t>
        </is>
      </c>
      <c r="E90" s="8" t="inlineStr">
        <is>
          <t>part_ix_expenses.travel</t>
        </is>
      </c>
      <c r="F90" s="8" t="inlineStr">
        <is>
          <t>high</t>
        </is>
      </c>
      <c r="G90" s="9" t="n">
        <v>13743</v>
      </c>
    </row>
    <row r="91">
      <c r="A91" s="8" t="inlineStr">
        <is>
          <t>Operating expenses (detail)</t>
        </is>
      </c>
      <c r="B91" s="8" t="inlineStr">
        <is>
          <t>C18</t>
        </is>
      </c>
      <c r="C91" s="8" t="inlineStr">
        <is>
          <t>17. Travel</t>
        </is>
      </c>
      <c r="D91" s="8" t="inlineStr">
        <is>
          <t>17</t>
        </is>
      </c>
      <c r="E91" s="8" t="inlineStr">
        <is>
          <t>part_ix_expenses.travel</t>
        </is>
      </c>
      <c r="F91" s="8" t="inlineStr">
        <is>
          <t>high</t>
        </is>
      </c>
      <c r="G91" s="9" t="n">
        <v>22449</v>
      </c>
    </row>
    <row r="92">
      <c r="A92" s="8" t="inlineStr">
        <is>
          <t>Operating expenses (detail)</t>
        </is>
      </c>
      <c r="B92" s="8" t="inlineStr">
        <is>
          <t>D18</t>
        </is>
      </c>
      <c r="C92" s="8" t="inlineStr">
        <is>
          <t>17. Travel</t>
        </is>
      </c>
      <c r="D92" s="8" t="inlineStr">
        <is>
          <t>17</t>
        </is>
      </c>
      <c r="E92" s="8" t="inlineStr">
        <is>
          <t>part_ix_expenses.travel</t>
        </is>
      </c>
      <c r="F92" s="8" t="inlineStr">
        <is>
          <t>high</t>
        </is>
      </c>
      <c r="G92" s="9" t="n">
        <v>30636</v>
      </c>
    </row>
    <row r="93">
      <c r="A93" s="8" t="inlineStr">
        <is>
          <t>Operating expenses (detail)</t>
        </is>
      </c>
      <c r="B93" s="8" t="inlineStr">
        <is>
          <t>E18</t>
        </is>
      </c>
      <c r="C93" s="8" t="inlineStr">
        <is>
          <t>17. Travel</t>
        </is>
      </c>
      <c r="D93" s="8" t="inlineStr">
        <is>
          <t>17</t>
        </is>
      </c>
      <c r="E93" s="8" t="inlineStr">
        <is>
          <t>part_ix_expenses.travel</t>
        </is>
      </c>
      <c r="F93" s="8" t="inlineStr">
        <is>
          <t>high</t>
        </is>
      </c>
      <c r="G93" s="9" t="n">
        <v>34493</v>
      </c>
    </row>
    <row r="94">
      <c r="A94" s="8" t="inlineStr">
        <is>
          <t>Operating expenses (detail)</t>
        </is>
      </c>
      <c r="B94" s="8" t="inlineStr">
        <is>
          <t>F18</t>
        </is>
      </c>
      <c r="C94" s="8" t="inlineStr">
        <is>
          <t>17. Travel</t>
        </is>
      </c>
      <c r="D94" s="8" t="inlineStr">
        <is>
          <t>17</t>
        </is>
      </c>
      <c r="E94" s="8" t="inlineStr">
        <is>
          <t>part_ix_expenses.travel</t>
        </is>
      </c>
      <c r="F94" s="8" t="inlineStr">
        <is>
          <t>high</t>
        </is>
      </c>
      <c r="G94" s="9" t="n">
        <v>28547</v>
      </c>
    </row>
    <row r="95">
      <c r="A95" s="8" t="inlineStr">
        <is>
          <t>Operating expenses (detail)</t>
        </is>
      </c>
      <c r="B95" s="8" t="inlineStr">
        <is>
          <t>B19</t>
        </is>
      </c>
      <c r="C95" s="8" t="inlineStr">
        <is>
          <t>19. Conferences, conventions, and meetings</t>
        </is>
      </c>
      <c r="D95" s="8" t="inlineStr">
        <is>
          <t>19</t>
        </is>
      </c>
      <c r="E95" s="8" t="inlineStr">
        <is>
          <t>part_ix_expenses.conferences_conventions_meetings</t>
        </is>
      </c>
      <c r="F95" s="8" t="inlineStr">
        <is>
          <t>high</t>
        </is>
      </c>
      <c r="G95" s="9" t="n">
        <v>7221</v>
      </c>
    </row>
    <row r="96">
      <c r="A96" s="8" t="inlineStr">
        <is>
          <t>Operating expenses (detail)</t>
        </is>
      </c>
      <c r="B96" s="8" t="inlineStr">
        <is>
          <t>C19</t>
        </is>
      </c>
      <c r="C96" s="8" t="inlineStr">
        <is>
          <t>19. Conferences, conventions, and meetings</t>
        </is>
      </c>
      <c r="D96" s="8" t="inlineStr">
        <is>
          <t>19</t>
        </is>
      </c>
      <c r="E96" s="8" t="inlineStr">
        <is>
          <t>part_ix_expenses.conferences_conventions_meetings</t>
        </is>
      </c>
      <c r="F96" s="8" t="inlineStr">
        <is>
          <t>high</t>
        </is>
      </c>
      <c r="G96" s="9" t="n">
        <v>6303</v>
      </c>
    </row>
    <row r="97">
      <c r="A97" s="8" t="inlineStr">
        <is>
          <t>Operating expenses (detail)</t>
        </is>
      </c>
      <c r="B97" s="8" t="inlineStr">
        <is>
          <t>D19</t>
        </is>
      </c>
      <c r="C97" s="8" t="inlineStr">
        <is>
          <t>19. Conferences, conventions, and meetings</t>
        </is>
      </c>
      <c r="D97" s="8" t="inlineStr">
        <is>
          <t>19</t>
        </is>
      </c>
      <c r="E97" s="8" t="inlineStr">
        <is>
          <t>part_ix_expenses.conferences_conventions_meetings</t>
        </is>
      </c>
      <c r="F97" s="8" t="inlineStr">
        <is>
          <t>high</t>
        </is>
      </c>
      <c r="G97" s="9" t="n">
        <v>4884</v>
      </c>
    </row>
    <row r="98">
      <c r="A98" s="8" t="inlineStr">
        <is>
          <t>Operating expenses (detail)</t>
        </is>
      </c>
      <c r="B98" s="8" t="inlineStr">
        <is>
          <t>E19</t>
        </is>
      </c>
      <c r="C98" s="8" t="inlineStr">
        <is>
          <t>19. Conferences, conventions, and meetings</t>
        </is>
      </c>
      <c r="D98" s="8" t="inlineStr">
        <is>
          <t>19</t>
        </is>
      </c>
      <c r="E98" s="8" t="inlineStr">
        <is>
          <t>part_ix_expenses.conferences_conventions_meetings</t>
        </is>
      </c>
      <c r="F98" s="8" t="inlineStr">
        <is>
          <t>high</t>
        </is>
      </c>
      <c r="G98" s="9" t="n">
        <v>824</v>
      </c>
    </row>
    <row r="99">
      <c r="A99" s="8" t="inlineStr">
        <is>
          <t>Operating expenses (detail)</t>
        </is>
      </c>
      <c r="B99" s="8" t="inlineStr">
        <is>
          <t>F19</t>
        </is>
      </c>
      <c r="C99" s="8" t="inlineStr">
        <is>
          <t>19. Conferences, conventions, and meetings</t>
        </is>
      </c>
      <c r="D99" s="8" t="inlineStr">
        <is>
          <t>19</t>
        </is>
      </c>
      <c r="E99" s="8" t="inlineStr">
        <is>
          <t>part_ix_expenses.conferences_conventions_meetings</t>
        </is>
      </c>
      <c r="F99" s="8" t="inlineStr">
        <is>
          <t>high</t>
        </is>
      </c>
      <c r="G99" s="9" t="n">
        <v>3378</v>
      </c>
    </row>
    <row r="100">
      <c r="A100" s="8" t="inlineStr">
        <is>
          <t>Operating expenses (detail)</t>
        </is>
      </c>
      <c r="B100" s="8" t="inlineStr">
        <is>
          <t>B20</t>
        </is>
      </c>
      <c r="C100" s="8" t="inlineStr">
        <is>
          <t>22. Depreciation, depletion, and amortization</t>
        </is>
      </c>
      <c r="D100" s="8" t="inlineStr">
        <is>
          <t>22</t>
        </is>
      </c>
      <c r="E100" s="8" t="inlineStr">
        <is>
          <t>part_ix_expenses.depreciation</t>
        </is>
      </c>
      <c r="F100" s="8" t="inlineStr">
        <is>
          <t>high</t>
        </is>
      </c>
      <c r="G100" s="9" t="n">
        <v>60340</v>
      </c>
    </row>
    <row r="101">
      <c r="A101" s="8" t="inlineStr">
        <is>
          <t>Operating expenses (detail)</t>
        </is>
      </c>
      <c r="B101" s="8" t="inlineStr">
        <is>
          <t>C20</t>
        </is>
      </c>
      <c r="C101" s="8" t="inlineStr">
        <is>
          <t>22. Depreciation, depletion, and amortization</t>
        </is>
      </c>
      <c r="D101" s="8" t="inlineStr">
        <is>
          <t>22</t>
        </is>
      </c>
      <c r="E101" s="8" t="inlineStr">
        <is>
          <t>part_ix_expenses.depreciation</t>
        </is>
      </c>
      <c r="F101" s="8" t="inlineStr">
        <is>
          <t>high</t>
        </is>
      </c>
      <c r="G101" s="9" t="n">
        <v>64440</v>
      </c>
    </row>
    <row r="102">
      <c r="A102" s="8" t="inlineStr">
        <is>
          <t>Operating expenses (detail)</t>
        </is>
      </c>
      <c r="B102" s="8" t="inlineStr">
        <is>
          <t>D20</t>
        </is>
      </c>
      <c r="C102" s="8" t="inlineStr">
        <is>
          <t>22. Depreciation, depletion, and amortization</t>
        </is>
      </c>
      <c r="D102" s="8" t="inlineStr">
        <is>
          <t>22</t>
        </is>
      </c>
      <c r="E102" s="8" t="inlineStr">
        <is>
          <t>part_ix_expenses.depreciation</t>
        </is>
      </c>
      <c r="F102" s="8" t="inlineStr">
        <is>
          <t>high</t>
        </is>
      </c>
      <c r="G102" s="9" t="n">
        <v>80022</v>
      </c>
    </row>
    <row r="103">
      <c r="A103" s="8" t="inlineStr">
        <is>
          <t>Operating expenses (detail)</t>
        </is>
      </c>
      <c r="B103" s="8" t="inlineStr">
        <is>
          <t>E20</t>
        </is>
      </c>
      <c r="C103" s="8" t="inlineStr">
        <is>
          <t>22. Depreciation, depletion, and amortization</t>
        </is>
      </c>
      <c r="D103" s="8" t="inlineStr">
        <is>
          <t>22</t>
        </is>
      </c>
      <c r="E103" s="8" t="inlineStr">
        <is>
          <t>part_ix_expenses.depreciation</t>
        </is>
      </c>
      <c r="F103" s="8" t="inlineStr">
        <is>
          <t>high</t>
        </is>
      </c>
      <c r="G103" s="9" t="n">
        <v>76542</v>
      </c>
    </row>
    <row r="104">
      <c r="A104" s="8" t="inlineStr">
        <is>
          <t>Operating expenses (detail)</t>
        </is>
      </c>
      <c r="B104" s="8" t="inlineStr">
        <is>
          <t>F20</t>
        </is>
      </c>
      <c r="C104" s="8" t="inlineStr">
        <is>
          <t>22. Depreciation, depletion, and amortization</t>
        </is>
      </c>
      <c r="D104" s="8" t="inlineStr">
        <is>
          <t>22</t>
        </is>
      </c>
      <c r="E104" s="8" t="inlineStr">
        <is>
          <t>part_ix_expenses.depreciation</t>
        </is>
      </c>
      <c r="F104" s="8" t="inlineStr">
        <is>
          <t>high</t>
        </is>
      </c>
      <c r="G104" s="9" t="n">
        <v>72769</v>
      </c>
    </row>
    <row r="105">
      <c r="A105" s="8" t="inlineStr">
        <is>
          <t>Operating expenses (detail)</t>
        </is>
      </c>
      <c r="B105" s="8" t="inlineStr">
        <is>
          <t>B21</t>
        </is>
      </c>
      <c r="C105" s="8" t="inlineStr">
        <is>
          <t>23. Insurance</t>
        </is>
      </c>
      <c r="D105" s="8" t="inlineStr">
        <is>
          <t>23</t>
        </is>
      </c>
      <c r="E105" s="8" t="inlineStr">
        <is>
          <t>part_ix_expenses.insurance</t>
        </is>
      </c>
      <c r="F105" s="8" t="inlineStr">
        <is>
          <t>high</t>
        </is>
      </c>
      <c r="G105" s="9" t="n">
        <v>46929</v>
      </c>
    </row>
    <row r="106">
      <c r="A106" s="8" t="inlineStr">
        <is>
          <t>Operating expenses (detail)</t>
        </is>
      </c>
      <c r="B106" s="8" t="inlineStr">
        <is>
          <t>C21</t>
        </is>
      </c>
      <c r="C106" s="8" t="inlineStr">
        <is>
          <t>23. Insurance</t>
        </is>
      </c>
      <c r="D106" s="8" t="inlineStr">
        <is>
          <t>23</t>
        </is>
      </c>
      <c r="E106" s="8" t="inlineStr">
        <is>
          <t>part_ix_expenses.insurance</t>
        </is>
      </c>
      <c r="F106" s="8" t="inlineStr">
        <is>
          <t>high</t>
        </is>
      </c>
      <c r="G106" s="9" t="n">
        <v>53625</v>
      </c>
    </row>
    <row r="107">
      <c r="A107" s="8" t="inlineStr">
        <is>
          <t>Operating expenses (detail)</t>
        </is>
      </c>
      <c r="B107" s="8" t="inlineStr">
        <is>
          <t>D21</t>
        </is>
      </c>
      <c r="C107" s="8" t="inlineStr">
        <is>
          <t>23. Insurance</t>
        </is>
      </c>
      <c r="D107" s="8" t="inlineStr">
        <is>
          <t>23</t>
        </is>
      </c>
      <c r="E107" s="8" t="inlineStr">
        <is>
          <t>part_ix_expenses.insurance</t>
        </is>
      </c>
      <c r="F107" s="8" t="inlineStr">
        <is>
          <t>high</t>
        </is>
      </c>
      <c r="G107" s="9" t="n">
        <v>60738</v>
      </c>
    </row>
    <row r="108">
      <c r="A108" s="8" t="inlineStr">
        <is>
          <t>Operating expenses (detail)</t>
        </is>
      </c>
      <c r="B108" s="8" t="inlineStr">
        <is>
          <t>E21</t>
        </is>
      </c>
      <c r="C108" s="8" t="inlineStr">
        <is>
          <t>23. Insurance</t>
        </is>
      </c>
      <c r="D108" s="8" t="inlineStr">
        <is>
          <t>23</t>
        </is>
      </c>
      <c r="E108" s="8" t="inlineStr">
        <is>
          <t>part_ix_expenses.insurance</t>
        </is>
      </c>
      <c r="F108" s="8" t="inlineStr">
        <is>
          <t>high</t>
        </is>
      </c>
      <c r="G108" s="9" t="n">
        <v>51392</v>
      </c>
    </row>
    <row r="109">
      <c r="A109" s="8" t="inlineStr">
        <is>
          <t>Operating expenses (detail)</t>
        </is>
      </c>
      <c r="B109" s="8" t="inlineStr">
        <is>
          <t>F21</t>
        </is>
      </c>
      <c r="C109" s="8" t="inlineStr">
        <is>
          <t>23. Insurance</t>
        </is>
      </c>
      <c r="D109" s="8" t="inlineStr">
        <is>
          <t>23</t>
        </is>
      </c>
      <c r="E109" s="8" t="inlineStr">
        <is>
          <t>part_ix_expenses.insurance</t>
        </is>
      </c>
      <c r="F109" s="8" t="inlineStr">
        <is>
          <t>high</t>
        </is>
      </c>
      <c r="G109" s="9" t="n">
        <v>58414</v>
      </c>
    </row>
    <row r="110">
      <c r="A110" s="8" t="inlineStr">
        <is>
          <t>Operating expenses (detail)</t>
        </is>
      </c>
      <c r="B110" s="8" t="inlineStr">
        <is>
          <t>B28</t>
        </is>
      </c>
      <c r="C110" s="8" t="inlineStr">
        <is>
          <t>24e. All other expenses</t>
        </is>
      </c>
      <c r="D110" s="8" t="inlineStr">
        <is>
          <t>24e</t>
        </is>
      </c>
      <c r="E110" s="8" t="inlineStr">
        <is>
          <t>part_ix_expenses.all_other_expenses</t>
        </is>
      </c>
      <c r="F110" s="8" t="inlineStr">
        <is>
          <t>high</t>
        </is>
      </c>
      <c r="G110" s="9" t="n">
        <v>90194</v>
      </c>
    </row>
    <row r="111">
      <c r="A111" s="8" t="inlineStr">
        <is>
          <t>Operating expenses (detail)</t>
        </is>
      </c>
      <c r="B111" s="8" t="inlineStr">
        <is>
          <t>C28</t>
        </is>
      </c>
      <c r="C111" s="8" t="inlineStr">
        <is>
          <t>24e. All other expenses</t>
        </is>
      </c>
      <c r="D111" s="8" t="inlineStr">
        <is>
          <t>24e</t>
        </is>
      </c>
      <c r="E111" s="8" t="inlineStr">
        <is>
          <t>part_ix_expenses.all_other_expenses</t>
        </is>
      </c>
      <c r="F111" s="8" t="inlineStr">
        <is>
          <t>high</t>
        </is>
      </c>
      <c r="G111" s="9" t="n">
        <v>109488</v>
      </c>
    </row>
    <row r="112">
      <c r="A112" s="8" t="inlineStr">
        <is>
          <t>Operating expenses (detail)</t>
        </is>
      </c>
      <c r="B112" s="8" t="inlineStr">
        <is>
          <t>D28</t>
        </is>
      </c>
      <c r="C112" s="8" t="inlineStr">
        <is>
          <t>24e. All other expenses</t>
        </is>
      </c>
      <c r="D112" s="8" t="inlineStr">
        <is>
          <t>24e</t>
        </is>
      </c>
      <c r="E112" s="8" t="inlineStr">
        <is>
          <t>part_ix_expenses.all_other_expenses</t>
        </is>
      </c>
      <c r="F112" s="8" t="inlineStr">
        <is>
          <t>high</t>
        </is>
      </c>
      <c r="G112" s="9" t="n">
        <v>43207</v>
      </c>
    </row>
    <row r="113">
      <c r="A113" s="8" t="inlineStr">
        <is>
          <t>Operating expenses (detail)</t>
        </is>
      </c>
      <c r="B113" s="8" t="inlineStr">
        <is>
          <t>E28</t>
        </is>
      </c>
      <c r="C113" s="8" t="inlineStr">
        <is>
          <t>24e. All other expenses</t>
        </is>
      </c>
      <c r="D113" s="8" t="inlineStr">
        <is>
          <t>24e</t>
        </is>
      </c>
      <c r="E113" s="8" t="inlineStr">
        <is>
          <t>part_ix_expenses.all_other_expenses</t>
        </is>
      </c>
      <c r="F113" s="8" t="inlineStr">
        <is>
          <t>high</t>
        </is>
      </c>
      <c r="G113" s="9" t="n">
        <v>66501</v>
      </c>
    </row>
    <row r="114">
      <c r="A114" s="8" t="inlineStr">
        <is>
          <t>Operating expenses (detail)</t>
        </is>
      </c>
      <c r="B114" s="8" t="inlineStr">
        <is>
          <t>F28</t>
        </is>
      </c>
      <c r="C114" s="8" t="inlineStr">
        <is>
          <t>24e. All other expenses</t>
        </is>
      </c>
      <c r="D114" s="8" t="inlineStr">
        <is>
          <t>24e</t>
        </is>
      </c>
      <c r="E114" s="8" t="inlineStr">
        <is>
          <t>part_ix_expenses.all_other_expenses</t>
        </is>
      </c>
      <c r="F114" s="8" t="inlineStr">
        <is>
          <t>high</t>
        </is>
      </c>
      <c r="G114" s="9" t="n">
        <v>55891</v>
      </c>
    </row>
    <row r="115">
      <c r="A115" s="8" t="inlineStr">
        <is>
          <t>Balance sheet (detail)</t>
        </is>
      </c>
      <c r="B115" s="8" t="inlineStr">
        <is>
          <t>B7</t>
        </is>
      </c>
      <c r="C115" s="8" t="inlineStr">
        <is>
          <t>1. Cash - non-interest-bearing</t>
        </is>
      </c>
      <c r="D115" s="8" t="inlineStr">
        <is>
          <t>1E</t>
        </is>
      </c>
      <c r="E115" s="8" t="inlineStr">
        <is>
          <t>part_x_balance_sheet.cash_noninterest_eoy</t>
        </is>
      </c>
      <c r="F115" s="8" t="inlineStr">
        <is>
          <t>high</t>
        </is>
      </c>
      <c r="G115" s="9" t="n">
        <v>809837</v>
      </c>
    </row>
    <row r="116">
      <c r="A116" s="8" t="inlineStr">
        <is>
          <t>Balance sheet (detail)</t>
        </is>
      </c>
      <c r="B116" s="8" t="inlineStr">
        <is>
          <t>C7</t>
        </is>
      </c>
      <c r="C116" s="8" t="inlineStr">
        <is>
          <t>1. Cash - non-interest-bearing</t>
        </is>
      </c>
      <c r="D116" s="8" t="inlineStr">
        <is>
          <t>1E</t>
        </is>
      </c>
      <c r="E116" s="8" t="inlineStr">
        <is>
          <t>part_x_balance_sheet.cash_noninterest_eoy</t>
        </is>
      </c>
      <c r="F116" s="8" t="inlineStr">
        <is>
          <t>high</t>
        </is>
      </c>
      <c r="G116" s="9" t="n">
        <v>657042</v>
      </c>
    </row>
    <row r="117">
      <c r="A117" s="8" t="inlineStr">
        <is>
          <t>Balance sheet (detail)</t>
        </is>
      </c>
      <c r="B117" s="8" t="inlineStr">
        <is>
          <t>D7</t>
        </is>
      </c>
      <c r="C117" s="8" t="inlineStr">
        <is>
          <t>1. Cash - non-interest-bearing</t>
        </is>
      </c>
      <c r="D117" s="8" t="inlineStr">
        <is>
          <t>1E</t>
        </is>
      </c>
      <c r="E117" s="8" t="inlineStr">
        <is>
          <t>part_x_balance_sheet.cash_noninterest_eoy</t>
        </is>
      </c>
      <c r="F117" s="8" t="inlineStr">
        <is>
          <t>high</t>
        </is>
      </c>
      <c r="G117" s="9" t="n">
        <v>837082</v>
      </c>
    </row>
    <row r="118">
      <c r="A118" s="8" t="inlineStr">
        <is>
          <t>Balance sheet (detail)</t>
        </is>
      </c>
      <c r="B118" s="8" t="inlineStr">
        <is>
          <t>E7</t>
        </is>
      </c>
      <c r="C118" s="8" t="inlineStr">
        <is>
          <t>1. Cash - non-interest-bearing</t>
        </is>
      </c>
      <c r="D118" s="8" t="inlineStr">
        <is>
          <t>1E</t>
        </is>
      </c>
      <c r="E118" s="8" t="inlineStr">
        <is>
          <t>part_x_balance_sheet.cash_noninterest_eoy</t>
        </is>
      </c>
      <c r="F118" s="8" t="inlineStr">
        <is>
          <t>high</t>
        </is>
      </c>
      <c r="G118" s="9" t="n">
        <v>593357</v>
      </c>
    </row>
    <row r="119">
      <c r="A119" s="8" t="inlineStr">
        <is>
          <t>Balance sheet (detail)</t>
        </is>
      </c>
      <c r="B119" s="8" t="inlineStr">
        <is>
          <t>F7</t>
        </is>
      </c>
      <c r="C119" s="8" t="inlineStr">
        <is>
          <t>1. Cash - non-interest-bearing</t>
        </is>
      </c>
      <c r="D119" s="8" t="inlineStr">
        <is>
          <t>1E</t>
        </is>
      </c>
      <c r="E119" s="8" t="inlineStr">
        <is>
          <t>part_x_balance_sheet.cash_noninterest_eoy</t>
        </is>
      </c>
      <c r="F119" s="8" t="inlineStr">
        <is>
          <t>high</t>
        </is>
      </c>
      <c r="G119" s="9" t="n">
        <v>555779</v>
      </c>
    </row>
    <row r="120">
      <c r="A120" s="8" t="inlineStr">
        <is>
          <t>Balance sheet (detail)</t>
        </is>
      </c>
      <c r="B120" s="8" t="inlineStr">
        <is>
          <t>B8</t>
        </is>
      </c>
      <c r="C120" s="8" t="inlineStr">
        <is>
          <t>2. Savings and temporary cash investments</t>
        </is>
      </c>
      <c r="D120" s="8" t="inlineStr">
        <is>
          <t>2E</t>
        </is>
      </c>
      <c r="E120" s="8" t="inlineStr">
        <is>
          <t>part_x_balance_sheet.savings_temp_invest_eoy</t>
        </is>
      </c>
      <c r="F120" s="8" t="inlineStr">
        <is>
          <t>high</t>
        </is>
      </c>
      <c r="G120" s="9" t="n">
        <v>968669</v>
      </c>
    </row>
    <row r="121">
      <c r="A121" s="8" t="inlineStr">
        <is>
          <t>Balance sheet (detail)</t>
        </is>
      </c>
      <c r="B121" s="8" t="inlineStr">
        <is>
          <t>C8</t>
        </is>
      </c>
      <c r="C121" s="8" t="inlineStr">
        <is>
          <t>2. Savings and temporary cash investments</t>
        </is>
      </c>
      <c r="D121" s="8" t="inlineStr">
        <is>
          <t>2E</t>
        </is>
      </c>
      <c r="E121" s="8" t="inlineStr">
        <is>
          <t>part_x_balance_sheet.savings_temp_invest_eoy</t>
        </is>
      </c>
      <c r="F121" s="8" t="inlineStr">
        <is>
          <t>high</t>
        </is>
      </c>
      <c r="G121" s="9" t="n">
        <v>968591</v>
      </c>
    </row>
    <row r="122">
      <c r="A122" s="8" t="inlineStr">
        <is>
          <t>Balance sheet (detail)</t>
        </is>
      </c>
      <c r="B122" s="8" t="inlineStr">
        <is>
          <t>D8</t>
        </is>
      </c>
      <c r="C122" s="8" t="inlineStr">
        <is>
          <t>2. Savings and temporary cash investments</t>
        </is>
      </c>
      <c r="D122" s="8" t="inlineStr">
        <is>
          <t>2E</t>
        </is>
      </c>
      <c r="E122" s="8" t="inlineStr">
        <is>
          <t>part_x_balance_sheet.savings_temp_invest_eoy</t>
        </is>
      </c>
      <c r="F122" s="8" t="inlineStr">
        <is>
          <t>high</t>
        </is>
      </c>
      <c r="G122" s="9" t="n">
        <v>968639</v>
      </c>
    </row>
    <row r="123">
      <c r="A123" s="8" t="inlineStr">
        <is>
          <t>Balance sheet (detail)</t>
        </is>
      </c>
      <c r="B123" s="8" t="inlineStr">
        <is>
          <t>E8</t>
        </is>
      </c>
      <c r="C123" s="8" t="inlineStr">
        <is>
          <t>2. Savings and temporary cash investments</t>
        </is>
      </c>
      <c r="D123" s="8" t="inlineStr">
        <is>
          <t>2E</t>
        </is>
      </c>
      <c r="E123" s="8" t="inlineStr">
        <is>
          <t>part_x_balance_sheet.savings_temp_invest_eoy</t>
        </is>
      </c>
      <c r="F123" s="8" t="inlineStr">
        <is>
          <t>high</t>
        </is>
      </c>
      <c r="G123" s="9" t="n">
        <v>1456672</v>
      </c>
    </row>
    <row r="124">
      <c r="A124" s="8" t="inlineStr">
        <is>
          <t>Balance sheet (detail)</t>
        </is>
      </c>
      <c r="B124" s="8" t="inlineStr">
        <is>
          <t>F8</t>
        </is>
      </c>
      <c r="C124" s="8" t="inlineStr">
        <is>
          <t>2. Savings and temporary cash investments</t>
        </is>
      </c>
      <c r="D124" s="8" t="inlineStr">
        <is>
          <t>2E</t>
        </is>
      </c>
      <c r="E124" s="8" t="inlineStr">
        <is>
          <t>part_x_balance_sheet.savings_temp_invest_eoy</t>
        </is>
      </c>
      <c r="F124" s="8" t="inlineStr">
        <is>
          <t>high</t>
        </is>
      </c>
      <c r="G124" s="9" t="n">
        <v>1516193</v>
      </c>
    </row>
    <row r="125">
      <c r="A125" s="8" t="inlineStr">
        <is>
          <t>Balance sheet (detail)</t>
        </is>
      </c>
      <c r="B125" s="8" t="inlineStr">
        <is>
          <t>B9</t>
        </is>
      </c>
      <c r="C125" s="8" t="inlineStr">
        <is>
          <t>4. Accounts receivable, net</t>
        </is>
      </c>
      <c r="D125" s="8" t="inlineStr">
        <is>
          <t>4E</t>
        </is>
      </c>
      <c r="E125" s="8" t="inlineStr">
        <is>
          <t>part_x_balance_sheet.accounts_receivable_eoy</t>
        </is>
      </c>
      <c r="F125" s="8" t="inlineStr">
        <is>
          <t>high</t>
        </is>
      </c>
      <c r="G125" s="9" t="n">
        <v>118166</v>
      </c>
    </row>
    <row r="126">
      <c r="A126" s="8" t="inlineStr">
        <is>
          <t>Balance sheet (detail)</t>
        </is>
      </c>
      <c r="B126" s="8" t="inlineStr">
        <is>
          <t>C9</t>
        </is>
      </c>
      <c r="C126" s="8" t="inlineStr">
        <is>
          <t>4. Accounts receivable, net</t>
        </is>
      </c>
      <c r="D126" s="8" t="inlineStr">
        <is>
          <t>4E</t>
        </is>
      </c>
      <c r="E126" s="8" t="inlineStr">
        <is>
          <t>part_x_balance_sheet.accounts_receivable_eoy</t>
        </is>
      </c>
      <c r="F126" s="8" t="inlineStr">
        <is>
          <t>high</t>
        </is>
      </c>
      <c r="G126" s="9" t="n">
        <v>180891</v>
      </c>
    </row>
    <row r="127">
      <c r="A127" s="8" t="inlineStr">
        <is>
          <t>Balance sheet (detail)</t>
        </is>
      </c>
      <c r="B127" s="8" t="inlineStr">
        <is>
          <t>D9</t>
        </is>
      </c>
      <c r="C127" s="8" t="inlineStr">
        <is>
          <t>4. Accounts receivable, net</t>
        </is>
      </c>
      <c r="D127" s="8" t="inlineStr">
        <is>
          <t>4E</t>
        </is>
      </c>
      <c r="E127" s="8" t="inlineStr">
        <is>
          <t>part_x_balance_sheet.accounts_receivable_eoy</t>
        </is>
      </c>
      <c r="F127" s="8" t="inlineStr">
        <is>
          <t>high</t>
        </is>
      </c>
      <c r="G127" s="9" t="n">
        <v>78659</v>
      </c>
    </row>
    <row r="128">
      <c r="A128" s="8" t="inlineStr">
        <is>
          <t>Balance sheet (detail)</t>
        </is>
      </c>
      <c r="B128" s="8" t="inlineStr">
        <is>
          <t>E9</t>
        </is>
      </c>
      <c r="C128" s="8" t="inlineStr">
        <is>
          <t>4. Accounts receivable, net</t>
        </is>
      </c>
      <c r="D128" s="8" t="inlineStr">
        <is>
          <t>4E</t>
        </is>
      </c>
      <c r="E128" s="8" t="inlineStr">
        <is>
          <t>part_x_balance_sheet.accounts_receivable_eoy</t>
        </is>
      </c>
      <c r="F128" s="8" t="inlineStr">
        <is>
          <t>high</t>
        </is>
      </c>
      <c r="G128" s="9" t="n">
        <v>104652</v>
      </c>
    </row>
    <row r="129">
      <c r="A129" s="8" t="inlineStr">
        <is>
          <t>Balance sheet (detail)</t>
        </is>
      </c>
      <c r="B129" s="8" t="inlineStr">
        <is>
          <t>F9</t>
        </is>
      </c>
      <c r="C129" s="8" t="inlineStr">
        <is>
          <t>4. Accounts receivable, net</t>
        </is>
      </c>
      <c r="D129" s="8" t="inlineStr">
        <is>
          <t>4E</t>
        </is>
      </c>
      <c r="E129" s="8" t="inlineStr">
        <is>
          <t>part_x_balance_sheet.accounts_receivable_eoy</t>
        </is>
      </c>
      <c r="F129" s="8" t="inlineStr">
        <is>
          <t>high</t>
        </is>
      </c>
      <c r="G129" s="9" t="n">
        <v>116589</v>
      </c>
    </row>
    <row r="130">
      <c r="A130" s="8" t="inlineStr">
        <is>
          <t>Balance sheet (detail)</t>
        </is>
      </c>
      <c r="B130" s="8" t="inlineStr">
        <is>
          <t>B10</t>
        </is>
      </c>
      <c r="C130" s="8" t="inlineStr">
        <is>
          <t>7. Notes and loans receivable, net</t>
        </is>
      </c>
      <c r="D130" s="8" t="inlineStr">
        <is>
          <t>7E</t>
        </is>
      </c>
      <c r="E130" s="8" t="inlineStr">
        <is>
          <t>part_x_balance_sheet.notes_loans_receivable_eoy</t>
        </is>
      </c>
      <c r="F130" s="8" t="inlineStr">
        <is>
          <t>high</t>
        </is>
      </c>
      <c r="G130" s="9" t="n">
        <v>109517</v>
      </c>
    </row>
    <row r="131">
      <c r="A131" s="8" t="inlineStr">
        <is>
          <t>Balance sheet (detail)</t>
        </is>
      </c>
      <c r="B131" s="8" t="inlineStr">
        <is>
          <t>B11</t>
        </is>
      </c>
      <c r="C131" s="8" t="inlineStr">
        <is>
          <t>9. Prepaid expenses and deferred charges</t>
        </is>
      </c>
      <c r="D131" s="8" t="inlineStr">
        <is>
          <t>9E</t>
        </is>
      </c>
      <c r="E131" s="8" t="inlineStr">
        <is>
          <t>part_x_balance_sheet.prepaid_expenses_eoy</t>
        </is>
      </c>
      <c r="F131" s="8" t="inlineStr">
        <is>
          <t>high</t>
        </is>
      </c>
      <c r="G131" s="9" t="n">
        <v>349864</v>
      </c>
    </row>
    <row r="132">
      <c r="A132" s="8" t="inlineStr">
        <is>
          <t>Balance sheet (detail)</t>
        </is>
      </c>
      <c r="B132" s="8" t="inlineStr">
        <is>
          <t>C11</t>
        </is>
      </c>
      <c r="C132" s="8" t="inlineStr">
        <is>
          <t>9. Prepaid expenses and deferred charges</t>
        </is>
      </c>
      <c r="D132" s="8" t="inlineStr">
        <is>
          <t>9E</t>
        </is>
      </c>
      <c r="E132" s="8" t="inlineStr">
        <is>
          <t>part_x_balance_sheet.prepaid_expenses_eoy</t>
        </is>
      </c>
      <c r="F132" s="8" t="inlineStr">
        <is>
          <t>high</t>
        </is>
      </c>
      <c r="G132" s="9" t="n">
        <v>608561</v>
      </c>
    </row>
    <row r="133">
      <c r="A133" s="8" t="inlineStr">
        <is>
          <t>Balance sheet (detail)</t>
        </is>
      </c>
      <c r="B133" s="8" t="inlineStr">
        <is>
          <t>D11</t>
        </is>
      </c>
      <c r="C133" s="8" t="inlineStr">
        <is>
          <t>9. Prepaid expenses and deferred charges</t>
        </is>
      </c>
      <c r="D133" s="8" t="inlineStr">
        <is>
          <t>9E</t>
        </is>
      </c>
      <c r="E133" s="8" t="inlineStr">
        <is>
          <t>part_x_balance_sheet.prepaid_expenses_eoy</t>
        </is>
      </c>
      <c r="F133" s="8" t="inlineStr">
        <is>
          <t>high</t>
        </is>
      </c>
      <c r="G133" s="9" t="n">
        <v>876664</v>
      </c>
    </row>
    <row r="134">
      <c r="A134" s="8" t="inlineStr">
        <is>
          <t>Balance sheet (detail)</t>
        </is>
      </c>
      <c r="B134" s="8" t="inlineStr">
        <is>
          <t>E11</t>
        </is>
      </c>
      <c r="C134" s="8" t="inlineStr">
        <is>
          <t>9. Prepaid expenses and deferred charges</t>
        </is>
      </c>
      <c r="D134" s="8" t="inlineStr">
        <is>
          <t>9E</t>
        </is>
      </c>
      <c r="E134" s="8" t="inlineStr">
        <is>
          <t>part_x_balance_sheet.prepaid_expenses_eoy</t>
        </is>
      </c>
      <c r="F134" s="8" t="inlineStr">
        <is>
          <t>high</t>
        </is>
      </c>
      <c r="G134" s="9" t="n">
        <v>921625</v>
      </c>
    </row>
    <row r="135">
      <c r="A135" s="8" t="inlineStr">
        <is>
          <t>Balance sheet (detail)</t>
        </is>
      </c>
      <c r="B135" s="8" t="inlineStr">
        <is>
          <t>F11</t>
        </is>
      </c>
      <c r="C135" s="8" t="inlineStr">
        <is>
          <t>9. Prepaid expenses and deferred charges</t>
        </is>
      </c>
      <c r="D135" s="8" t="inlineStr">
        <is>
          <t>9E</t>
        </is>
      </c>
      <c r="E135" s="8" t="inlineStr">
        <is>
          <t>part_x_balance_sheet.prepaid_expenses_eoy</t>
        </is>
      </c>
      <c r="F135" s="8" t="inlineStr">
        <is>
          <t>high</t>
        </is>
      </c>
      <c r="G135" s="9" t="n">
        <v>1011075</v>
      </c>
    </row>
    <row r="136">
      <c r="A136" s="8" t="inlineStr">
        <is>
          <t>Balance sheet (detail)</t>
        </is>
      </c>
      <c r="B136" s="8" t="inlineStr">
        <is>
          <t>B12</t>
        </is>
      </c>
      <c r="C136" s="8" t="inlineStr">
        <is>
          <t>10c. Land, buildings, and equipment, net</t>
        </is>
      </c>
      <c r="D136" s="8" t="inlineStr">
        <is>
          <t>10cE</t>
        </is>
      </c>
      <c r="E136" s="8" t="inlineStr">
        <is>
          <t>part_x_balance_sheet.land_bldg_equip_net_eoy</t>
        </is>
      </c>
      <c r="F136" s="8" t="inlineStr">
        <is>
          <t>high</t>
        </is>
      </c>
      <c r="G136" s="9" t="n">
        <v>811505</v>
      </c>
    </row>
    <row r="137">
      <c r="A137" s="8" t="inlineStr">
        <is>
          <t>Balance sheet (detail)</t>
        </is>
      </c>
      <c r="B137" s="8" t="inlineStr">
        <is>
          <t>C12</t>
        </is>
      </c>
      <c r="C137" s="8" t="inlineStr">
        <is>
          <t>10c. Land, buildings, and equipment, net</t>
        </is>
      </c>
      <c r="D137" s="8" t="inlineStr">
        <is>
          <t>10cE</t>
        </is>
      </c>
      <c r="E137" s="8" t="inlineStr">
        <is>
          <t>part_x_balance_sheet.land_bldg_equip_net_eoy</t>
        </is>
      </c>
      <c r="F137" s="8" t="inlineStr">
        <is>
          <t>high</t>
        </is>
      </c>
      <c r="G137" s="9" t="n">
        <v>893996</v>
      </c>
    </row>
    <row r="138">
      <c r="A138" s="8" t="inlineStr">
        <is>
          <t>Balance sheet (detail)</t>
        </is>
      </c>
      <c r="B138" s="8" t="inlineStr">
        <is>
          <t>D12</t>
        </is>
      </c>
      <c r="C138" s="8" t="inlineStr">
        <is>
          <t>10c. Land, buildings, and equipment, net</t>
        </is>
      </c>
      <c r="D138" s="8" t="inlineStr">
        <is>
          <t>10cE</t>
        </is>
      </c>
      <c r="E138" s="8" t="inlineStr">
        <is>
          <t>part_x_balance_sheet.land_bldg_equip_net_eoy</t>
        </is>
      </c>
      <c r="F138" s="8" t="inlineStr">
        <is>
          <t>high</t>
        </is>
      </c>
      <c r="G138" s="9" t="n">
        <v>970380</v>
      </c>
    </row>
    <row r="139">
      <c r="A139" s="8" t="inlineStr">
        <is>
          <t>Balance sheet (detail)</t>
        </is>
      </c>
      <c r="B139" s="8" t="inlineStr">
        <is>
          <t>E12</t>
        </is>
      </c>
      <c r="C139" s="8" t="inlineStr">
        <is>
          <t>10c. Land, buildings, and equipment, net</t>
        </is>
      </c>
      <c r="D139" s="8" t="inlineStr">
        <is>
          <t>10cE</t>
        </is>
      </c>
      <c r="E139" s="8" t="inlineStr">
        <is>
          <t>part_x_balance_sheet.land_bldg_equip_net_eoy</t>
        </is>
      </c>
      <c r="F139" s="8" t="inlineStr">
        <is>
          <t>high</t>
        </is>
      </c>
      <c r="G139" s="9" t="n">
        <v>902398</v>
      </c>
    </row>
    <row r="140">
      <c r="A140" s="8" t="inlineStr">
        <is>
          <t>Balance sheet (detail)</t>
        </is>
      </c>
      <c r="B140" s="8" t="inlineStr">
        <is>
          <t>F12</t>
        </is>
      </c>
      <c r="C140" s="8" t="inlineStr">
        <is>
          <t>10c. Land, buildings, and equipment, net</t>
        </is>
      </c>
      <c r="D140" s="8" t="inlineStr">
        <is>
          <t>10cE</t>
        </is>
      </c>
      <c r="E140" s="8" t="inlineStr">
        <is>
          <t>part_x_balance_sheet.land_bldg_equip_net_eoy</t>
        </is>
      </c>
      <c r="F140" s="8" t="inlineStr">
        <is>
          <t>high</t>
        </is>
      </c>
      <c r="G140" s="9" t="n">
        <v>877924</v>
      </c>
    </row>
    <row r="141">
      <c r="A141" s="8" t="inlineStr">
        <is>
          <t>Balance sheet (detail)</t>
        </is>
      </c>
      <c r="B141" s="8" t="inlineStr">
        <is>
          <t>B13</t>
        </is>
      </c>
      <c r="C141" s="8" t="inlineStr">
        <is>
          <t>12. Investments - other securities</t>
        </is>
      </c>
      <c r="D141" s="8" t="inlineStr">
        <is>
          <t>12E</t>
        </is>
      </c>
      <c r="E141" s="8" t="inlineStr">
        <is>
          <t>part_x_balance_sheet.investments_other_securities_eoy</t>
        </is>
      </c>
      <c r="F141" s="8" t="inlineStr">
        <is>
          <t>high</t>
        </is>
      </c>
      <c r="G141" s="9" t="n">
        <v>33048</v>
      </c>
    </row>
    <row r="142">
      <c r="A142" s="8" t="inlineStr">
        <is>
          <t>Balance sheet (detail)</t>
        </is>
      </c>
      <c r="B142" s="8" t="inlineStr">
        <is>
          <t>C13</t>
        </is>
      </c>
      <c r="C142" s="8" t="inlineStr">
        <is>
          <t>12. Investments - other securities</t>
        </is>
      </c>
      <c r="D142" s="8" t="inlineStr">
        <is>
          <t>12E</t>
        </is>
      </c>
      <c r="E142" s="8" t="inlineStr">
        <is>
          <t>part_x_balance_sheet.investments_other_securities_eoy</t>
        </is>
      </c>
      <c r="F142" s="8" t="inlineStr">
        <is>
          <t>high</t>
        </is>
      </c>
      <c r="G142" s="9" t="n">
        <v>33048</v>
      </c>
    </row>
    <row r="143">
      <c r="A143" s="8" t="inlineStr">
        <is>
          <t>Balance sheet (detail)</t>
        </is>
      </c>
      <c r="B143" s="8" t="inlineStr">
        <is>
          <t>D13</t>
        </is>
      </c>
      <c r="C143" s="8" t="inlineStr">
        <is>
          <t>12. Investments - other securities</t>
        </is>
      </c>
      <c r="D143" s="8" t="inlineStr">
        <is>
          <t>12E</t>
        </is>
      </c>
      <c r="E143" s="8" t="inlineStr">
        <is>
          <t>part_x_balance_sheet.investments_other_securities_eoy</t>
        </is>
      </c>
      <c r="F143" s="8" t="inlineStr">
        <is>
          <t>high</t>
        </is>
      </c>
      <c r="G143" s="9" t="n">
        <v>33048</v>
      </c>
    </row>
    <row r="144">
      <c r="A144" s="8" t="inlineStr">
        <is>
          <t>Balance sheet (detail)</t>
        </is>
      </c>
      <c r="B144" s="8" t="inlineStr">
        <is>
          <t>E13</t>
        </is>
      </c>
      <c r="C144" s="8" t="inlineStr">
        <is>
          <t>12. Investments - other securities</t>
        </is>
      </c>
      <c r="D144" s="8" t="inlineStr">
        <is>
          <t>12E</t>
        </is>
      </c>
      <c r="E144" s="8" t="inlineStr">
        <is>
          <t>part_x_balance_sheet.investments_other_securities_eoy</t>
        </is>
      </c>
      <c r="F144" s="8" t="inlineStr">
        <is>
          <t>high</t>
        </is>
      </c>
      <c r="G144" s="9" t="n">
        <v>34248</v>
      </c>
    </row>
    <row r="145">
      <c r="A145" s="8" t="inlineStr">
        <is>
          <t>Balance sheet (detail)</t>
        </is>
      </c>
      <c r="B145" s="8" t="inlineStr">
        <is>
          <t>F13</t>
        </is>
      </c>
      <c r="C145" s="8" t="inlineStr">
        <is>
          <t>12. Investments - other securities</t>
        </is>
      </c>
      <c r="D145" s="8" t="inlineStr">
        <is>
          <t>12E</t>
        </is>
      </c>
      <c r="E145" s="8" t="inlineStr">
        <is>
          <t>part_x_balance_sheet.investments_other_securities_eoy</t>
        </is>
      </c>
      <c r="F145" s="8" t="inlineStr">
        <is>
          <t>high</t>
        </is>
      </c>
      <c r="G145" s="9" t="n">
        <v>34248</v>
      </c>
    </row>
    <row r="146">
      <c r="A146" s="8" t="inlineStr">
        <is>
          <t>Balance sheet (detail)</t>
        </is>
      </c>
      <c r="B146" s="8" t="inlineStr">
        <is>
          <t>B14</t>
        </is>
      </c>
      <c r="C146" s="8" t="inlineStr">
        <is>
          <t>15. Other assets</t>
        </is>
      </c>
      <c r="D146" s="8" t="inlineStr">
        <is>
          <t>15E</t>
        </is>
      </c>
      <c r="E146" s="8" t="inlineStr">
        <is>
          <t>part_x_balance_sheet.other_assets_eoy</t>
        </is>
      </c>
      <c r="F146" s="8" t="inlineStr">
        <is>
          <t>high</t>
        </is>
      </c>
      <c r="G146" s="9" t="n">
        <v>1898282</v>
      </c>
    </row>
    <row r="147">
      <c r="A147" s="8" t="inlineStr">
        <is>
          <t>Balance sheet (detail)</t>
        </is>
      </c>
      <c r="B147" s="8" t="inlineStr">
        <is>
          <t>C14</t>
        </is>
      </c>
      <c r="C147" s="8" t="inlineStr">
        <is>
          <t>15. Other assets</t>
        </is>
      </c>
      <c r="D147" s="8" t="inlineStr">
        <is>
          <t>15E</t>
        </is>
      </c>
      <c r="E147" s="8" t="inlineStr">
        <is>
          <t>part_x_balance_sheet.other_assets_eoy</t>
        </is>
      </c>
      <c r="F147" s="8" t="inlineStr">
        <is>
          <t>high</t>
        </is>
      </c>
      <c r="G147" s="9" t="n">
        <v>2075938</v>
      </c>
    </row>
    <row r="148">
      <c r="A148" s="8" t="inlineStr">
        <is>
          <t>Balance sheet (detail)</t>
        </is>
      </c>
      <c r="B148" s="8" t="inlineStr">
        <is>
          <t>D14</t>
        </is>
      </c>
      <c r="C148" s="8" t="inlineStr">
        <is>
          <t>15. Other assets</t>
        </is>
      </c>
      <c r="D148" s="8" t="inlineStr">
        <is>
          <t>15E</t>
        </is>
      </c>
      <c r="E148" s="8" t="inlineStr">
        <is>
          <t>part_x_balance_sheet.other_assets_eoy</t>
        </is>
      </c>
      <c r="F148" s="8" t="inlineStr">
        <is>
          <t>high</t>
        </is>
      </c>
      <c r="G148" s="9" t="n">
        <v>1675281</v>
      </c>
    </row>
    <row r="149">
      <c r="A149" s="8" t="inlineStr">
        <is>
          <t>Balance sheet (detail)</t>
        </is>
      </c>
      <c r="B149" s="8" t="inlineStr">
        <is>
          <t>E14</t>
        </is>
      </c>
      <c r="C149" s="8" t="inlineStr">
        <is>
          <t>15. Other assets</t>
        </is>
      </c>
      <c r="D149" s="8" t="inlineStr">
        <is>
          <t>15E</t>
        </is>
      </c>
      <c r="E149" s="8" t="inlineStr">
        <is>
          <t>part_x_balance_sheet.other_assets_eoy</t>
        </is>
      </c>
      <c r="F149" s="8" t="inlineStr">
        <is>
          <t>high</t>
        </is>
      </c>
      <c r="G149" s="9" t="n">
        <v>1670540</v>
      </c>
    </row>
    <row r="150">
      <c r="A150" s="8" t="inlineStr">
        <is>
          <t>Balance sheet (detail)</t>
        </is>
      </c>
      <c r="B150" s="8" t="inlineStr">
        <is>
          <t>F14</t>
        </is>
      </c>
      <c r="C150" s="8" t="inlineStr">
        <is>
          <t>15. Other assets</t>
        </is>
      </c>
      <c r="D150" s="8" t="inlineStr">
        <is>
          <t>15E</t>
        </is>
      </c>
      <c r="E150" s="8" t="inlineStr">
        <is>
          <t>part_x_balance_sheet.other_assets_eoy</t>
        </is>
      </c>
      <c r="F150" s="8" t="inlineStr">
        <is>
          <t>high</t>
        </is>
      </c>
      <c r="G150" s="9" t="n">
        <v>1670540</v>
      </c>
    </row>
    <row r="151">
      <c r="A151" s="8" t="inlineStr">
        <is>
          <t>Balance sheet (detail)</t>
        </is>
      </c>
      <c r="B151" s="8" t="inlineStr">
        <is>
          <t>B18</t>
        </is>
      </c>
      <c r="C151" s="8" t="inlineStr">
        <is>
          <t>17. Accounts payable and accrued expenses</t>
        </is>
      </c>
      <c r="D151" s="8" t="inlineStr">
        <is>
          <t>17E</t>
        </is>
      </c>
      <c r="E151" s="8" t="inlineStr">
        <is>
          <t>part_x_balance_sheet.accounts_payable_eoy</t>
        </is>
      </c>
      <c r="F151" s="8" t="inlineStr">
        <is>
          <t>high</t>
        </is>
      </c>
      <c r="G151" s="9" t="n">
        <v>66568</v>
      </c>
    </row>
    <row r="152">
      <c r="A152" s="8" t="inlineStr">
        <is>
          <t>Balance sheet (detail)</t>
        </is>
      </c>
      <c r="B152" s="8" t="inlineStr">
        <is>
          <t>C18</t>
        </is>
      </c>
      <c r="C152" s="8" t="inlineStr">
        <is>
          <t>17. Accounts payable and accrued expenses</t>
        </is>
      </c>
      <c r="D152" s="8" t="inlineStr">
        <is>
          <t>17E</t>
        </is>
      </c>
      <c r="E152" s="8" t="inlineStr">
        <is>
          <t>part_x_balance_sheet.accounts_payable_eoy</t>
        </is>
      </c>
      <c r="F152" s="8" t="inlineStr">
        <is>
          <t>high</t>
        </is>
      </c>
      <c r="G152" s="9" t="n">
        <v>79098</v>
      </c>
    </row>
    <row r="153">
      <c r="A153" s="8" t="inlineStr">
        <is>
          <t>Balance sheet (detail)</t>
        </is>
      </c>
      <c r="B153" s="8" t="inlineStr">
        <is>
          <t>D18</t>
        </is>
      </c>
      <c r="C153" s="8" t="inlineStr">
        <is>
          <t>17. Accounts payable and accrued expenses</t>
        </is>
      </c>
      <c r="D153" s="8" t="inlineStr">
        <is>
          <t>17E</t>
        </is>
      </c>
      <c r="E153" s="8" t="inlineStr">
        <is>
          <t>part_x_balance_sheet.accounts_payable_eoy</t>
        </is>
      </c>
      <c r="F153" s="8" t="inlineStr">
        <is>
          <t>high</t>
        </is>
      </c>
      <c r="G153" s="9" t="n">
        <v>40874</v>
      </c>
    </row>
    <row r="154">
      <c r="A154" s="8" t="inlineStr">
        <is>
          <t>Balance sheet (detail)</t>
        </is>
      </c>
      <c r="B154" s="8" t="inlineStr">
        <is>
          <t>E18</t>
        </is>
      </c>
      <c r="C154" s="8" t="inlineStr">
        <is>
          <t>17. Accounts payable and accrued expenses</t>
        </is>
      </c>
      <c r="D154" s="8" t="inlineStr">
        <is>
          <t>17E</t>
        </is>
      </c>
      <c r="E154" s="8" t="inlineStr">
        <is>
          <t>part_x_balance_sheet.accounts_payable_eoy</t>
        </is>
      </c>
      <c r="F154" s="8" t="inlineStr">
        <is>
          <t>high</t>
        </is>
      </c>
      <c r="G154" s="9" t="n">
        <v>57134</v>
      </c>
    </row>
    <row r="155">
      <c r="A155" s="8" t="inlineStr">
        <is>
          <t>Balance sheet (detail)</t>
        </is>
      </c>
      <c r="B155" s="8" t="inlineStr">
        <is>
          <t>F18</t>
        </is>
      </c>
      <c r="C155" s="8" t="inlineStr">
        <is>
          <t>17. Accounts payable and accrued expenses</t>
        </is>
      </c>
      <c r="D155" s="8" t="inlineStr">
        <is>
          <t>17E</t>
        </is>
      </c>
      <c r="E155" s="8" t="inlineStr">
        <is>
          <t>part_x_balance_sheet.accounts_payable_eoy</t>
        </is>
      </c>
      <c r="F155" s="8" t="inlineStr">
        <is>
          <t>high</t>
        </is>
      </c>
      <c r="G155" s="9" t="n">
        <v>33310</v>
      </c>
    </row>
    <row r="156">
      <c r="A156" s="8" t="inlineStr">
        <is>
          <t>Balance sheet (detail)</t>
        </is>
      </c>
      <c r="B156" s="8" t="inlineStr">
        <is>
          <t>B19</t>
        </is>
      </c>
      <c r="C156" s="8" t="inlineStr">
        <is>
          <t>19. Deferred revenue</t>
        </is>
      </c>
      <c r="D156" s="8" t="inlineStr">
        <is>
          <t>19E</t>
        </is>
      </c>
      <c r="E156" s="8" t="inlineStr">
        <is>
          <t>part_x_balance_sheet.deferred_revenue_eoy</t>
        </is>
      </c>
      <c r="F156" s="8" t="inlineStr">
        <is>
          <t>high</t>
        </is>
      </c>
      <c r="G156" s="9" t="n">
        <v>4039</v>
      </c>
    </row>
    <row r="157">
      <c r="A157" s="8" t="inlineStr">
        <is>
          <t>Balance sheet (detail)</t>
        </is>
      </c>
      <c r="B157" s="8" t="inlineStr">
        <is>
          <t>C19</t>
        </is>
      </c>
      <c r="C157" s="8" t="inlineStr">
        <is>
          <t>19. Deferred revenue</t>
        </is>
      </c>
      <c r="D157" s="8" t="inlineStr">
        <is>
          <t>19E</t>
        </is>
      </c>
      <c r="E157" s="8" t="inlineStr">
        <is>
          <t>part_x_balance_sheet.deferred_revenue_eoy</t>
        </is>
      </c>
      <c r="F157" s="8" t="inlineStr">
        <is>
          <t>high</t>
        </is>
      </c>
      <c r="G157" s="9" t="n">
        <v>5140</v>
      </c>
    </row>
    <row r="158">
      <c r="A158" s="8" t="inlineStr">
        <is>
          <t>Balance sheet (detail)</t>
        </is>
      </c>
      <c r="B158" s="8" t="inlineStr">
        <is>
          <t>D19</t>
        </is>
      </c>
      <c r="C158" s="8" t="inlineStr">
        <is>
          <t>19. Deferred revenue</t>
        </is>
      </c>
      <c r="D158" s="8" t="inlineStr">
        <is>
          <t>19E</t>
        </is>
      </c>
      <c r="E158" s="8" t="inlineStr">
        <is>
          <t>part_x_balance_sheet.deferred_revenue_eoy</t>
        </is>
      </c>
      <c r="F158" s="8" t="inlineStr">
        <is>
          <t>high</t>
        </is>
      </c>
      <c r="G158" s="9" t="n">
        <v>76086</v>
      </c>
    </row>
    <row r="159">
      <c r="A159" s="8" t="inlineStr">
        <is>
          <t>Balance sheet (detail)</t>
        </is>
      </c>
      <c r="B159" s="8" t="inlineStr">
        <is>
          <t>E19</t>
        </is>
      </c>
      <c r="C159" s="8" t="inlineStr">
        <is>
          <t>19. Deferred revenue</t>
        </is>
      </c>
      <c r="D159" s="8" t="inlineStr">
        <is>
          <t>19E</t>
        </is>
      </c>
      <c r="E159" s="8" t="inlineStr">
        <is>
          <t>part_x_balance_sheet.deferred_revenue_eoy</t>
        </is>
      </c>
      <c r="F159" s="8" t="inlineStr">
        <is>
          <t>high</t>
        </is>
      </c>
      <c r="G159" s="9" t="n">
        <v>76500</v>
      </c>
    </row>
    <row r="160">
      <c r="A160" s="8" t="inlineStr">
        <is>
          <t>Balance sheet (detail)</t>
        </is>
      </c>
      <c r="B160" s="8" t="inlineStr">
        <is>
          <t>F19</t>
        </is>
      </c>
      <c r="C160" s="8" t="inlineStr">
        <is>
          <t>19. Deferred revenue</t>
        </is>
      </c>
      <c r="D160" s="8" t="inlineStr">
        <is>
          <t>19E</t>
        </is>
      </c>
      <c r="E160" s="8" t="inlineStr">
        <is>
          <t>part_x_balance_sheet.deferred_revenue_eoy</t>
        </is>
      </c>
      <c r="F160" s="8" t="inlineStr">
        <is>
          <t>high</t>
        </is>
      </c>
      <c r="G160" s="9" t="n">
        <v>78030</v>
      </c>
    </row>
    <row r="161">
      <c r="A161" s="8" t="inlineStr">
        <is>
          <t>Balance sheet (detail)</t>
        </is>
      </c>
      <c r="B161" s="8" t="inlineStr">
        <is>
          <t>B20</t>
        </is>
      </c>
      <c r="C161" s="8" t="inlineStr">
        <is>
          <t>25. Other liabilities</t>
        </is>
      </c>
      <c r="D161" s="8" t="inlineStr">
        <is>
          <t>25E</t>
        </is>
      </c>
      <c r="E161" s="8" t="inlineStr">
        <is>
          <t>part_x_balance_sheet.other_liabilities_eoy</t>
        </is>
      </c>
      <c r="F161" s="8" t="inlineStr">
        <is>
          <t>high</t>
        </is>
      </c>
      <c r="G161" s="9" t="n">
        <v>28333</v>
      </c>
    </row>
    <row r="162">
      <c r="A162" s="8" t="inlineStr">
        <is>
          <t>Balance sheet (detail)</t>
        </is>
      </c>
      <c r="B162" s="8" t="inlineStr">
        <is>
          <t>C20</t>
        </is>
      </c>
      <c r="C162" s="8" t="inlineStr">
        <is>
          <t>25. Other liabilities</t>
        </is>
      </c>
      <c r="D162" s="8" t="inlineStr">
        <is>
          <t>25E</t>
        </is>
      </c>
      <c r="E162" s="8" t="inlineStr">
        <is>
          <t>part_x_balance_sheet.other_liabilities_eoy</t>
        </is>
      </c>
      <c r="F162" s="8" t="inlineStr">
        <is>
          <t>high</t>
        </is>
      </c>
      <c r="G162" s="9" t="n">
        <v>51391</v>
      </c>
    </row>
    <row r="163">
      <c r="A163" s="8" t="inlineStr">
        <is>
          <t>Balance sheet (detail)</t>
        </is>
      </c>
      <c r="B163" s="8" t="inlineStr">
        <is>
          <t>D20</t>
        </is>
      </c>
      <c r="C163" s="8" t="inlineStr">
        <is>
          <t>25. Other liabilities</t>
        </is>
      </c>
      <c r="D163" s="8" t="inlineStr">
        <is>
          <t>25E</t>
        </is>
      </c>
      <c r="E163" s="8" t="inlineStr">
        <is>
          <t>part_x_balance_sheet.other_liabilities_eoy</t>
        </is>
      </c>
      <c r="F163" s="8" t="inlineStr">
        <is>
          <t>high</t>
        </is>
      </c>
      <c r="G163" s="9" t="n">
        <v>43375</v>
      </c>
    </row>
    <row r="164">
      <c r="A164" s="8" t="inlineStr">
        <is>
          <t>Balance sheet (detail)</t>
        </is>
      </c>
      <c r="B164" s="8" t="inlineStr">
        <is>
          <t>E20</t>
        </is>
      </c>
      <c r="C164" s="8" t="inlineStr">
        <is>
          <t>25. Other liabilities</t>
        </is>
      </c>
      <c r="D164" s="8" t="inlineStr">
        <is>
          <t>25E</t>
        </is>
      </c>
      <c r="E164" s="8" t="inlineStr">
        <is>
          <t>part_x_balance_sheet.other_liabilities_eoy</t>
        </is>
      </c>
      <c r="F164" s="8" t="inlineStr">
        <is>
          <t>high</t>
        </is>
      </c>
      <c r="G164" s="9" t="n">
        <v>33459</v>
      </c>
    </row>
    <row r="165">
      <c r="A165" s="8" t="inlineStr">
        <is>
          <t>Balance sheet (detail)</t>
        </is>
      </c>
      <c r="B165" s="8" t="inlineStr">
        <is>
          <t>F20</t>
        </is>
      </c>
      <c r="C165" s="8" t="inlineStr">
        <is>
          <t>25. Other liabilities</t>
        </is>
      </c>
      <c r="D165" s="8" t="inlineStr">
        <is>
          <t>25E</t>
        </is>
      </c>
      <c r="E165" s="8" t="inlineStr">
        <is>
          <t>part_x_balance_sheet.other_liabilities_eoy</t>
        </is>
      </c>
      <c r="F165" s="8" t="inlineStr">
        <is>
          <t>high</t>
        </is>
      </c>
      <c r="G165" s="9" t="n">
        <v>38879</v>
      </c>
    </row>
    <row r="166">
      <c r="A166" s="8" t="inlineStr">
        <is>
          <t>Balance sheet (detail)</t>
        </is>
      </c>
      <c r="B166" s="8" t="inlineStr">
        <is>
          <t>B24</t>
        </is>
      </c>
      <c r="C166" s="8" t="inlineStr">
        <is>
          <t>29. Capital stock or trust principal</t>
        </is>
      </c>
      <c r="D166" s="8" t="inlineStr">
        <is>
          <t>29E</t>
        </is>
      </c>
      <c r="E166" s="8" t="inlineStr">
        <is>
          <t>part_x_balance_sheet.cap_stock_eoy</t>
        </is>
      </c>
      <c r="F166" s="8" t="inlineStr">
        <is>
          <t>high</t>
        </is>
      </c>
      <c r="G166" s="9" t="n">
        <v>1250685</v>
      </c>
    </row>
    <row r="167">
      <c r="A167" s="8" t="inlineStr">
        <is>
          <t>Balance sheet (detail)</t>
        </is>
      </c>
      <c r="B167" s="8" t="inlineStr">
        <is>
          <t>C24</t>
        </is>
      </c>
      <c r="C167" s="8" t="inlineStr">
        <is>
          <t>29. Capital stock or trust principal</t>
        </is>
      </c>
      <c r="D167" s="8" t="inlineStr">
        <is>
          <t>29E</t>
        </is>
      </c>
      <c r="E167" s="8" t="inlineStr">
        <is>
          <t>part_x_balance_sheet.cap_stock_eoy</t>
        </is>
      </c>
      <c r="F167" s="8" t="inlineStr">
        <is>
          <t>high</t>
        </is>
      </c>
      <c r="G167" s="9" t="n">
        <v>1250685</v>
      </c>
    </row>
    <row r="168">
      <c r="A168" s="8" t="inlineStr">
        <is>
          <t>Balance sheet (detail)</t>
        </is>
      </c>
      <c r="B168" s="8" t="inlineStr">
        <is>
          <t>D24</t>
        </is>
      </c>
      <c r="C168" s="8" t="inlineStr">
        <is>
          <t>29. Capital stock or trust principal</t>
        </is>
      </c>
      <c r="D168" s="8" t="inlineStr">
        <is>
          <t>29E</t>
        </is>
      </c>
      <c r="E168" s="8" t="inlineStr">
        <is>
          <t>part_x_balance_sheet.cap_stock_eoy</t>
        </is>
      </c>
      <c r="F168" s="8" t="inlineStr">
        <is>
          <t>high</t>
        </is>
      </c>
      <c r="G168" s="9" t="n">
        <v>1250685</v>
      </c>
    </row>
    <row r="169">
      <c r="A169" s="8" t="inlineStr">
        <is>
          <t>Balance sheet (detail)</t>
        </is>
      </c>
      <c r="B169" s="8" t="inlineStr">
        <is>
          <t>E24</t>
        </is>
      </c>
      <c r="C169" s="8" t="inlineStr">
        <is>
          <t>29. Capital stock or trust principal</t>
        </is>
      </c>
      <c r="D169" s="8" t="inlineStr">
        <is>
          <t>29E</t>
        </is>
      </c>
      <c r="E169" s="8" t="inlineStr">
        <is>
          <t>part_x_balance_sheet.cap_stock_eoy</t>
        </is>
      </c>
      <c r="F169" s="8" t="inlineStr">
        <is>
          <t>high</t>
        </is>
      </c>
      <c r="G169" s="9" t="n">
        <v>1251885</v>
      </c>
    </row>
    <row r="170">
      <c r="A170" s="8" t="inlineStr">
        <is>
          <t>Balance sheet (detail)</t>
        </is>
      </c>
      <c r="B170" s="8" t="inlineStr">
        <is>
          <t>F24</t>
        </is>
      </c>
      <c r="C170" s="8" t="inlineStr">
        <is>
          <t>29. Capital stock or trust principal</t>
        </is>
      </c>
      <c r="D170" s="8" t="inlineStr">
        <is>
          <t>29E</t>
        </is>
      </c>
      <c r="E170" s="8" t="inlineStr">
        <is>
          <t>part_x_balance_sheet.cap_stock_eoy</t>
        </is>
      </c>
      <c r="F170" s="8" t="inlineStr">
        <is>
          <t>high</t>
        </is>
      </c>
      <c r="G170" s="9" t="n">
        <v>1251885</v>
      </c>
    </row>
    <row r="171">
      <c r="A171" s="8" t="inlineStr">
        <is>
          <t>Balance sheet (detail)</t>
        </is>
      </c>
      <c r="B171" s="8" t="inlineStr">
        <is>
          <t>B25</t>
        </is>
      </c>
      <c r="C171" s="8" t="inlineStr">
        <is>
          <t>30. Paid-in or capital surplus</t>
        </is>
      </c>
      <c r="D171" s="8" t="inlineStr">
        <is>
          <t>30E</t>
        </is>
      </c>
      <c r="E171" s="8" t="inlineStr">
        <is>
          <t>part_x_balance_sheet.paid_in_capital_eoy</t>
        </is>
      </c>
      <c r="F171" s="8" t="inlineStr">
        <is>
          <t>high</t>
        </is>
      </c>
      <c r="G171" s="9" t="n">
        <v>625343</v>
      </c>
    </row>
    <row r="172">
      <c r="A172" s="8" t="inlineStr">
        <is>
          <t>Balance sheet (detail)</t>
        </is>
      </c>
      <c r="B172" s="8" t="inlineStr">
        <is>
          <t>C25</t>
        </is>
      </c>
      <c r="C172" s="8" t="inlineStr">
        <is>
          <t>30. Paid-in or capital surplus</t>
        </is>
      </c>
      <c r="D172" s="8" t="inlineStr">
        <is>
          <t>30E</t>
        </is>
      </c>
      <c r="E172" s="8" t="inlineStr">
        <is>
          <t>part_x_balance_sheet.paid_in_capital_eoy</t>
        </is>
      </c>
      <c r="F172" s="8" t="inlineStr">
        <is>
          <t>high</t>
        </is>
      </c>
      <c r="G172" s="9" t="n">
        <v>625343</v>
      </c>
    </row>
    <row r="173">
      <c r="A173" s="8" t="inlineStr">
        <is>
          <t>Balance sheet (detail)</t>
        </is>
      </c>
      <c r="B173" s="8" t="inlineStr">
        <is>
          <t>D25</t>
        </is>
      </c>
      <c r="C173" s="8" t="inlineStr">
        <is>
          <t>30. Paid-in or capital surplus</t>
        </is>
      </c>
      <c r="D173" s="8" t="inlineStr">
        <is>
          <t>30E</t>
        </is>
      </c>
      <c r="E173" s="8" t="inlineStr">
        <is>
          <t>part_x_balance_sheet.paid_in_capital_eoy</t>
        </is>
      </c>
      <c r="F173" s="8" t="inlineStr">
        <is>
          <t>high</t>
        </is>
      </c>
      <c r="G173" s="9" t="n">
        <v>625343</v>
      </c>
    </row>
    <row r="174">
      <c r="A174" s="8" t="inlineStr">
        <is>
          <t>Balance sheet (detail)</t>
        </is>
      </c>
      <c r="B174" s="8" t="inlineStr">
        <is>
          <t>E25</t>
        </is>
      </c>
      <c r="C174" s="8" t="inlineStr">
        <is>
          <t>30. Paid-in or capital surplus</t>
        </is>
      </c>
      <c r="D174" s="8" t="inlineStr">
        <is>
          <t>30E</t>
        </is>
      </c>
      <c r="E174" s="8" t="inlineStr">
        <is>
          <t>part_x_balance_sheet.paid_in_capital_eoy</t>
        </is>
      </c>
      <c r="F174" s="8" t="inlineStr">
        <is>
          <t>high</t>
        </is>
      </c>
      <c r="G174" s="9" t="n">
        <v>625343</v>
      </c>
    </row>
    <row r="175">
      <c r="A175" s="8" t="inlineStr">
        <is>
          <t>Balance sheet (detail)</t>
        </is>
      </c>
      <c r="B175" s="8" t="inlineStr">
        <is>
          <t>F25</t>
        </is>
      </c>
      <c r="C175" s="8" t="inlineStr">
        <is>
          <t>30. Paid-in or capital surplus</t>
        </is>
      </c>
      <c r="D175" s="8" t="inlineStr">
        <is>
          <t>30E</t>
        </is>
      </c>
      <c r="E175" s="8" t="inlineStr">
        <is>
          <t>part_x_balance_sheet.paid_in_capital_eoy</t>
        </is>
      </c>
      <c r="F175" s="8" t="inlineStr">
        <is>
          <t>high</t>
        </is>
      </c>
      <c r="G175" s="9" t="n">
        <v>625343</v>
      </c>
    </row>
    <row r="176">
      <c r="A176" s="8" t="inlineStr">
        <is>
          <t>Balance sheet (detail)</t>
        </is>
      </c>
      <c r="B176" s="8" t="inlineStr">
        <is>
          <t>B26</t>
        </is>
      </c>
      <c r="C176" s="8" t="inlineStr">
        <is>
          <t>31. Retained earnings / accumulated funds</t>
        </is>
      </c>
      <c r="D176" s="8" t="inlineStr">
        <is>
          <t>31E</t>
        </is>
      </c>
      <c r="E176" s="8" t="inlineStr">
        <is>
          <t>part_x_balance_sheet.retained_earnings_eoy</t>
        </is>
      </c>
      <c r="F176" s="8" t="inlineStr">
        <is>
          <t>high</t>
        </is>
      </c>
      <c r="G176" s="9" t="n">
        <v>3123920</v>
      </c>
    </row>
    <row r="177">
      <c r="A177" s="8" t="inlineStr">
        <is>
          <t>Balance sheet (detail)</t>
        </is>
      </c>
      <c r="B177" s="8" t="inlineStr">
        <is>
          <t>C26</t>
        </is>
      </c>
      <c r="C177" s="8" t="inlineStr">
        <is>
          <t>31. Retained earnings / accumulated funds</t>
        </is>
      </c>
      <c r="D177" s="8" t="inlineStr">
        <is>
          <t>31E</t>
        </is>
      </c>
      <c r="E177" s="8" t="inlineStr">
        <is>
          <t>part_x_balance_sheet.retained_earnings_eoy</t>
        </is>
      </c>
      <c r="F177" s="8" t="inlineStr">
        <is>
          <t>high</t>
        </is>
      </c>
      <c r="G177" s="9" t="n">
        <v>3406410</v>
      </c>
    </row>
    <row r="178">
      <c r="A178" s="8" t="inlineStr">
        <is>
          <t>Balance sheet (detail)</t>
        </is>
      </c>
      <c r="B178" s="8" t="inlineStr">
        <is>
          <t>D26</t>
        </is>
      </c>
      <c r="C178" s="8" t="inlineStr">
        <is>
          <t>31. Retained earnings / accumulated funds</t>
        </is>
      </c>
      <c r="D178" s="8" t="inlineStr">
        <is>
          <t>31E</t>
        </is>
      </c>
      <c r="E178" s="8" t="inlineStr">
        <is>
          <t>part_x_balance_sheet.retained_earnings_eoy</t>
        </is>
      </c>
      <c r="F178" s="8" t="inlineStr">
        <is>
          <t>high</t>
        </is>
      </c>
      <c r="G178" s="9" t="n">
        <v>3403390</v>
      </c>
    </row>
    <row r="179">
      <c r="A179" s="8" t="inlineStr">
        <is>
          <t>Balance sheet (detail)</t>
        </is>
      </c>
      <c r="B179" s="8" t="inlineStr">
        <is>
          <t>E26</t>
        </is>
      </c>
      <c r="C179" s="8" t="inlineStr">
        <is>
          <t>31. Retained earnings / accumulated funds</t>
        </is>
      </c>
      <c r="D179" s="8" t="inlineStr">
        <is>
          <t>31E</t>
        </is>
      </c>
      <c r="E179" s="8" t="inlineStr">
        <is>
          <t>part_x_balance_sheet.retained_earnings_eoy</t>
        </is>
      </c>
      <c r="F179" s="8" t="inlineStr">
        <is>
          <t>high</t>
        </is>
      </c>
      <c r="G179" s="9" t="n">
        <v>3639171</v>
      </c>
    </row>
    <row r="180">
      <c r="A180" s="8" t="inlineStr">
        <is>
          <t>Balance sheet (detail)</t>
        </is>
      </c>
      <c r="B180" s="8" t="inlineStr">
        <is>
          <t>F26</t>
        </is>
      </c>
      <c r="C180" s="8" t="inlineStr">
        <is>
          <t>31. Retained earnings / accumulated funds</t>
        </is>
      </c>
      <c r="D180" s="8" t="inlineStr">
        <is>
          <t>31E</t>
        </is>
      </c>
      <c r="E180" s="8" t="inlineStr">
        <is>
          <t>part_x_balance_sheet.retained_earnings_eoy</t>
        </is>
      </c>
      <c r="F180" s="8" t="inlineStr">
        <is>
          <t>high</t>
        </is>
      </c>
      <c r="G180" s="9" t="n">
        <v>3754901</v>
      </c>
    </row>
    <row r="181">
      <c r="A181" s="8" t="inlineStr">
        <is>
          <t>Net-assets reconciliation</t>
        </is>
      </c>
      <c r="B181" s="8" t="inlineStr">
        <is>
          <t>B7</t>
        </is>
      </c>
      <c r="C181" s="8" t="inlineStr">
        <is>
          <t>4. Net assets, beginning of year</t>
        </is>
      </c>
      <c r="D181" s="8" t="inlineStr">
        <is>
          <t>Part XI line 4</t>
        </is>
      </c>
      <c r="E181" s="8" t="inlineStr">
        <is>
          <t>part_xi_reconciliation.net_assets_boy</t>
        </is>
      </c>
      <c r="F181" s="8" t="inlineStr">
        <is>
          <t>high</t>
        </is>
      </c>
      <c r="G181" s="9" t="n">
        <v>4554708</v>
      </c>
    </row>
    <row r="182">
      <c r="A182" s="8" t="inlineStr">
        <is>
          <t>Net-assets reconciliation</t>
        </is>
      </c>
      <c r="B182" s="8" t="inlineStr">
        <is>
          <t>C7</t>
        </is>
      </c>
      <c r="C182" s="8" t="inlineStr">
        <is>
          <t>4. Net assets, beginning of year</t>
        </is>
      </c>
      <c r="D182" s="8" t="inlineStr">
        <is>
          <t>Part XI line 4</t>
        </is>
      </c>
      <c r="E182" s="8" t="inlineStr">
        <is>
          <t>part_xi_reconciliation.net_assets_boy</t>
        </is>
      </c>
      <c r="F182" s="8" t="inlineStr">
        <is>
          <t>high</t>
        </is>
      </c>
      <c r="G182" s="9" t="n">
        <v>4999948</v>
      </c>
    </row>
    <row r="183">
      <c r="A183" s="8" t="inlineStr">
        <is>
          <t>Net-assets reconciliation</t>
        </is>
      </c>
      <c r="B183" s="8" t="inlineStr">
        <is>
          <t>D7</t>
        </is>
      </c>
      <c r="C183" s="8" t="inlineStr">
        <is>
          <t>4. Net assets, beginning of year</t>
        </is>
      </c>
      <c r="D183" s="8" t="inlineStr">
        <is>
          <t>Part XI line 4</t>
        </is>
      </c>
      <c r="E183" s="8" t="inlineStr">
        <is>
          <t>part_xi_reconciliation.net_assets_boy</t>
        </is>
      </c>
      <c r="F183" s="8" t="inlineStr">
        <is>
          <t>high</t>
        </is>
      </c>
      <c r="G183" s="9" t="n">
        <v>5282438</v>
      </c>
    </row>
    <row r="184">
      <c r="A184" s="8" t="inlineStr">
        <is>
          <t>Net-assets reconciliation</t>
        </is>
      </c>
      <c r="B184" s="8" t="inlineStr">
        <is>
          <t>E7</t>
        </is>
      </c>
      <c r="C184" s="8" t="inlineStr">
        <is>
          <t>4. Net assets, beginning of year</t>
        </is>
      </c>
      <c r="D184" s="8" t="inlineStr">
        <is>
          <t>Part XI line 4</t>
        </is>
      </c>
      <c r="E184" s="8" t="inlineStr">
        <is>
          <t>part_xi_reconciliation.net_assets_boy</t>
        </is>
      </c>
      <c r="F184" s="8" t="inlineStr">
        <is>
          <t>high</t>
        </is>
      </c>
      <c r="G184" s="9" t="n">
        <v>5279418</v>
      </c>
    </row>
    <row r="185">
      <c r="A185" s="8" t="inlineStr">
        <is>
          <t>Net-assets reconciliation</t>
        </is>
      </c>
      <c r="B185" s="8" t="inlineStr">
        <is>
          <t>F7</t>
        </is>
      </c>
      <c r="C185" s="8" t="inlineStr">
        <is>
          <t>4. Net assets, beginning of year</t>
        </is>
      </c>
      <c r="D185" s="8" t="inlineStr">
        <is>
          <t>Part XI line 4</t>
        </is>
      </c>
      <c r="E185" s="8" t="inlineStr">
        <is>
          <t>part_xi_reconciliation.net_assets_boy</t>
        </is>
      </c>
      <c r="F185" s="8" t="inlineStr">
        <is>
          <t>high</t>
        </is>
      </c>
      <c r="G185" s="9" t="n">
        <v>5516399</v>
      </c>
    </row>
    <row r="186">
      <c r="A186" s="8" t="inlineStr">
        <is>
          <t>Net-assets reconciliation</t>
        </is>
      </c>
      <c r="B186" s="8" t="inlineStr">
        <is>
          <t>B8</t>
        </is>
      </c>
      <c r="C186" s="8" t="inlineStr">
        <is>
          <t>3. Revenue less expenses</t>
        </is>
      </c>
      <c r="D186" s="8" t="inlineStr">
        <is>
          <t>Part XI line 3</t>
        </is>
      </c>
      <c r="E186" s="8" t="inlineStr">
        <is>
          <t>part_xi_reconciliation.reconciliation_revenue_expenses</t>
        </is>
      </c>
      <c r="F186" s="8" t="inlineStr">
        <is>
          <t>high</t>
        </is>
      </c>
      <c r="G186" s="9" t="n">
        <v>445240</v>
      </c>
    </row>
    <row r="187">
      <c r="A187" s="8" t="inlineStr">
        <is>
          <t>Net-assets reconciliation</t>
        </is>
      </c>
      <c r="B187" s="8" t="inlineStr">
        <is>
          <t>C8</t>
        </is>
      </c>
      <c r="C187" s="8" t="inlineStr">
        <is>
          <t>3. Revenue less expenses</t>
        </is>
      </c>
      <c r="D187" s="8" t="inlineStr">
        <is>
          <t>Part XI line 3</t>
        </is>
      </c>
      <c r="E187" s="8" t="inlineStr">
        <is>
          <t>part_xi_reconciliation.reconciliation_revenue_expenses</t>
        </is>
      </c>
      <c r="F187" s="8" t="inlineStr">
        <is>
          <t>high</t>
        </is>
      </c>
      <c r="G187" s="9" t="n">
        <v>282490</v>
      </c>
    </row>
    <row r="188">
      <c r="A188" s="8" t="inlineStr">
        <is>
          <t>Net-assets reconciliation</t>
        </is>
      </c>
      <c r="B188" s="8" t="inlineStr">
        <is>
          <t>D8</t>
        </is>
      </c>
      <c r="C188" s="8" t="inlineStr">
        <is>
          <t>3. Revenue less expenses</t>
        </is>
      </c>
      <c r="D188" s="8" t="inlineStr">
        <is>
          <t>Part XI line 3</t>
        </is>
      </c>
      <c r="E188" s="8" t="inlineStr">
        <is>
          <t>part_xi_reconciliation.reconciliation_revenue_expenses</t>
        </is>
      </c>
      <c r="F188" s="8" t="inlineStr">
        <is>
          <t>high</t>
        </is>
      </c>
      <c r="G188" s="9" t="n">
        <v>53186</v>
      </c>
    </row>
    <row r="189">
      <c r="A189" s="8" t="inlineStr">
        <is>
          <t>Net-assets reconciliation</t>
        </is>
      </c>
      <c r="B189" s="8" t="inlineStr">
        <is>
          <t>E8</t>
        </is>
      </c>
      <c r="C189" s="8" t="inlineStr">
        <is>
          <t>3. Revenue less expenses</t>
        </is>
      </c>
      <c r="D189" s="8" t="inlineStr">
        <is>
          <t>Part XI line 3</t>
        </is>
      </c>
      <c r="E189" s="8" t="inlineStr">
        <is>
          <t>part_xi_reconciliation.reconciliation_revenue_expenses</t>
        </is>
      </c>
      <c r="F189" s="8" t="inlineStr">
        <is>
          <t>high</t>
        </is>
      </c>
      <c r="G189" s="9" t="n">
        <v>235781</v>
      </c>
    </row>
    <row r="190">
      <c r="A190" s="8" t="inlineStr">
        <is>
          <t>Net-assets reconciliation</t>
        </is>
      </c>
      <c r="B190" s="8" t="inlineStr">
        <is>
          <t>F8</t>
        </is>
      </c>
      <c r="C190" s="8" t="inlineStr">
        <is>
          <t>3. Revenue less expenses</t>
        </is>
      </c>
      <c r="D190" s="8" t="inlineStr">
        <is>
          <t>Part XI line 3</t>
        </is>
      </c>
      <c r="E190" s="8" t="inlineStr">
        <is>
          <t>part_xi_reconciliation.reconciliation_revenue_expenses</t>
        </is>
      </c>
      <c r="F190" s="8" t="inlineStr">
        <is>
          <t>high</t>
        </is>
      </c>
      <c r="G190" s="9" t="n">
        <v>115730</v>
      </c>
    </row>
    <row r="191">
      <c r="A191" s="8" t="inlineStr">
        <is>
          <t>Net-assets reconciliation</t>
        </is>
      </c>
      <c r="B191" s="8" t="inlineStr">
        <is>
          <t>B10</t>
        </is>
      </c>
      <c r="C191" s="8" t="inlineStr">
        <is>
          <t>9. Other changes in net assets</t>
        </is>
      </c>
      <c r="D191" s="8" t="inlineStr">
        <is>
          <t>Part XI line 9</t>
        </is>
      </c>
      <c r="E191" s="8" t="inlineStr">
        <is>
          <t>part_xi_reconciliation.other_changes_net_assets</t>
        </is>
      </c>
      <c r="F191" s="8" t="inlineStr">
        <is>
          <t>high</t>
        </is>
      </c>
      <c r="G191" s="9" t="n">
        <v>0</v>
      </c>
    </row>
    <row r="192">
      <c r="A192" s="8" t="inlineStr">
        <is>
          <t>Net-assets reconciliation</t>
        </is>
      </c>
      <c r="B192" s="8" t="inlineStr">
        <is>
          <t>C10</t>
        </is>
      </c>
      <c r="C192" s="8" t="inlineStr">
        <is>
          <t>9. Other changes in net assets</t>
        </is>
      </c>
      <c r="D192" s="8" t="inlineStr">
        <is>
          <t>Part XI line 9</t>
        </is>
      </c>
      <c r="E192" s="8" t="inlineStr">
        <is>
          <t>part_xi_reconciliation.other_changes_net_assets</t>
        </is>
      </c>
      <c r="F192" s="8" t="inlineStr">
        <is>
          <t>high</t>
        </is>
      </c>
      <c r="G192" s="9" t="n">
        <v>0</v>
      </c>
    </row>
    <row r="193">
      <c r="A193" s="8" t="inlineStr">
        <is>
          <t>Net-assets reconciliation</t>
        </is>
      </c>
      <c r="B193" s="8" t="inlineStr">
        <is>
          <t>D10</t>
        </is>
      </c>
      <c r="C193" s="8" t="inlineStr">
        <is>
          <t>9. Other changes in net assets</t>
        </is>
      </c>
      <c r="D193" s="8" t="inlineStr">
        <is>
          <t>Part XI line 9</t>
        </is>
      </c>
      <c r="E193" s="8" t="inlineStr">
        <is>
          <t>part_xi_reconciliation.other_changes_net_assets</t>
        </is>
      </c>
      <c r="F193" s="8" t="inlineStr">
        <is>
          <t>high</t>
        </is>
      </c>
      <c r="G193" s="9" t="n">
        <v>-56206</v>
      </c>
    </row>
    <row r="194">
      <c r="A194" s="8" t="inlineStr">
        <is>
          <t>Net-assets reconciliation</t>
        </is>
      </c>
      <c r="B194" s="8" t="inlineStr">
        <is>
          <t>E10</t>
        </is>
      </c>
      <c r="C194" s="8" t="inlineStr">
        <is>
          <t>9. Other changes in net assets</t>
        </is>
      </c>
      <c r="D194" s="8" t="inlineStr">
        <is>
          <t>Part XI line 9</t>
        </is>
      </c>
      <c r="E194" s="8" t="inlineStr">
        <is>
          <t>part_xi_reconciliation.other_changes_net_assets</t>
        </is>
      </c>
      <c r="F194" s="8" t="inlineStr">
        <is>
          <t>high</t>
        </is>
      </c>
      <c r="G194" s="9" t="n">
        <v>1200</v>
      </c>
    </row>
    <row r="195">
      <c r="A195" s="8" t="inlineStr">
        <is>
          <t>Net-assets reconciliation</t>
        </is>
      </c>
      <c r="B195" s="8" t="inlineStr">
        <is>
          <t>F10</t>
        </is>
      </c>
      <c r="C195" s="8" t="inlineStr">
        <is>
          <t>9. Other changes in net assets</t>
        </is>
      </c>
      <c r="D195" s="8" t="inlineStr">
        <is>
          <t>Part XI line 9</t>
        </is>
      </c>
      <c r="E195" s="8" t="inlineStr">
        <is>
          <t>part_xi_reconciliation.other_changes_net_assets</t>
        </is>
      </c>
      <c r="F195" s="8" t="inlineStr">
        <is>
          <t>high</t>
        </is>
      </c>
      <c r="G195" s="9" t="n">
        <v>0</v>
      </c>
    </row>
    <row r="197">
      <c r="A197" s="28" t="inlineStr">
        <is>
          <t>C. Tie-out checks (filed vs computed; any nonzero variance is flagged red)</t>
        </is>
      </c>
      <c r="B197" s="7" t="n"/>
      <c r="C197" s="7" t="n"/>
      <c r="D197" s="7" t="n"/>
      <c r="E197" s="7" t="n"/>
      <c r="F197" s="7" t="n"/>
      <c r="G197" s="7" t="n"/>
      <c r="H197" s="7" t="n"/>
      <c r="I197" s="7" t="n"/>
      <c r="J197" s="7" t="n"/>
      <c r="K197" s="7" t="n"/>
    </row>
    <row r="198">
      <c r="A198" s="5" t="inlineStr">
        <is>
          <t>Tab</t>
        </is>
      </c>
      <c r="B198" s="5" t="inlineStr">
        <is>
          <t>Check</t>
        </is>
      </c>
      <c r="C198" s="5" t="inlineStr">
        <is>
          <t>Fiscal year</t>
        </is>
      </c>
      <c r="D198" s="5" t="inlineStr">
        <is>
          <t>Filed</t>
        </is>
      </c>
      <c r="E198" s="5" t="inlineStr">
        <is>
          <t>Computed</t>
        </is>
      </c>
      <c r="F198" s="5" t="inlineStr">
        <is>
          <t>Variance (computed - filed)</t>
        </is>
      </c>
    </row>
    <row r="199">
      <c r="A199" s="29" t="inlineStr">
        <is>
          <t>Revenue (detail)</t>
        </is>
      </c>
      <c r="B199" s="29" t="inlineStr">
        <is>
          <t>12. Total revenue</t>
        </is>
      </c>
      <c r="C199" s="29" t="inlineStr">
        <is>
          <t>FY2020</t>
        </is>
      </c>
      <c r="D199" s="9" t="n">
        <v>1521024</v>
      </c>
      <c r="E199" s="9">
        <f>'Revenue (detail)'!B13</f>
        <v/>
      </c>
      <c r="F199" s="9">
        <f>E199-D199</f>
        <v/>
      </c>
    </row>
    <row r="200">
      <c r="A200" s="29" t="inlineStr">
        <is>
          <t>Revenue (detail)</t>
        </is>
      </c>
      <c r="B200" s="29" t="inlineStr">
        <is>
          <t>12. Total revenue</t>
        </is>
      </c>
      <c r="C200" s="29" t="inlineStr">
        <is>
          <t>FY2021</t>
        </is>
      </c>
      <c r="D200" s="9" t="n">
        <v>1467557</v>
      </c>
      <c r="E200" s="9">
        <f>'Revenue (detail)'!C13</f>
        <v/>
      </c>
      <c r="F200" s="9">
        <f>E200-D200</f>
        <v/>
      </c>
    </row>
    <row r="201">
      <c r="A201" s="29" t="inlineStr">
        <is>
          <t>Revenue (detail)</t>
        </is>
      </c>
      <c r="B201" s="29" t="inlineStr">
        <is>
          <t>12. Total revenue</t>
        </is>
      </c>
      <c r="C201" s="29" t="inlineStr">
        <is>
          <t>FY2022</t>
        </is>
      </c>
      <c r="D201" s="9" t="n">
        <v>1450566</v>
      </c>
      <c r="E201" s="9">
        <f>'Revenue (detail)'!D13</f>
        <v/>
      </c>
      <c r="F201" s="9">
        <f>E201-D201</f>
        <v/>
      </c>
    </row>
    <row r="202">
      <c r="A202" s="29" t="inlineStr">
        <is>
          <t>Revenue (detail)</t>
        </is>
      </c>
      <c r="B202" s="29" t="inlineStr">
        <is>
          <t>12. Total revenue</t>
        </is>
      </c>
      <c r="C202" s="29" t="inlineStr">
        <is>
          <t>FY2023</t>
        </is>
      </c>
      <c r="D202" s="9" t="n">
        <v>1702237</v>
      </c>
      <c r="E202" s="9">
        <f>'Revenue (detail)'!E13</f>
        <v/>
      </c>
      <c r="F202" s="9">
        <f>E202-D202</f>
        <v/>
      </c>
    </row>
    <row r="203">
      <c r="A203" s="29" t="inlineStr">
        <is>
          <t>Revenue (detail)</t>
        </is>
      </c>
      <c r="B203" s="29" t="inlineStr">
        <is>
          <t>12. Total revenue</t>
        </is>
      </c>
      <c r="C203" s="29" t="inlineStr">
        <is>
          <t>FY2024</t>
        </is>
      </c>
      <c r="D203" s="9" t="n">
        <v>1818801</v>
      </c>
      <c r="E203" s="9">
        <f>'Revenue (detail)'!F13</f>
        <v/>
      </c>
      <c r="F203" s="9">
        <f>E203-D203</f>
        <v/>
      </c>
    </row>
    <row r="204">
      <c r="A204" s="29" t="inlineStr">
        <is>
          <t>Revenue (detail)</t>
        </is>
      </c>
      <c r="B204" s="29" t="inlineStr">
        <is>
          <t>2g program service revenue = sum of lines 2a-2f (FY2024)</t>
        </is>
      </c>
      <c r="C204" s="29" t="inlineStr">
        <is>
          <t>FY2024</t>
        </is>
      </c>
      <c r="D204" s="9" t="n">
        <v>1629365</v>
      </c>
      <c r="E204" s="9">
        <f>SUM('Revenue (detail)'!C17:C18)</f>
        <v/>
      </c>
      <c r="F204" s="9">
        <f>E204-D204</f>
        <v/>
      </c>
    </row>
    <row r="205">
      <c r="A205" s="29" t="inlineStr">
        <is>
          <t>Operating expenses (detail)</t>
        </is>
      </c>
      <c r="B205" s="29" t="inlineStr">
        <is>
          <t>25. Total functional expenses</t>
        </is>
      </c>
      <c r="C205" s="29" t="inlineStr">
        <is>
          <t>FY2020</t>
        </is>
      </c>
      <c r="D205" s="9" t="n">
        <v>1075784</v>
      </c>
      <c r="E205" s="9">
        <f>'Operating expenses (detail)'!B29</f>
        <v/>
      </c>
      <c r="F205" s="9">
        <f>E205-D205</f>
        <v/>
      </c>
    </row>
    <row r="206">
      <c r="A206" s="29" t="inlineStr">
        <is>
          <t>Operating expenses (detail)</t>
        </is>
      </c>
      <c r="B206" s="29" t="inlineStr">
        <is>
          <t>25. Total functional expenses</t>
        </is>
      </c>
      <c r="C206" s="29" t="inlineStr">
        <is>
          <t>FY2021</t>
        </is>
      </c>
      <c r="D206" s="9" t="n">
        <v>1185067</v>
      </c>
      <c r="E206" s="9">
        <f>'Operating expenses (detail)'!C29</f>
        <v/>
      </c>
      <c r="F206" s="9">
        <f>E206-D206</f>
        <v/>
      </c>
    </row>
    <row r="207">
      <c r="A207" s="29" t="inlineStr">
        <is>
          <t>Operating expenses (detail)</t>
        </is>
      </c>
      <c r="B207" s="29" t="inlineStr">
        <is>
          <t>25. Total functional expenses</t>
        </is>
      </c>
      <c r="C207" s="29" t="inlineStr">
        <is>
          <t>FY2022</t>
        </is>
      </c>
      <c r="D207" s="9" t="n">
        <v>1397380</v>
      </c>
      <c r="E207" s="9">
        <f>'Operating expenses (detail)'!D29</f>
        <v/>
      </c>
      <c r="F207" s="9">
        <f>E207-D207</f>
        <v/>
      </c>
    </row>
    <row r="208">
      <c r="A208" s="29" t="inlineStr">
        <is>
          <t>Operating expenses (detail)</t>
        </is>
      </c>
      <c r="B208" s="29" t="inlineStr">
        <is>
          <t>25. Total functional expenses</t>
        </is>
      </c>
      <c r="C208" s="29" t="inlineStr">
        <is>
          <t>FY2023</t>
        </is>
      </c>
      <c r="D208" s="9" t="n">
        <v>1466456</v>
      </c>
      <c r="E208" s="9">
        <f>'Operating expenses (detail)'!E29</f>
        <v/>
      </c>
      <c r="F208" s="9">
        <f>E208-D208</f>
        <v/>
      </c>
    </row>
    <row r="209">
      <c r="A209" s="29" t="inlineStr">
        <is>
          <t>Operating expenses (detail)</t>
        </is>
      </c>
      <c r="B209" s="29" t="inlineStr">
        <is>
          <t>25. Total functional expenses</t>
        </is>
      </c>
      <c r="C209" s="29" t="inlineStr">
        <is>
          <t>FY2024</t>
        </is>
      </c>
      <c r="D209" s="9" t="n">
        <v>1703071</v>
      </c>
      <c r="E209" s="9">
        <f>'Operating expenses (detail)'!F29</f>
        <v/>
      </c>
      <c r="F209" s="9">
        <f>E209-D209</f>
        <v/>
      </c>
    </row>
    <row r="210">
      <c r="A210" s="29" t="inlineStr">
        <is>
          <t>Balance sheet (detail)</t>
        </is>
      </c>
      <c r="B210" s="29" t="inlineStr">
        <is>
          <t>16. Total assets</t>
        </is>
      </c>
      <c r="C210" s="29" t="inlineStr">
        <is>
          <t>FY2020</t>
        </is>
      </c>
      <c r="D210" s="9" t="n">
        <v>5098888</v>
      </c>
      <c r="E210" s="9">
        <f>'Balance sheet (detail)'!B15</f>
        <v/>
      </c>
      <c r="F210" s="9">
        <f>E210-D210</f>
        <v/>
      </c>
    </row>
    <row r="211">
      <c r="A211" s="29" t="inlineStr">
        <is>
          <t>Balance sheet (detail)</t>
        </is>
      </c>
      <c r="B211" s="29" t="inlineStr">
        <is>
          <t>16. Total assets</t>
        </is>
      </c>
      <c r="C211" s="29" t="inlineStr">
        <is>
          <t>FY2021</t>
        </is>
      </c>
      <c r="D211" s="9" t="n">
        <v>5418067</v>
      </c>
      <c r="E211" s="9">
        <f>'Balance sheet (detail)'!C15</f>
        <v/>
      </c>
      <c r="F211" s="9">
        <f>E211-D211</f>
        <v/>
      </c>
    </row>
    <row r="212">
      <c r="A212" s="29" t="inlineStr">
        <is>
          <t>Balance sheet (detail)</t>
        </is>
      </c>
      <c r="B212" s="29" t="inlineStr">
        <is>
          <t>16. Total assets</t>
        </is>
      </c>
      <c r="C212" s="29" t="inlineStr">
        <is>
          <t>FY2022</t>
        </is>
      </c>
      <c r="D212" s="9" t="n">
        <v>5439753</v>
      </c>
      <c r="E212" s="9">
        <f>'Balance sheet (detail)'!D15</f>
        <v/>
      </c>
      <c r="F212" s="9">
        <f>E212-D212</f>
        <v/>
      </c>
    </row>
    <row r="213">
      <c r="A213" s="29" t="inlineStr">
        <is>
          <t>Balance sheet (detail)</t>
        </is>
      </c>
      <c r="B213" s="29" t="inlineStr">
        <is>
          <t>16. Total assets</t>
        </is>
      </c>
      <c r="C213" s="29" t="inlineStr">
        <is>
          <t>FY2023</t>
        </is>
      </c>
      <c r="D213" s="9" t="n">
        <v>5683492</v>
      </c>
      <c r="E213" s="9">
        <f>'Balance sheet (detail)'!E15</f>
        <v/>
      </c>
      <c r="F213" s="9">
        <f>E213-D213</f>
        <v/>
      </c>
    </row>
    <row r="214">
      <c r="A214" s="29" t="inlineStr">
        <is>
          <t>Balance sheet (detail)</t>
        </is>
      </c>
      <c r="B214" s="29" t="inlineStr">
        <is>
          <t>16. Total assets</t>
        </is>
      </c>
      <c r="C214" s="29" t="inlineStr">
        <is>
          <t>FY2024</t>
        </is>
      </c>
      <c r="D214" s="9" t="n">
        <v>5782348</v>
      </c>
      <c r="E214" s="9">
        <f>'Balance sheet (detail)'!F15</f>
        <v/>
      </c>
      <c r="F214" s="9">
        <f>E214-D214</f>
        <v/>
      </c>
    </row>
    <row r="215">
      <c r="A215" s="29" t="inlineStr">
        <is>
          <t>Balance sheet (detail)</t>
        </is>
      </c>
      <c r="B215" s="29" t="inlineStr">
        <is>
          <t>26. Total liabilities</t>
        </is>
      </c>
      <c r="C215" s="29" t="inlineStr">
        <is>
          <t>FY2020</t>
        </is>
      </c>
      <c r="D215" s="9" t="n">
        <v>98940</v>
      </c>
      <c r="E215" s="9">
        <f>'Balance sheet (detail)'!B21</f>
        <v/>
      </c>
      <c r="F215" s="9">
        <f>E215-D215</f>
        <v/>
      </c>
    </row>
    <row r="216">
      <c r="A216" s="29" t="inlineStr">
        <is>
          <t>Balance sheet (detail)</t>
        </is>
      </c>
      <c r="B216" s="29" t="inlineStr">
        <is>
          <t>26. Total liabilities</t>
        </is>
      </c>
      <c r="C216" s="29" t="inlineStr">
        <is>
          <t>FY2021</t>
        </is>
      </c>
      <c r="D216" s="9" t="n">
        <v>135629</v>
      </c>
      <c r="E216" s="9">
        <f>'Balance sheet (detail)'!C21</f>
        <v/>
      </c>
      <c r="F216" s="9">
        <f>E216-D216</f>
        <v/>
      </c>
    </row>
    <row r="217">
      <c r="A217" s="29" t="inlineStr">
        <is>
          <t>Balance sheet (detail)</t>
        </is>
      </c>
      <c r="B217" s="29" t="inlineStr">
        <is>
          <t>26. Total liabilities</t>
        </is>
      </c>
      <c r="C217" s="29" t="inlineStr">
        <is>
          <t>FY2022</t>
        </is>
      </c>
      <c r="D217" s="9" t="n">
        <v>160335</v>
      </c>
      <c r="E217" s="9">
        <f>'Balance sheet (detail)'!D21</f>
        <v/>
      </c>
      <c r="F217" s="9">
        <f>E217-D217</f>
        <v/>
      </c>
    </row>
    <row r="218">
      <c r="A218" s="29" t="inlineStr">
        <is>
          <t>Balance sheet (detail)</t>
        </is>
      </c>
      <c r="B218" s="29" t="inlineStr">
        <is>
          <t>26. Total liabilities</t>
        </is>
      </c>
      <c r="C218" s="29" t="inlineStr">
        <is>
          <t>FY2023</t>
        </is>
      </c>
      <c r="D218" s="9" t="n">
        <v>167093</v>
      </c>
      <c r="E218" s="9">
        <f>'Balance sheet (detail)'!E21</f>
        <v/>
      </c>
      <c r="F218" s="9">
        <f>E218-D218</f>
        <v/>
      </c>
    </row>
    <row r="219">
      <c r="A219" s="29" t="inlineStr">
        <is>
          <t>Balance sheet (detail)</t>
        </is>
      </c>
      <c r="B219" s="29" t="inlineStr">
        <is>
          <t>26. Total liabilities</t>
        </is>
      </c>
      <c r="C219" s="29" t="inlineStr">
        <is>
          <t>FY2024</t>
        </is>
      </c>
      <c r="D219" s="9" t="n">
        <v>150219</v>
      </c>
      <c r="E219" s="9">
        <f>'Balance sheet (detail)'!F21</f>
        <v/>
      </c>
      <c r="F219" s="9">
        <f>E219-D219</f>
        <v/>
      </c>
    </row>
    <row r="220">
      <c r="A220" s="29" t="inlineStr">
        <is>
          <t>Balance sheet (detail)</t>
        </is>
      </c>
      <c r="B220" s="29" t="inlineStr">
        <is>
          <t>32. Total net assets / fund balances</t>
        </is>
      </c>
      <c r="C220" s="29" t="inlineStr">
        <is>
          <t>FY2020</t>
        </is>
      </c>
      <c r="D220" s="9" t="n">
        <v>4999948</v>
      </c>
      <c r="E220" s="9">
        <f>'Balance sheet (detail)'!B27</f>
        <v/>
      </c>
      <c r="F220" s="9">
        <f>E220-D220</f>
        <v/>
      </c>
    </row>
    <row r="221">
      <c r="A221" s="29" t="inlineStr">
        <is>
          <t>Balance sheet (detail)</t>
        </is>
      </c>
      <c r="B221" s="29" t="inlineStr">
        <is>
          <t>32. Total net assets / fund balances</t>
        </is>
      </c>
      <c r="C221" s="29" t="inlineStr">
        <is>
          <t>FY2021</t>
        </is>
      </c>
      <c r="D221" s="9" t="n">
        <v>5282438</v>
      </c>
      <c r="E221" s="9">
        <f>'Balance sheet (detail)'!C27</f>
        <v/>
      </c>
      <c r="F221" s="9">
        <f>E221-D221</f>
        <v/>
      </c>
    </row>
    <row r="222">
      <c r="A222" s="29" t="inlineStr">
        <is>
          <t>Balance sheet (detail)</t>
        </is>
      </c>
      <c r="B222" s="29" t="inlineStr">
        <is>
          <t>32. Total net assets / fund balances</t>
        </is>
      </c>
      <c r="C222" s="29" t="inlineStr">
        <is>
          <t>FY2022</t>
        </is>
      </c>
      <c r="D222" s="9" t="n">
        <v>5279418</v>
      </c>
      <c r="E222" s="9">
        <f>'Balance sheet (detail)'!D27</f>
        <v/>
      </c>
      <c r="F222" s="9">
        <f>E222-D222</f>
        <v/>
      </c>
    </row>
    <row r="223">
      <c r="A223" s="29" t="inlineStr">
        <is>
          <t>Balance sheet (detail)</t>
        </is>
      </c>
      <c r="B223" s="29" t="inlineStr">
        <is>
          <t>32. Total net assets / fund balances</t>
        </is>
      </c>
      <c r="C223" s="29" t="inlineStr">
        <is>
          <t>FY2023</t>
        </is>
      </c>
      <c r="D223" s="9" t="n">
        <v>5516399</v>
      </c>
      <c r="E223" s="9">
        <f>'Balance sheet (detail)'!E27</f>
        <v/>
      </c>
      <c r="F223" s="9">
        <f>E223-D223</f>
        <v/>
      </c>
    </row>
    <row r="224">
      <c r="A224" s="29" t="inlineStr">
        <is>
          <t>Balance sheet (detail)</t>
        </is>
      </c>
      <c r="B224" s="29" t="inlineStr">
        <is>
          <t>32. Total net assets / fund balances</t>
        </is>
      </c>
      <c r="C224" s="29" t="inlineStr">
        <is>
          <t>FY2024</t>
        </is>
      </c>
      <c r="D224" s="9" t="n">
        <v>5632129</v>
      </c>
      <c r="E224" s="9">
        <f>'Balance sheet (detail)'!F27</f>
        <v/>
      </c>
      <c r="F224" s="9">
        <f>E224-D224</f>
        <v/>
      </c>
    </row>
    <row r="225">
      <c r="A225" s="29" t="inlineStr">
        <is>
          <t>Balance sheet (detail)</t>
        </is>
      </c>
      <c r="B225" s="29" t="inlineStr">
        <is>
          <t>Balance sheet identity: line 16 = line 26 + line 32 (EOY)</t>
        </is>
      </c>
      <c r="C225" s="29" t="inlineStr">
        <is>
          <t>FY2020</t>
        </is>
      </c>
      <c r="D225" s="9">
        <f>'Balance sheet (detail)'!B15</f>
        <v/>
      </c>
      <c r="E225" s="9">
        <f>SUM('Balance sheet (detail)'!B21,'Balance sheet (detail)'!B27)</f>
        <v/>
      </c>
      <c r="F225" s="9">
        <f>E225-D225</f>
        <v/>
      </c>
    </row>
    <row r="226">
      <c r="A226" s="29" t="inlineStr">
        <is>
          <t>Balance sheet (detail)</t>
        </is>
      </c>
      <c r="B226" s="29" t="inlineStr">
        <is>
          <t>Balance sheet identity: line 16 = line 26 + line 32 (EOY)</t>
        </is>
      </c>
      <c r="C226" s="29" t="inlineStr">
        <is>
          <t>FY2021</t>
        </is>
      </c>
      <c r="D226" s="9">
        <f>'Balance sheet (detail)'!C15</f>
        <v/>
      </c>
      <c r="E226" s="9">
        <f>SUM('Balance sheet (detail)'!C21,'Balance sheet (detail)'!C27)</f>
        <v/>
      </c>
      <c r="F226" s="9">
        <f>E226-D226</f>
        <v/>
      </c>
    </row>
    <row r="227">
      <c r="A227" s="29" t="inlineStr">
        <is>
          <t>Balance sheet (detail)</t>
        </is>
      </c>
      <c r="B227" s="29" t="inlineStr">
        <is>
          <t>Balance sheet identity: line 16 = line 26 + line 32 (EOY)</t>
        </is>
      </c>
      <c r="C227" s="29" t="inlineStr">
        <is>
          <t>FY2022</t>
        </is>
      </c>
      <c r="D227" s="9">
        <f>'Balance sheet (detail)'!D15</f>
        <v/>
      </c>
      <c r="E227" s="9">
        <f>SUM('Balance sheet (detail)'!D21,'Balance sheet (detail)'!D27)</f>
        <v/>
      </c>
      <c r="F227" s="9">
        <f>E227-D227</f>
        <v/>
      </c>
    </row>
    <row r="228">
      <c r="A228" s="29" t="inlineStr">
        <is>
          <t>Balance sheet (detail)</t>
        </is>
      </c>
      <c r="B228" s="29" t="inlineStr">
        <is>
          <t>Balance sheet identity: line 16 = line 26 + line 32 (EOY)</t>
        </is>
      </c>
      <c r="C228" s="29" t="inlineStr">
        <is>
          <t>FY2023</t>
        </is>
      </c>
      <c r="D228" s="9">
        <f>'Balance sheet (detail)'!E15</f>
        <v/>
      </c>
      <c r="E228" s="9">
        <f>SUM('Balance sheet (detail)'!E21,'Balance sheet (detail)'!E27)</f>
        <v/>
      </c>
      <c r="F228" s="9">
        <f>E228-D228</f>
        <v/>
      </c>
    </row>
    <row r="229">
      <c r="A229" s="29" t="inlineStr">
        <is>
          <t>Balance sheet (detail)</t>
        </is>
      </c>
      <c r="B229" s="29" t="inlineStr">
        <is>
          <t>Balance sheet identity: line 16 = line 26 + line 32 (EOY)</t>
        </is>
      </c>
      <c r="C229" s="29" t="inlineStr">
        <is>
          <t>FY2024</t>
        </is>
      </c>
      <c r="D229" s="9">
        <f>'Balance sheet (detail)'!F15</f>
        <v/>
      </c>
      <c r="E229" s="9">
        <f>SUM('Balance sheet (detail)'!F21,'Balance sheet (detail)'!F27)</f>
        <v/>
      </c>
      <c r="F229" s="9">
        <f>E229-D229</f>
        <v/>
      </c>
    </row>
    <row r="230">
      <c r="A230" s="29" t="inlineStr">
        <is>
          <t>Net-assets reconciliation</t>
        </is>
      </c>
      <c r="B230" s="29" t="inlineStr">
        <is>
          <t>10. Net assets, end of year</t>
        </is>
      </c>
      <c r="C230" s="29" t="inlineStr">
        <is>
          <t>FY2020</t>
        </is>
      </c>
      <c r="D230" s="9" t="n">
        <v>4999948</v>
      </c>
      <c r="E230" s="9">
        <f>'Net-assets reconciliation'!B11</f>
        <v/>
      </c>
      <c r="F230" s="9">
        <f>E230-D230</f>
        <v/>
      </c>
    </row>
    <row r="231">
      <c r="A231" s="29" t="inlineStr">
        <is>
          <t>Net-assets reconciliation</t>
        </is>
      </c>
      <c r="B231" s="29" t="inlineStr">
        <is>
          <t>10. Net assets, end of year</t>
        </is>
      </c>
      <c r="C231" s="29" t="inlineStr">
        <is>
          <t>FY2021</t>
        </is>
      </c>
      <c r="D231" s="9" t="n">
        <v>5282438</v>
      </c>
      <c r="E231" s="9">
        <f>'Net-assets reconciliation'!C11</f>
        <v/>
      </c>
      <c r="F231" s="9">
        <f>E231-D231</f>
        <v/>
      </c>
    </row>
    <row r="232">
      <c r="A232" s="29" t="inlineStr">
        <is>
          <t>Net-assets reconciliation</t>
        </is>
      </c>
      <c r="B232" s="29" t="inlineStr">
        <is>
          <t>10. Net assets, end of year</t>
        </is>
      </c>
      <c r="C232" s="29" t="inlineStr">
        <is>
          <t>FY2022</t>
        </is>
      </c>
      <c r="D232" s="9" t="n">
        <v>5279418</v>
      </c>
      <c r="E232" s="9">
        <f>'Net-assets reconciliation'!D11</f>
        <v/>
      </c>
      <c r="F232" s="9">
        <f>E232-D232</f>
        <v/>
      </c>
    </row>
    <row r="233">
      <c r="A233" s="29" t="inlineStr">
        <is>
          <t>Net-assets reconciliation</t>
        </is>
      </c>
      <c r="B233" s="29" t="inlineStr">
        <is>
          <t>10. Net assets, end of year</t>
        </is>
      </c>
      <c r="C233" s="29" t="inlineStr">
        <is>
          <t>FY2023</t>
        </is>
      </c>
      <c r="D233" s="9" t="n">
        <v>5516399</v>
      </c>
      <c r="E233" s="9">
        <f>'Net-assets reconciliation'!E11</f>
        <v/>
      </c>
      <c r="F233" s="9">
        <f>E233-D233</f>
        <v/>
      </c>
    </row>
    <row r="234">
      <c r="A234" s="29" t="inlineStr">
        <is>
          <t>Net-assets reconciliation</t>
        </is>
      </c>
      <c r="B234" s="29" t="inlineStr">
        <is>
          <t>10. Net assets, end of year</t>
        </is>
      </c>
      <c r="C234" s="29" t="inlineStr">
        <is>
          <t>FY2024</t>
        </is>
      </c>
      <c r="D234" s="9" t="n">
        <v>5632129</v>
      </c>
      <c r="E234" s="9">
        <f>'Net-assets reconciliation'!F11</f>
        <v/>
      </c>
      <c r="F234" s="9">
        <f>E234-D234</f>
        <v/>
      </c>
    </row>
    <row r="236">
      <c r="A236" s="28" t="inlineStr">
        <is>
          <t>D. Preparer / auditor trail (one row per fiscal year, as filed)</t>
        </is>
      </c>
      <c r="B236" s="7" t="n"/>
      <c r="C236" s="7" t="n"/>
      <c r="D236" s="7" t="n"/>
      <c r="E236" s="7" t="n"/>
      <c r="F236" s="7" t="n"/>
      <c r="G236" s="7" t="n"/>
      <c r="H236" s="7" t="n"/>
      <c r="I236" s="7" t="n"/>
      <c r="J236" s="7" t="n"/>
      <c r="K236" s="7" t="n"/>
    </row>
    <row r="237">
      <c r="A237" s="5" t="inlineStr">
        <is>
          <t>Fiscal year</t>
        </is>
      </c>
      <c r="B237" s="5" t="inlineStr">
        <is>
          <t>Paid preparer</t>
        </is>
      </c>
      <c r="C237" s="5" t="inlineStr">
        <is>
          <t>Preparer firm</t>
        </is>
      </c>
      <c r="D237" s="5" t="inlineStr">
        <is>
          <t>Independent auditor</t>
        </is>
      </c>
      <c r="E237" s="5" t="inlineStr">
        <is>
          <t>Citation</t>
        </is>
      </c>
    </row>
    <row r="238" ht="42" customHeight="1">
      <c r="A238" s="27" t="inlineStr">
        <is>
          <t>FY2020</t>
        </is>
      </c>
      <c r="B238" s="8" t="inlineStr">
        <is>
          <t>JULIE HARTWIGSEN</t>
        </is>
      </c>
      <c r="C238" s="8" t="inlineStr">
        <is>
          <t>CHRISTENSON &amp; ASSOCIATES LLP</t>
        </is>
      </c>
      <c r="D238" s="30" t="inlineStr">
        <is>
          <t>not reported</t>
        </is>
      </c>
      <c r="E238" s="22" t="inlineStr">
        <is>
          <t>Form 990 Return Header, Paid Preparer block (return_header.preparer_person_name / preparer_firm_name); auditor: Part XII line 2 reports audited financial statements but does not name the firm.</t>
        </is>
      </c>
    </row>
    <row r="239" ht="42" customHeight="1">
      <c r="A239" s="27" t="inlineStr">
        <is>
          <t>FY2021</t>
        </is>
      </c>
      <c r="B239" s="8" t="inlineStr">
        <is>
          <t>JULIE HARTWIGSEN</t>
        </is>
      </c>
      <c r="C239" s="8" t="inlineStr">
        <is>
          <t>CHRISTENSON &amp; ASSOCIATES LLP</t>
        </is>
      </c>
      <c r="D239" s="30" t="inlineStr">
        <is>
          <t>not reported</t>
        </is>
      </c>
      <c r="E239" s="22" t="inlineStr">
        <is>
          <t>Form 990 Return Header, Paid Preparer block (return_header.preparer_person_name / preparer_firm_name); auditor: Part XII line 2 reports audited financial statements but does not name the firm.</t>
        </is>
      </c>
    </row>
    <row r="240" ht="42" customHeight="1">
      <c r="A240" s="27" t="inlineStr">
        <is>
          <t>FY2022</t>
        </is>
      </c>
      <c r="B240" s="8" t="inlineStr">
        <is>
          <t>JULIE HARTWIGSEN</t>
        </is>
      </c>
      <c r="C240" s="8" t="inlineStr">
        <is>
          <t>CHRISTENSON &amp; ASSOCIATES LLP</t>
        </is>
      </c>
      <c r="D240" s="30" t="inlineStr">
        <is>
          <t>not reported</t>
        </is>
      </c>
      <c r="E240" s="22" t="inlineStr">
        <is>
          <t>Form 990 Return Header, Paid Preparer block (return_header.preparer_person_name / preparer_firm_name); auditor: Part XII line 2 reports audited financial statements but does not name the firm.</t>
        </is>
      </c>
    </row>
    <row r="241" ht="42" customHeight="1">
      <c r="A241" s="27" t="inlineStr">
        <is>
          <t>FY2023</t>
        </is>
      </c>
      <c r="B241" s="8" t="inlineStr">
        <is>
          <t>JULIE HARTWIGSEN</t>
        </is>
      </c>
      <c r="C241" s="8" t="inlineStr">
        <is>
          <t>CHRISTENSON &amp; ASSOCIATES LLP</t>
        </is>
      </c>
      <c r="D241" s="30" t="inlineStr">
        <is>
          <t>not reported</t>
        </is>
      </c>
      <c r="E241" s="22" t="inlineStr">
        <is>
          <t>Form 990 Return Header, Paid Preparer block (return_header.preparer_person_name / preparer_firm_name); auditor: Part XII line 2 reports audited financial statements but does not name the firm.</t>
        </is>
      </c>
    </row>
    <row r="242" ht="42" customHeight="1">
      <c r="A242" s="27" t="inlineStr">
        <is>
          <t>FY2024</t>
        </is>
      </c>
      <c r="B242" s="8" t="inlineStr">
        <is>
          <t>JULIE HARTWIGSEN</t>
        </is>
      </c>
      <c r="C242" s="8" t="inlineStr">
        <is>
          <t>CHRISTENSON &amp; ASSOCIATES LLP</t>
        </is>
      </c>
      <c r="D242" s="30" t="inlineStr">
        <is>
          <t>not reported</t>
        </is>
      </c>
      <c r="E242" s="22" t="inlineStr">
        <is>
          <t>Form 990 Return Header, Paid Preparer block (return_header.preparer_person_name / preparer_firm_name); auditor: Part XII line 2 reports audited financial statements but does not name the firm.</t>
        </is>
      </c>
    </row>
    <row r="244" ht="42" customHeight="1">
      <c r="A244" s="3" t="inlineStr">
        <is>
          <t>Section B lists every figure on the statement tabs by its cell, so any number can be traced to its Form 990 line, key path, and confidence without cluttering the statements. Section C recomputes each statutory total live from the statement cells and compares it with the as-filed value; a nonzero variance turns red. A red row is a filer-internal inconsistency (e.g. an ending net-assets figure that does not equal the beginning balance plus the year's surplus or deficit), carried exactly as filed and never reconciled; the statutory totals otherwise tie to zero. Section D records the paid preparer and (where named) the auditor for each year, as filed; the 990 names the preparer but not the auditing firm, so the auditor reads "not reported". Section E lists every as-filed wording variant for Part IX line-24 rows that were consolidated across years because they differed only by capitalization or spacing. IRS efile XML has no page numbers, so 990 figures cite by Part and line (the key path), not a page.</t>
        </is>
      </c>
    </row>
  </sheetData>
  <mergeCells count="6">
    <mergeCell ref="A6:K6"/>
    <mergeCell ref="A244:K244"/>
    <mergeCell ref="A3:K3"/>
    <mergeCell ref="A2:K2"/>
    <mergeCell ref="A5:K5"/>
    <mergeCell ref="A1:K1"/>
  </mergeCells>
  <conditionalFormatting sqref="F199:F234">
    <cfRule type="cellIs" priority="1" operator="notEqual" dxfId="0">
      <formula>0</formula>
    </cfRule>
  </conditionalFormatting>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34" customWidth="1" min="1" max="1"/>
    <col width="90" customWidth="1" min="2" max="2"/>
  </cols>
  <sheetData>
    <row r="1">
      <c r="A1" t="inlineStr">
        <is>
          <t>Build provenance</t>
        </is>
      </c>
      <c r="B1" t="inlineStr">
        <is>
          <t>Built from source commit 98dc98bc0062 (2026-09-23); source fingerprint 324dc8855ca42b84; 111 companies (99 retail mutual, 4 irrigation mutual, 3 mutual, no PWSID, purpose not stated, 2 frozen non-mutual (special district), 1 frozen non-mutual (investor-owned), 1 frozen non-mutual (municipal), 1 wholesale mutual); 88 gates; build id 5f652918e4cc.</t>
        </is>
      </c>
    </row>
    <row r="2">
      <c r="A2" t="inlineStr">
        <is>
          <t>source_commit</t>
        </is>
      </c>
      <c r="B2" t="inlineStr">
        <is>
          <t>98dc98bc00622fcb88235e1279e1d57fef7ff8b2</t>
        </is>
      </c>
    </row>
    <row r="3">
      <c r="A3" t="inlineStr">
        <is>
          <t>source_commit_date</t>
        </is>
      </c>
      <c r="B3" t="inlineStr">
        <is>
          <t>2026-09-23</t>
        </is>
      </c>
    </row>
    <row r="4">
      <c r="A4" t="inlineStr">
        <is>
          <t>source_fingerprint</t>
        </is>
      </c>
      <c r="B4" t="inlineStr">
        <is>
          <t>324dc8855ca42b84120c64d4114787c454bb5556a34f4f98da03d5c73c1e9bc3</t>
        </is>
      </c>
    </row>
    <row r="5">
      <c r="A5" t="inlineStr">
        <is>
          <t>gate_count</t>
        </is>
      </c>
      <c r="B5" t="n">
        <v>88</v>
      </c>
    </row>
    <row r="6">
      <c r="A6" t="inlineStr">
        <is>
          <t>build_id</t>
        </is>
      </c>
      <c r="B6" t="inlineStr">
        <is>
          <t>5f652918e4cc</t>
        </is>
      </c>
    </row>
    <row r="7">
      <c r="A7" t="inlineStr">
        <is>
          <t>registry: frozen non-mutual (investor-owned)</t>
        </is>
      </c>
      <c r="B7" t="n">
        <v>1</v>
      </c>
    </row>
    <row r="8">
      <c r="A8" t="inlineStr">
        <is>
          <t>registry: frozen non-mutual (municipal)</t>
        </is>
      </c>
      <c r="B8" t="n">
        <v>1</v>
      </c>
    </row>
    <row r="9">
      <c r="A9" t="inlineStr">
        <is>
          <t>registry: frozen non-mutual (special district)</t>
        </is>
      </c>
      <c r="B9" t="n">
        <v>2</v>
      </c>
    </row>
    <row r="10">
      <c r="A10" t="inlineStr">
        <is>
          <t>registry: irrigation mutual</t>
        </is>
      </c>
      <c r="B10" t="n">
        <v>4</v>
      </c>
    </row>
    <row r="11">
      <c r="A11" t="inlineStr">
        <is>
          <t>registry: mutual, no PWSID, purpose not stated</t>
        </is>
      </c>
      <c r="B11" t="n">
        <v>3</v>
      </c>
    </row>
    <row r="12">
      <c r="A12" t="inlineStr">
        <is>
          <t>registry: retail mutual</t>
        </is>
      </c>
      <c r="B12" t="n">
        <v>99</v>
      </c>
    </row>
    <row r="13">
      <c r="A13" t="inlineStr">
        <is>
          <t>registry: wholesale mutual</t>
        </is>
      </c>
      <c r="B1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2020-01-01T00:00:00Z</dcterms:created>
  <dcterms:modified xsi:type="dcterms:W3CDTF">2020-01-01T00:00:00Z</dcterms:modified>
</cp:coreProperties>
</file>