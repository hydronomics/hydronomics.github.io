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8" fillId="0" borderId="1" applyAlignment="1" pivotButton="0" quotePrefix="0" xfId="0">
      <alignment horizontal="center"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Financial Summary - multi-year overview (USD)</t>
        </is>
      </c>
    </row>
    <row r="3">
      <c r="A3" s="2" t="inlineStr">
        <is>
          <t>Entity ID: cawc_0014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134980</v>
      </c>
      <c r="C10" s="9" t="n">
        <v>130965</v>
      </c>
      <c r="D10" s="9" t="n">
        <v>131599</v>
      </c>
      <c r="E10" s="9" t="n">
        <v>158846</v>
      </c>
      <c r="F10" s="9" t="n">
        <v>188669</v>
      </c>
      <c r="G10" s="9" t="n">
        <v>131040</v>
      </c>
    </row>
    <row r="11">
      <c r="A11" s="8" t="inlineStr">
        <is>
          <t xml:space="preserve">    Total expenses</t>
        </is>
      </c>
      <c r="B11" s="9" t="n">
        <v>152712</v>
      </c>
      <c r="C11" s="9" t="n">
        <v>114458</v>
      </c>
      <c r="D11" s="9" t="n">
        <v>145865</v>
      </c>
      <c r="E11" s="9" t="n">
        <v>175427</v>
      </c>
      <c r="F11" s="9" t="n">
        <v>190320</v>
      </c>
      <c r="G11" s="9" t="n">
        <v>179283</v>
      </c>
    </row>
    <row r="12">
      <c r="A12" s="10" t="inlineStr">
        <is>
          <t xml:space="preserve">    Net income</t>
        </is>
      </c>
      <c r="B12" s="11" t="n">
        <v>-17732</v>
      </c>
      <c r="C12" s="11" t="n">
        <v>16507</v>
      </c>
      <c r="D12" s="11" t="n">
        <v>-14266</v>
      </c>
      <c r="E12" s="11" t="n">
        <v>-16581</v>
      </c>
      <c r="F12" s="11" t="n">
        <v>-1651</v>
      </c>
      <c r="G12" s="11" t="n">
        <v>-48243</v>
      </c>
    </row>
    <row r="14">
      <c r="A14" s="6" t="inlineStr">
        <is>
          <t>Financial position (USD, end of year)</t>
        </is>
      </c>
      <c r="B14" s="7" t="n"/>
      <c r="C14" s="7" t="n"/>
      <c r="D14" s="7" t="n"/>
      <c r="E14" s="7" t="n"/>
      <c r="F14" s="7" t="n"/>
      <c r="G14" s="7" t="n"/>
    </row>
    <row r="15">
      <c r="A15" s="8" t="inlineStr">
        <is>
          <t xml:space="preserve">    Total assets</t>
        </is>
      </c>
      <c r="B15" s="9" t="n">
        <v>638157</v>
      </c>
      <c r="C15" s="9" t="n">
        <v>654664</v>
      </c>
      <c r="D15" s="9" t="n">
        <v>640403</v>
      </c>
      <c r="E15" s="9" t="n">
        <v>902621</v>
      </c>
      <c r="F15" s="9" t="n">
        <v>901259</v>
      </c>
      <c r="G15" s="9" t="n">
        <v>889642</v>
      </c>
    </row>
    <row r="16">
      <c r="A16" s="8" t="inlineStr">
        <is>
          <t xml:space="preserve">    Total liabilities</t>
        </is>
      </c>
      <c r="B16" s="9" t="n">
        <v>0</v>
      </c>
      <c r="C16" s="9" t="n">
        <v>0</v>
      </c>
      <c r="D16" s="9" t="n">
        <v>5</v>
      </c>
      <c r="E16" s="9" t="n">
        <v>0</v>
      </c>
      <c r="F16" s="9" t="n">
        <v>0</v>
      </c>
      <c r="G16" s="9" t="n">
        <v>0</v>
      </c>
    </row>
    <row r="17">
      <c r="A17" s="10" t="inlineStr">
        <is>
          <t xml:space="preserve">    Net assets</t>
        </is>
      </c>
      <c r="B17" s="11" t="n">
        <v>638157</v>
      </c>
      <c r="C17" s="11" t="n">
        <v>654664</v>
      </c>
      <c r="D17" s="11" t="n">
        <v>640398</v>
      </c>
      <c r="E17" s="11" t="n">
        <v>902621</v>
      </c>
      <c r="F17" s="11" t="n">
        <v>901259</v>
      </c>
      <c r="G17" s="11" t="n">
        <v>889642</v>
      </c>
    </row>
    <row r="19">
      <c r="A19" s="6" t="inlineStr">
        <is>
          <t>Headline ratios</t>
        </is>
      </c>
      <c r="B19" s="7" t="n"/>
      <c r="C19" s="7" t="n"/>
      <c r="D19" s="7" t="n"/>
      <c r="E19" s="7" t="n"/>
      <c r="F19" s="7" t="n"/>
      <c r="G19" s="7" t="n"/>
    </row>
    <row r="20">
      <c r="A20" s="8" t="inlineStr">
        <is>
          <t xml:space="preserve">    Operating margin</t>
        </is>
      </c>
      <c r="B20" s="12" t="n">
        <v>-0.1313676100162987</v>
      </c>
      <c r="C20" s="12" t="n">
        <v>0.1260413087466117</v>
      </c>
      <c r="D20" s="12" t="n">
        <v>-0.1084050790659503</v>
      </c>
      <c r="E20" s="12" t="n">
        <v>-0.1043841204688818</v>
      </c>
      <c r="F20" s="12" t="n">
        <v>-0.008750775167091574</v>
      </c>
      <c r="G20" s="12" t="n">
        <v>-0.3681547619047619</v>
      </c>
    </row>
    <row r="21">
      <c r="A21" s="8" t="inlineStr">
        <is>
          <t xml:space="preserve">    Revenue growth (YoY)</t>
        </is>
      </c>
      <c r="B21" s="12" t="n"/>
      <c r="C21" s="12" t="n">
        <v>-0.02974514742924878</v>
      </c>
      <c r="D21" s="12" t="n">
        <v>0.004840988050242431</v>
      </c>
      <c r="E21" s="12" t="n">
        <v>0.2070456462435125</v>
      </c>
      <c r="F21" s="12" t="n">
        <v>0.1877478815960112</v>
      </c>
      <c r="G21" s="12" t="n">
        <v>-0.3054502859505271</v>
      </c>
    </row>
    <row r="22">
      <c r="A22" s="8" t="inlineStr">
        <is>
          <t xml:space="preserve">    Return on assets</t>
        </is>
      </c>
      <c r="B22" s="12" t="n">
        <v>-0.02778626576218705</v>
      </c>
      <c r="C22" s="12" t="n">
        <v>0.02521446115870126</v>
      </c>
      <c r="D22" s="12" t="n">
        <v>-0.02227659770488271</v>
      </c>
      <c r="E22" s="12" t="n">
        <v>-0.01836983628787719</v>
      </c>
      <c r="F22" s="12" t="n">
        <v>-0.001831881845285317</v>
      </c>
      <c r="G22" s="12" t="n">
        <v>-0.05422743080924686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Financial Statements - income statement, balance sheet, cash flow, member income test (USD)</t>
        </is>
      </c>
    </row>
    <row r="3">
      <c r="A3" s="2" t="inlineStr">
        <is>
          <t>Entity ID: cawc_0014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134980</v>
      </c>
      <c r="C8" s="9" t="n">
        <v>130965</v>
      </c>
      <c r="D8" s="9" t="n">
        <v>131599</v>
      </c>
      <c r="E8" s="9" t="n">
        <v>158846</v>
      </c>
      <c r="F8" s="9" t="n">
        <v>188669</v>
      </c>
      <c r="G8" s="9" t="n">
        <v>131040</v>
      </c>
    </row>
    <row r="9">
      <c r="A9" s="8" t="inlineStr">
        <is>
          <t xml:space="preserve">    Investment income</t>
        </is>
      </c>
      <c r="B9" s="9" t="n">
        <v>0</v>
      </c>
      <c r="C9" s="9" t="n">
        <v>0</v>
      </c>
      <c r="D9" s="9" t="n">
        <v>0</v>
      </c>
      <c r="E9" s="9" t="n">
        <v>0</v>
      </c>
      <c r="F9" s="9" t="n">
        <v>0</v>
      </c>
      <c r="G9" s="9" t="n">
        <v>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134980</v>
      </c>
      <c r="C14" s="11" t="n">
        <v>130965</v>
      </c>
      <c r="D14" s="11" t="n">
        <v>131599</v>
      </c>
      <c r="E14" s="11" t="n">
        <v>158846</v>
      </c>
      <c r="F14" s="11" t="n">
        <v>188669</v>
      </c>
      <c r="G14" s="11" t="n">
        <v>131040</v>
      </c>
    </row>
    <row r="16">
      <c r="A16" s="6" t="inlineStr">
        <is>
          <t>Expenses</t>
        </is>
      </c>
      <c r="B16" s="7" t="n"/>
      <c r="C16" s="7" t="n"/>
      <c r="D16" s="7" t="n"/>
      <c r="E16" s="7" t="n"/>
      <c r="F16" s="7" t="n"/>
      <c r="G16" s="7" t="n"/>
    </row>
    <row r="17">
      <c r="A17" s="8" t="inlineStr">
        <is>
          <t xml:space="preserve">    Depreciation</t>
        </is>
      </c>
      <c r="B17" s="9" t="n">
        <v>29144</v>
      </c>
      <c r="C17" s="9" t="n">
        <v>30551</v>
      </c>
      <c r="D17" s="9" t="n">
        <v>32986</v>
      </c>
      <c r="E17" s="9" t="n">
        <v>55829</v>
      </c>
      <c r="F17" s="9" t="n">
        <v>68791</v>
      </c>
      <c r="G17" s="9" t="n">
        <v>48606</v>
      </c>
    </row>
    <row r="18">
      <c r="A18" s="8" t="inlineStr">
        <is>
          <t xml:space="preserve">    Interest expense</t>
        </is>
      </c>
      <c r="B18" s="9" t="n">
        <v>0</v>
      </c>
      <c r="C18" s="9" t="n">
        <v>0</v>
      </c>
      <c r="D18" s="9" t="n">
        <v>0</v>
      </c>
      <c r="E18" s="9" t="n">
        <v>0</v>
      </c>
      <c r="F18" s="9" t="n">
        <v>0</v>
      </c>
      <c r="G18" s="9" t="n">
        <v>0</v>
      </c>
    </row>
    <row r="19">
      <c r="A19" s="10" t="inlineStr">
        <is>
          <t>Total expenses</t>
        </is>
      </c>
      <c r="B19" s="11" t="n">
        <v>152712</v>
      </c>
      <c r="C19" s="11" t="n">
        <v>114458</v>
      </c>
      <c r="D19" s="11" t="n">
        <v>145865</v>
      </c>
      <c r="E19" s="11" t="n">
        <v>175427</v>
      </c>
      <c r="F19" s="11" t="n">
        <v>190320</v>
      </c>
      <c r="G19" s="11" t="n">
        <v>179283</v>
      </c>
    </row>
    <row r="21">
      <c r="A21" s="10" t="inlineStr">
        <is>
          <t>Net income</t>
        </is>
      </c>
      <c r="B21" s="11" t="n">
        <v>-17732</v>
      </c>
      <c r="C21" s="11" t="n">
        <v>16507</v>
      </c>
      <c r="D21" s="11" t="n">
        <v>-14266</v>
      </c>
      <c r="E21" s="11" t="n">
        <v>-16581</v>
      </c>
      <c r="F21" s="11" t="n">
        <v>-1651</v>
      </c>
      <c r="G21" s="11" t="n">
        <v>-48243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198892</v>
      </c>
      <c r="C27" s="9" t="n">
        <v>173388</v>
      </c>
      <c r="D27" s="9" t="n">
        <v>179936</v>
      </c>
      <c r="E27" s="9" t="n">
        <v>58046</v>
      </c>
      <c r="F27" s="9" t="n">
        <v>34738</v>
      </c>
      <c r="G27" s="9" t="n">
        <v>27724</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0</v>
      </c>
      <c r="C29" s="9" t="n">
        <v>0</v>
      </c>
      <c r="D29" s="9" t="n">
        <v>0</v>
      </c>
      <c r="E29" s="9" t="n">
        <v>0</v>
      </c>
      <c r="F29" s="9" t="n">
        <v>0</v>
      </c>
      <c r="G29" s="9" t="n">
        <v>7377</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1388603</v>
      </c>
      <c r="C32" s="9" t="n">
        <v>1461165</v>
      </c>
      <c r="D32" s="9" t="n">
        <v>1473342</v>
      </c>
      <c r="E32" s="9" t="n">
        <v>1888944</v>
      </c>
      <c r="F32" s="9" t="n">
        <v>1979681</v>
      </c>
      <c r="G32" s="9" t="n">
        <v>2016307</v>
      </c>
    </row>
    <row r="33">
      <c r="A33" s="8" t="inlineStr">
        <is>
          <t xml:space="preserve">    Less: accumulated depreciation</t>
        </is>
      </c>
      <c r="B33" s="9" t="n">
        <v>-949338</v>
      </c>
      <c r="C33" s="9" t="n">
        <v>-979889</v>
      </c>
      <c r="D33" s="9" t="n">
        <v>-1012875</v>
      </c>
      <c r="E33" s="9" t="n">
        <v>-1044369</v>
      </c>
      <c r="F33" s="9" t="n">
        <v>-1113160</v>
      </c>
      <c r="G33" s="9" t="n">
        <v>-1161766</v>
      </c>
    </row>
    <row r="34">
      <c r="A34" s="10" t="inlineStr">
        <is>
          <t xml:space="preserve">    Net property, plant &amp; equipment</t>
        </is>
      </c>
      <c r="B34" s="11" t="n">
        <v>439265</v>
      </c>
      <c r="C34" s="11" t="n">
        <v>481276</v>
      </c>
      <c r="D34" s="11" t="n">
        <v>460467</v>
      </c>
      <c r="E34" s="11" t="n">
        <v>844575</v>
      </c>
      <c r="F34" s="11" t="n">
        <v>866521</v>
      </c>
      <c r="G34" s="11" t="n">
        <v>854541</v>
      </c>
    </row>
    <row r="35">
      <c r="A35" s="10" t="inlineStr">
        <is>
          <t>Total assets</t>
        </is>
      </c>
      <c r="B35" s="11" t="n">
        <v>638157</v>
      </c>
      <c r="C35" s="11" t="n">
        <v>654664</v>
      </c>
      <c r="D35" s="11" t="n">
        <v>640403</v>
      </c>
      <c r="E35" s="11" t="n">
        <v>902621</v>
      </c>
      <c r="F35" s="11" t="n">
        <v>901259</v>
      </c>
      <c r="G35" s="11" t="n">
        <v>889642</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5</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v>638157</v>
      </c>
      <c r="C45" s="9" t="n">
        <v>654664</v>
      </c>
      <c r="D45" s="9" t="n">
        <v>640398</v>
      </c>
      <c r="E45" s="9" t="n">
        <v>902621</v>
      </c>
      <c r="F45" s="9" t="n">
        <v>901259</v>
      </c>
      <c r="G45" s="9" t="n">
        <v>889642</v>
      </c>
    </row>
    <row r="46">
      <c r="A46" s="10" t="inlineStr">
        <is>
          <t>Net assets</t>
        </is>
      </c>
      <c r="B46" s="11" t="n">
        <v>638157</v>
      </c>
      <c r="C46" s="11" t="n">
        <v>654664</v>
      </c>
      <c r="D46" s="11" t="n">
        <v>640398</v>
      </c>
      <c r="E46" s="11" t="n">
        <v>902621</v>
      </c>
      <c r="F46" s="11" t="n">
        <v>901259</v>
      </c>
      <c r="G46" s="11" t="n">
        <v>889642</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-17732</v>
      </c>
      <c r="C52" s="9" t="n">
        <v>16507</v>
      </c>
      <c r="D52" s="9" t="n">
        <v>-14266</v>
      </c>
      <c r="E52" s="9" t="n">
        <v>-16581</v>
      </c>
      <c r="F52" s="9" t="n">
        <v>-1651</v>
      </c>
      <c r="G52" s="9" t="n">
        <v>-48243</v>
      </c>
    </row>
    <row r="53">
      <c r="A53" s="8" t="inlineStr">
        <is>
          <t xml:space="preserve">    + Depreciation (reported)</t>
        </is>
      </c>
      <c r="B53" s="9" t="n">
        <v>29144</v>
      </c>
      <c r="C53" s="9" t="n">
        <v>30551</v>
      </c>
      <c r="D53" s="9" t="n">
        <v>32986</v>
      </c>
      <c r="E53" s="9" t="n">
        <v>55829</v>
      </c>
      <c r="F53" s="9" t="n">
        <v>68791</v>
      </c>
      <c r="G53" s="9" t="n">
        <v>48606</v>
      </c>
    </row>
    <row r="54">
      <c r="A54" s="8" t="inlineStr">
        <is>
          <t xml:space="preserve">    − Δ Accounts receivable</t>
        </is>
      </c>
      <c r="B54" s="9" t="n"/>
      <c r="C54" s="9" t="n">
        <v>0</v>
      </c>
      <c r="D54" s="9" t="n">
        <v>0</v>
      </c>
      <c r="E54" s="9" t="n">
        <v>0</v>
      </c>
      <c r="F54" s="9" t="n">
        <v>0</v>
      </c>
      <c r="G54" s="9" t="n">
        <v>-7377</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47058</v>
      </c>
      <c r="D58" s="11" t="n">
        <v>18720</v>
      </c>
      <c r="E58" s="11" t="n">
        <v>39248</v>
      </c>
      <c r="F58" s="11" t="n">
        <v>67140</v>
      </c>
      <c r="G58" s="11" t="n">
        <v>-7014</v>
      </c>
    </row>
    <row r="60">
      <c r="A60" s="6" t="inlineStr">
        <is>
          <t>Investing</t>
        </is>
      </c>
      <c r="B60" s="7" t="n"/>
      <c r="C60" s="7" t="n"/>
      <c r="D60" s="7" t="n"/>
      <c r="E60" s="7" t="n"/>
      <c r="F60" s="7" t="n"/>
      <c r="G60" s="7" t="n"/>
    </row>
    <row r="61">
      <c r="A61" s="8" t="inlineStr">
        <is>
          <t xml:space="preserve">    − Δ PP&amp;E gross (capex proxy)</t>
        </is>
      </c>
      <c r="B61" s="9" t="n"/>
      <c r="C61" s="9" t="n">
        <v>-72562</v>
      </c>
      <c r="D61" s="9" t="n">
        <v>-12177</v>
      </c>
      <c r="E61" s="9" t="n">
        <v>-415602</v>
      </c>
      <c r="F61" s="9" t="n">
        <v>-90737</v>
      </c>
      <c r="G61" s="9" t="n">
        <v>-36626</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-25504</v>
      </c>
      <c r="D67" s="11" t="n">
        <v>6548</v>
      </c>
      <c r="E67" s="11" t="n">
        <v>-121890</v>
      </c>
      <c r="F67" s="11" t="n">
        <v>-23308</v>
      </c>
      <c r="G67" s="11" t="n">
        <v>-7014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Balance Sheet - as reported (USD, end of year)</t>
        </is>
      </c>
    </row>
    <row r="3">
      <c r="A3" s="2" t="inlineStr">
        <is>
          <t>Entity ID: cawc_0014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198892</v>
      </c>
      <c r="C7" s="9" t="n">
        <v>173388</v>
      </c>
      <c r="D7" s="9" t="n">
        <v>179936</v>
      </c>
      <c r="E7" s="9" t="n">
        <v>58046</v>
      </c>
      <c r="F7" s="9" t="n">
        <v>34738</v>
      </c>
      <c r="G7" s="9" t="n">
        <v>27724</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0</v>
      </c>
      <c r="C9" s="9" t="n">
        <v>0</v>
      </c>
      <c r="D9" s="9" t="n">
        <v>0</v>
      </c>
      <c r="E9" s="9" t="n">
        <v>0</v>
      </c>
      <c r="F9" s="9" t="n">
        <v>0</v>
      </c>
      <c r="G9" s="9" t="n">
        <v>7377</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1388603</v>
      </c>
      <c r="C12" s="9" t="n">
        <v>1461165</v>
      </c>
      <c r="D12" s="9" t="n">
        <v>1473342</v>
      </c>
      <c r="E12" s="9" t="n">
        <v>1888944</v>
      </c>
      <c r="F12" s="9" t="n">
        <v>1979681</v>
      </c>
      <c r="G12" s="9" t="n">
        <v>2016307</v>
      </c>
    </row>
    <row r="13">
      <c r="A13" s="8" t="inlineStr">
        <is>
          <t xml:space="preserve">    Less: accumulated depreciation</t>
        </is>
      </c>
      <c r="B13" s="9" t="n">
        <v>-949338</v>
      </c>
      <c r="C13" s="9" t="n">
        <v>-979889</v>
      </c>
      <c r="D13" s="9" t="n">
        <v>-1012875</v>
      </c>
      <c r="E13" s="9" t="n">
        <v>-1044369</v>
      </c>
      <c r="F13" s="9" t="n">
        <v>-1113160</v>
      </c>
      <c r="G13" s="9" t="n">
        <v>-1161766</v>
      </c>
    </row>
    <row r="14">
      <c r="A14" s="10" t="inlineStr">
        <is>
          <t xml:space="preserve">    Net property, plant &amp; equipment</t>
        </is>
      </c>
      <c r="B14" s="11" t="n">
        <v>439265</v>
      </c>
      <c r="C14" s="11" t="n">
        <v>481276</v>
      </c>
      <c r="D14" s="11" t="n">
        <v>460467</v>
      </c>
      <c r="E14" s="11" t="n">
        <v>844575</v>
      </c>
      <c r="F14" s="11" t="n">
        <v>866521</v>
      </c>
      <c r="G14" s="11" t="n">
        <v>854541</v>
      </c>
    </row>
    <row r="15">
      <c r="A15" s="10" t="inlineStr">
        <is>
          <t>Total assets</t>
        </is>
      </c>
      <c r="B15" s="11" t="n">
        <v>638157</v>
      </c>
      <c r="C15" s="11" t="n">
        <v>654664</v>
      </c>
      <c r="D15" s="11" t="n">
        <v>640403</v>
      </c>
      <c r="E15" s="11" t="n">
        <v>902621</v>
      </c>
      <c r="F15" s="11" t="n">
        <v>901259</v>
      </c>
      <c r="G15" s="11" t="n">
        <v>889642</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5</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v>638157</v>
      </c>
      <c r="C25" s="9" t="n">
        <v>654664</v>
      </c>
      <c r="D25" s="9" t="n">
        <v>640398</v>
      </c>
      <c r="E25" s="9" t="n">
        <v>902621</v>
      </c>
      <c r="F25" s="9" t="n">
        <v>901259</v>
      </c>
      <c r="G25" s="9" t="n">
        <v>889642</v>
      </c>
    </row>
    <row r="26">
      <c r="A26" s="10" t="inlineStr">
        <is>
          <t>Net assets</t>
        </is>
      </c>
      <c r="B26" s="11" t="n">
        <v>638157</v>
      </c>
      <c r="C26" s="11" t="n">
        <v>654664</v>
      </c>
      <c r="D26" s="11" t="n">
        <v>640398</v>
      </c>
      <c r="E26" s="11" t="n">
        <v>902621</v>
      </c>
      <c r="F26" s="11" t="n">
        <v>901259</v>
      </c>
      <c r="G26" s="11" t="n">
        <v>889642</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Sisar Mutual Water Company</t>
        </is>
      </c>
    </row>
    <row r="2">
      <c r="A2" s="2" t="inlineStr">
        <is>
          <t>Officers, Directors &amp; Contractors - Form 990 Part VII (FY2025; USD)</t>
        </is>
      </c>
    </row>
    <row r="3">
      <c r="A3" s="2" t="inlineStr">
        <is>
          <t>Entity ID: cawc_0014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JOHN LEMMER</t>
        </is>
      </c>
      <c r="B7" s="8" t="inlineStr">
        <is>
          <t>President</t>
        </is>
      </c>
      <c r="C7" s="9" t="n">
        <v>0</v>
      </c>
      <c r="D7" s="9" t="n">
        <v>0</v>
      </c>
      <c r="E7" s="9" t="n">
        <v>0</v>
      </c>
      <c r="F7" s="9" t="n">
        <v>0</v>
      </c>
    </row>
    <row r="9">
      <c r="A9" s="6" t="inlineStr">
        <is>
          <t>Section B - Independent contractors (over $100,000)</t>
        </is>
      </c>
      <c r="B9" s="7" t="n"/>
      <c r="C9" s="7" t="n"/>
      <c r="D9" s="7" t="n"/>
      <c r="E9" s="7" t="n"/>
      <c r="F9" s="7" t="n"/>
    </row>
    <row r="10">
      <c r="A10" s="5" t="inlineStr">
        <is>
          <t>Contractor</t>
        </is>
      </c>
      <c r="B10" s="5" t="inlineStr">
        <is>
          <t>Services</t>
        </is>
      </c>
      <c r="C10" s="5" t="inlineStr">
        <is>
          <t>Compensation</t>
        </is>
      </c>
    </row>
    <row r="12" ht="42" customHeight="1">
      <c r="A12"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Revenue - Form 990 Part VIII (USD)</t>
        </is>
      </c>
    </row>
    <row r="3">
      <c r="A3" s="2" t="inlineStr">
        <is>
          <t>Entity ID: cawc_0014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134980</v>
      </c>
      <c r="C8" s="9" t="n">
        <v>130965</v>
      </c>
      <c r="D8" s="9" t="n">
        <v>131599</v>
      </c>
      <c r="E8" s="9" t="n">
        <v>158846</v>
      </c>
      <c r="F8" s="9" t="n">
        <v>188669</v>
      </c>
      <c r="G8" s="9" t="n">
        <v>131040</v>
      </c>
    </row>
    <row r="9">
      <c r="A9" s="8" t="inlineStr">
        <is>
          <t xml:space="preserve">    3. Investment income</t>
        </is>
      </c>
      <c r="B9" s="9" t="n">
        <v>0</v>
      </c>
      <c r="C9" s="9" t="n">
        <v>0</v>
      </c>
      <c r="D9" s="9" t="n">
        <v>0</v>
      </c>
      <c r="E9" s="9" t="n">
        <v>0</v>
      </c>
      <c r="F9" s="9" t="n">
        <v>0</v>
      </c>
      <c r="G9" s="9" t="n">
        <v>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5:G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Sisar Mutual Water Company</t>
        </is>
      </c>
    </row>
    <row r="2">
      <c r="A2" s="2" t="inlineStr">
        <is>
          <t>Statement of Functional Expenses - Form 990 Part IX (USD)</t>
        </is>
      </c>
    </row>
    <row r="3">
      <c r="A3" s="2" t="inlineStr">
        <is>
          <t>Entity ID: cawc_0014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2133</v>
      </c>
    </row>
    <row r="19">
      <c r="A19" s="8" t="inlineStr">
        <is>
          <t xml:space="preserve">    11c. Fees for services: accounting</t>
        </is>
      </c>
      <c r="B19" s="9" t="n">
        <v>750</v>
      </c>
      <c r="C19" s="9" t="n">
        <v>5205</v>
      </c>
      <c r="D19" s="9" t="n">
        <v>0</v>
      </c>
      <c r="E19" s="9" t="n">
        <v>0</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0</v>
      </c>
      <c r="C25" s="9" t="n">
        <v>0</v>
      </c>
      <c r="D25" s="9" t="n">
        <v>0</v>
      </c>
      <c r="E25" s="9" t="n">
        <v>0</v>
      </c>
      <c r="F25" s="9" t="n">
        <v>33</v>
      </c>
      <c r="G25" s="9" t="n">
        <v>232</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29144</v>
      </c>
      <c r="C34" s="9" t="n">
        <v>30551</v>
      </c>
      <c r="D34" s="9" t="n">
        <v>32986</v>
      </c>
      <c r="E34" s="9" t="n">
        <v>55829</v>
      </c>
      <c r="F34" s="9" t="n">
        <v>68791</v>
      </c>
      <c r="G34" s="9" t="n">
        <v>48606</v>
      </c>
    </row>
    <row r="35">
      <c r="A35" s="8" t="inlineStr">
        <is>
          <t xml:space="preserve">    23. Insurance</t>
        </is>
      </c>
      <c r="B35" s="9" t="n">
        <v>3771</v>
      </c>
      <c r="C35" s="9" t="n">
        <v>4268</v>
      </c>
      <c r="D35" s="9" t="n">
        <v>5858</v>
      </c>
      <c r="E35" s="9" t="n">
        <v>6572</v>
      </c>
      <c r="F35" s="9" t="n">
        <v>7960</v>
      </c>
      <c r="G35" s="9" t="n">
        <v>8125</v>
      </c>
    </row>
    <row r="36">
      <c r="A36" s="8" t="inlineStr">
        <is>
          <t xml:space="preserve">    24. UTILITIES</t>
        </is>
      </c>
      <c r="B36" s="9" t="n">
        <v>37526</v>
      </c>
      <c r="C36" s="9" t="n">
        <v>17753</v>
      </c>
      <c r="D36" s="9" t="n">
        <v>17825</v>
      </c>
      <c r="E36" s="9" t="n">
        <v>12618</v>
      </c>
      <c r="F36" s="9" t="n">
        <v>20440</v>
      </c>
      <c r="G36" s="9" t="n">
        <v>22527</v>
      </c>
    </row>
    <row r="37">
      <c r="A37" s="8" t="inlineStr">
        <is>
          <t xml:space="preserve">    24. CONTRACT WORK</t>
        </is>
      </c>
      <c r="B37" s="9" t="n">
        <v>24605</v>
      </c>
      <c r="C37" s="9" t="n">
        <v>12307</v>
      </c>
      <c r="D37" s="14" t="inlineStr">
        <is>
          <t>not reported</t>
        </is>
      </c>
      <c r="E37" s="9" t="n">
        <v>15712</v>
      </c>
      <c r="F37" s="9" t="n">
        <v>17864</v>
      </c>
      <c r="G37" s="9" t="n">
        <v>18160</v>
      </c>
    </row>
    <row r="38">
      <c r="A38" s="8" t="inlineStr">
        <is>
          <t xml:space="preserve">    24. PROFESSIONAL FEES</t>
        </is>
      </c>
      <c r="B38" s="9" t="n">
        <v>22638</v>
      </c>
      <c r="C38" s="9" t="n">
        <v>13105</v>
      </c>
      <c r="D38" s="9" t="n">
        <v>19168</v>
      </c>
      <c r="E38" s="9" t="n">
        <v>30621</v>
      </c>
      <c r="F38" s="9" t="n">
        <v>34384</v>
      </c>
      <c r="G38" s="9" t="n">
        <v>27228</v>
      </c>
    </row>
    <row r="39">
      <c r="A39" s="8" t="inlineStr">
        <is>
          <t xml:space="preserve">    24. MATERIALS</t>
        </is>
      </c>
      <c r="B39" s="9" t="n">
        <v>18516</v>
      </c>
      <c r="C39" s="9" t="n">
        <v>13224</v>
      </c>
      <c r="D39" s="14" t="inlineStr">
        <is>
          <t>not reported</t>
        </is>
      </c>
      <c r="E39" s="14" t="inlineStr">
        <is>
          <t>not reported</t>
        </is>
      </c>
      <c r="F39" s="14" t="inlineStr">
        <is>
          <t>not reported</t>
        </is>
      </c>
      <c r="G39" s="14" t="inlineStr">
        <is>
          <t>not reported</t>
        </is>
      </c>
    </row>
    <row r="40">
      <c r="A40" s="8" t="inlineStr">
        <is>
          <t xml:space="preserve">    24. ADJUSTMENTS</t>
        </is>
      </c>
      <c r="B40" s="14" t="inlineStr">
        <is>
          <t>not reported</t>
        </is>
      </c>
      <c r="C40" s="14" t="inlineStr">
        <is>
          <t>not reported</t>
        </is>
      </c>
      <c r="D40" s="9" t="n">
        <v>22270</v>
      </c>
      <c r="E40" s="14" t="inlineStr">
        <is>
          <t>not reported</t>
        </is>
      </c>
      <c r="F40" s="14" t="inlineStr">
        <is>
          <t>not reported</t>
        </is>
      </c>
      <c r="G40" s="14" t="inlineStr">
        <is>
          <t>not reported</t>
        </is>
      </c>
    </row>
    <row r="41">
      <c r="A41" s="8" t="inlineStr">
        <is>
          <t xml:space="preserve">    24. LEGAL &amp; ACCOUNTING</t>
        </is>
      </c>
      <c r="B41" s="14" t="inlineStr">
        <is>
          <t>not reported</t>
        </is>
      </c>
      <c r="C41" s="14" t="inlineStr">
        <is>
          <t>not reported</t>
        </is>
      </c>
      <c r="D41" s="9" t="n">
        <v>14718</v>
      </c>
      <c r="E41" s="14" t="inlineStr">
        <is>
          <t>not reported</t>
        </is>
      </c>
      <c r="F41" s="14" t="inlineStr">
        <is>
          <t>not reported</t>
        </is>
      </c>
      <c r="G41" s="14" t="inlineStr">
        <is>
          <t>not reported</t>
        </is>
      </c>
    </row>
    <row r="42">
      <c r="A42" s="8" t="inlineStr">
        <is>
          <t xml:space="preserve">    24. REPAIRS &amp; MAINTENANCE</t>
        </is>
      </c>
      <c r="B42" s="14" t="inlineStr">
        <is>
          <t>not reported</t>
        </is>
      </c>
      <c r="C42" s="14" t="inlineStr">
        <is>
          <t>not reported</t>
        </is>
      </c>
      <c r="D42" s="14" t="inlineStr">
        <is>
          <t>not reported</t>
        </is>
      </c>
      <c r="E42" s="9" t="n">
        <v>25777</v>
      </c>
      <c r="F42" s="9" t="n">
        <v>15188</v>
      </c>
      <c r="G42" s="14" t="inlineStr">
        <is>
          <t>not reported</t>
        </is>
      </c>
    </row>
    <row r="43">
      <c r="A43" s="8" t="inlineStr">
        <is>
          <t xml:space="preserve">    24. MISCELLANEOUS</t>
        </is>
      </c>
      <c r="B43" s="14" t="inlineStr">
        <is>
          <t>not reported</t>
        </is>
      </c>
      <c r="C43" s="14" t="inlineStr">
        <is>
          <t>not reported</t>
        </is>
      </c>
      <c r="D43" s="14" t="inlineStr">
        <is>
          <t>not reported</t>
        </is>
      </c>
      <c r="E43" s="14" t="inlineStr">
        <is>
          <t>not reported</t>
        </is>
      </c>
      <c r="F43" s="14" t="inlineStr">
        <is>
          <t>not reported</t>
        </is>
      </c>
      <c r="G43" s="9" t="n">
        <v>19720</v>
      </c>
    </row>
    <row r="44">
      <c r="A44" s="8" t="inlineStr">
        <is>
          <t xml:space="preserve">    24e. All other expenses</t>
        </is>
      </c>
      <c r="B44" s="9" t="n">
        <v>15762</v>
      </c>
      <c r="C44" s="9" t="n">
        <v>18045</v>
      </c>
      <c r="D44" s="9" t="n">
        <v>33040</v>
      </c>
      <c r="E44" s="9" t="n">
        <v>28298</v>
      </c>
      <c r="F44" s="9" t="n">
        <v>25660</v>
      </c>
      <c r="G44" s="9" t="n">
        <v>32552</v>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 (col A = B + C + D)</t>
        </is>
      </c>
      <c r="B47" s="7" t="n"/>
      <c r="C47" s="7" t="n"/>
      <c r="D47" s="7" t="n"/>
      <c r="E47" s="7" t="n"/>
      <c r="F47" s="7" t="n"/>
      <c r="G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0</v>
      </c>
      <c r="C55" s="9" t="n"/>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0</v>
      </c>
      <c r="C59" s="9" t="n"/>
      <c r="D59" s="9" t="n"/>
      <c r="E59" s="9" t="n"/>
    </row>
    <row r="60">
      <c r="A60" s="18" t="inlineStr">
        <is>
          <t>11b. Fees for services: legal</t>
        </is>
      </c>
      <c r="B60" s="9" t="n">
        <v>2133</v>
      </c>
      <c r="C60" s="9" t="n">
        <v>2133</v>
      </c>
      <c r="D60" s="9" t="n"/>
      <c r="E60" s="9" t="n"/>
    </row>
    <row r="61">
      <c r="A61" s="18" t="inlineStr">
        <is>
          <t>11c. Fees for services: accounting</t>
        </is>
      </c>
      <c r="B61" s="9" t="n">
        <v>0</v>
      </c>
      <c r="C61" s="9" t="n"/>
      <c r="D61" s="9" t="n"/>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232</v>
      </c>
      <c r="C67" s="9" t="n">
        <v>232</v>
      </c>
      <c r="D67" s="9" t="n"/>
      <c r="E67" s="9" t="n"/>
    </row>
    <row r="68">
      <c r="A68" s="18" t="inlineStr">
        <is>
          <t>14. Information technology</t>
        </is>
      </c>
      <c r="B68" s="9" t="n">
        <v>0</v>
      </c>
      <c r="C68" s="9" t="n"/>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0</v>
      </c>
      <c r="C74" s="9" t="n"/>
      <c r="D74" s="9" t="n"/>
      <c r="E74" s="9" t="n"/>
    </row>
    <row r="75">
      <c r="A75" s="18" t="inlineStr">
        <is>
          <t>21. Payments to affiliates</t>
        </is>
      </c>
      <c r="B75" s="9" t="n">
        <v>0</v>
      </c>
      <c r="C75" s="9" t="n"/>
      <c r="D75" s="9" t="n"/>
      <c r="E75" s="9" t="n"/>
    </row>
    <row r="76">
      <c r="A76" s="18" t="inlineStr">
        <is>
          <t>22. Depreciation, depletion, and amortization</t>
        </is>
      </c>
      <c r="B76" s="9" t="n">
        <v>48606</v>
      </c>
      <c r="C76" s="9" t="n">
        <v>48606</v>
      </c>
      <c r="D76" s="9" t="n"/>
      <c r="E76" s="9" t="n"/>
    </row>
    <row r="77">
      <c r="A77" s="18" t="inlineStr">
        <is>
          <t>23. Insurance</t>
        </is>
      </c>
      <c r="B77" s="9" t="n">
        <v>8125</v>
      </c>
      <c r="C77" s="9" t="n">
        <v>8125</v>
      </c>
      <c r="D77" s="9" t="n"/>
      <c r="E77" s="9" t="n"/>
    </row>
    <row r="78">
      <c r="A78" s="10" t="inlineStr">
        <is>
          <t>25. Total (filed col A / B / C / D)</t>
        </is>
      </c>
      <c r="B78" s="11" t="n">
        <v>179283</v>
      </c>
      <c r="C78" s="11" t="n">
        <v>179283</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Balance Sheet - Form 990 Part X (end of year, USD)</t>
        </is>
      </c>
    </row>
    <row r="3">
      <c r="A3" s="2" t="inlineStr">
        <is>
          <t>Entity ID: cawc_0014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198892</v>
      </c>
      <c r="C7" s="9" t="n">
        <v>173388</v>
      </c>
      <c r="D7" s="9" t="n">
        <v>179936</v>
      </c>
      <c r="E7" s="9" t="n">
        <v>58046</v>
      </c>
      <c r="F7" s="9" t="n">
        <v>34738</v>
      </c>
      <c r="G7" s="9" t="n">
        <v>27724</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0</v>
      </c>
      <c r="D10" s="9" t="n">
        <v>0</v>
      </c>
      <c r="E10" s="9" t="n">
        <v>0</v>
      </c>
      <c r="F10" s="9" t="n">
        <v>0</v>
      </c>
      <c r="G10" s="9" t="n">
        <v>7377</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439265</v>
      </c>
      <c r="C16" s="9" t="n">
        <v>481276</v>
      </c>
      <c r="D16" s="9" t="n">
        <v>460467</v>
      </c>
      <c r="E16" s="9" t="n">
        <v>844575</v>
      </c>
      <c r="F16" s="9" t="n">
        <v>866521</v>
      </c>
      <c r="G16" s="9" t="n">
        <v>854541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25. Other liabilities</t>
        </is>
      </c>
      <c r="B25" s="14" t="inlineStr">
        <is>
          <t>not reported</t>
        </is>
      </c>
      <c r="C25" s="14" t="inlineStr">
        <is>
          <t>not reported</t>
        </is>
      </c>
      <c r="D25" s="9" t="n">
        <v>5</v>
      </c>
      <c r="E25" s="14" t="inlineStr">
        <is>
          <t>not reported</t>
        </is>
      </c>
      <c r="F25" s="14" t="inlineStr">
        <is>
          <t>not reported</t>
        </is>
      </c>
      <c r="G25" s="14" t="inlineStr">
        <is>
          <t>not reported</t>
        </is>
      </c>
    </row>
    <row r="26">
      <c r="A26" s="10" t="inlineStr">
        <is>
          <t>26. Total liabilities</t>
        </is>
      </c>
      <c r="B26" s="11">
        <f>SUM(B25:B25)</f>
        <v/>
      </c>
      <c r="C26" s="11">
        <f>SUM(C25:C25)</f>
        <v/>
      </c>
      <c r="D26" s="11">
        <f>SUM(D25:D25)</f>
        <v/>
      </c>
      <c r="E26" s="11">
        <f>SUM(E25:E25)</f>
        <v/>
      </c>
      <c r="F26" s="11">
        <f>SUM(F25:F25)</f>
        <v/>
      </c>
      <c r="G26" s="11">
        <f>SUM(G25:G25)</f>
        <v/>
      </c>
    </row>
    <row r="28">
      <c r="A28" s="6" t="inlineStr">
        <is>
          <t>Net assets / fund balances</t>
        </is>
      </c>
      <c r="B28" s="7" t="n"/>
      <c r="C28" s="7" t="n"/>
      <c r="D28" s="7" t="n"/>
      <c r="E28" s="7" t="n"/>
      <c r="F28" s="7" t="n"/>
      <c r="G28" s="7" t="n"/>
    </row>
    <row r="29">
      <c r="A29" s="8" t="inlineStr">
        <is>
          <t xml:space="preserve">    31. Retained earnings / accumulated funds</t>
        </is>
      </c>
      <c r="B29" s="9" t="n">
        <v>638157</v>
      </c>
      <c r="C29" s="9" t="n">
        <v>654664</v>
      </c>
      <c r="D29" s="9" t="n">
        <v>640398</v>
      </c>
      <c r="E29" s="9" t="n">
        <v>902621</v>
      </c>
      <c r="F29" s="9" t="n">
        <v>901259</v>
      </c>
      <c r="G29" s="9" t="n">
        <v>889642</v>
      </c>
    </row>
    <row r="30">
      <c r="A30" s="10" t="inlineStr">
        <is>
          <t>32. Total net assets / fund balances</t>
        </is>
      </c>
      <c r="B30" s="11">
        <f>SUM(B29:B29)</f>
        <v/>
      </c>
      <c r="C30" s="11">
        <f>SUM(C29:C29)</f>
        <v/>
      </c>
      <c r="D30" s="11">
        <f>SUM(D29:D29)</f>
        <v/>
      </c>
      <c r="E30" s="11">
        <f>SUM(E29:E29)</f>
        <v/>
      </c>
      <c r="F30" s="11">
        <f>SUM(F29:F29)</f>
        <v/>
      </c>
      <c r="G30" s="11">
        <f>SUM(G29:G29)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2:G32"/>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Reconciliation of Net Assets - Form 990 Part XI (USD)</t>
        </is>
      </c>
    </row>
    <row r="3">
      <c r="A3" s="2" t="inlineStr">
        <is>
          <t>Entity ID: cawc_0014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357341</v>
      </c>
      <c r="C7" s="9" t="n">
        <v>638157</v>
      </c>
      <c r="D7" s="9" t="n">
        <v>654664</v>
      </c>
      <c r="E7" s="9" t="n">
        <v>640398</v>
      </c>
      <c r="F7" s="9" t="n">
        <v>902621</v>
      </c>
      <c r="G7" s="9" t="n">
        <v>901259</v>
      </c>
    </row>
    <row r="8">
      <c r="A8" s="8" t="inlineStr">
        <is>
          <t xml:space="preserve">    3. Revenue less expenses</t>
        </is>
      </c>
      <c r="B8" s="9" t="n">
        <v>-17732</v>
      </c>
      <c r="C8" s="9" t="n">
        <v>16507</v>
      </c>
      <c r="D8" s="9" t="n">
        <v>-14266</v>
      </c>
      <c r="E8" s="9" t="n">
        <v>-16581</v>
      </c>
      <c r="F8" s="9" t="n">
        <v>-1651</v>
      </c>
      <c r="G8" s="9" t="n">
        <v>-48243</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9" t="n">
        <v>278804</v>
      </c>
      <c r="F10" s="9" t="n">
        <v>289</v>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Cash Flow Proxies - derived (USD)</t>
        </is>
      </c>
    </row>
    <row r="3">
      <c r="A3" s="2" t="inlineStr">
        <is>
          <t>Entity ID: cawc_0014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-17732</v>
      </c>
      <c r="C9" s="9" t="n">
        <v>16507</v>
      </c>
      <c r="D9" s="9" t="n">
        <v>-14266</v>
      </c>
      <c r="E9" s="9" t="n">
        <v>-16581</v>
      </c>
      <c r="F9" s="9" t="n">
        <v>-1651</v>
      </c>
      <c r="G9" s="9" t="n">
        <v>-48243</v>
      </c>
    </row>
    <row r="10">
      <c r="A10" s="8" t="inlineStr">
        <is>
          <t xml:space="preserve">    + Depreciation (reported)</t>
        </is>
      </c>
      <c r="B10" s="9" t="n">
        <v>29144</v>
      </c>
      <c r="C10" s="9" t="n">
        <v>30551</v>
      </c>
      <c r="D10" s="9" t="n">
        <v>32986</v>
      </c>
      <c r="E10" s="9" t="n">
        <v>55829</v>
      </c>
      <c r="F10" s="9" t="n">
        <v>68791</v>
      </c>
      <c r="G10" s="9" t="n">
        <v>48606</v>
      </c>
    </row>
    <row r="11">
      <c r="A11" s="8" t="inlineStr">
        <is>
          <t xml:space="preserve">    − Δ Accounts receivable</t>
        </is>
      </c>
      <c r="B11" s="9" t="n"/>
      <c r="C11" s="9" t="n">
        <v>0</v>
      </c>
      <c r="D11" s="9" t="n">
        <v>0</v>
      </c>
      <c r="E11" s="9" t="n">
        <v>0</v>
      </c>
      <c r="F11" s="9" t="n">
        <v>0</v>
      </c>
      <c r="G11" s="9" t="n">
        <v>-7377</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47058</v>
      </c>
      <c r="D15" s="11" t="n">
        <v>18720</v>
      </c>
      <c r="E15" s="11" t="n">
        <v>39248</v>
      </c>
      <c r="F15" s="11" t="n">
        <v>67140</v>
      </c>
      <c r="G15" s="11" t="n">
        <v>-7014</v>
      </c>
    </row>
    <row r="17">
      <c r="A17" s="6" t="inlineStr">
        <is>
          <t>Investing</t>
        </is>
      </c>
      <c r="B17" s="7" t="n"/>
      <c r="C17" s="7" t="n"/>
      <c r="D17" s="7" t="n"/>
      <c r="E17" s="7" t="n"/>
      <c r="F17" s="7" t="n"/>
      <c r="G17" s="7" t="n"/>
    </row>
    <row r="18">
      <c r="A18" s="8" t="inlineStr">
        <is>
          <t xml:space="preserve">    − Δ PP&amp;E gross (capex proxy)</t>
        </is>
      </c>
      <c r="B18" s="9" t="n"/>
      <c r="C18" s="9" t="n">
        <v>-72562</v>
      </c>
      <c r="D18" s="9" t="n">
        <v>-12177</v>
      </c>
      <c r="E18" s="9" t="n">
        <v>-415602</v>
      </c>
      <c r="F18" s="9" t="n">
        <v>-90737</v>
      </c>
      <c r="G18" s="9" t="n">
        <v>-36626</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-25504</v>
      </c>
      <c r="D24" s="11" t="n">
        <v>6548</v>
      </c>
      <c r="E24" s="11" t="n">
        <v>-121890</v>
      </c>
      <c r="F24" s="11" t="n">
        <v>-23308</v>
      </c>
      <c r="G24" s="11" t="n">
        <v>-7014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Sisar Mutual Water Company</t>
        </is>
      </c>
    </row>
    <row r="2">
      <c r="A2" s="2" t="inlineStr">
        <is>
          <t>Financial Ratios</t>
        </is>
      </c>
    </row>
    <row r="3">
      <c r="A3" s="2" t="inlineStr">
        <is>
          <t>Entity ID: cawc_0014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-0.1313676100162987</v>
      </c>
      <c r="C7" s="12" t="n">
        <v>0.1260413087466117</v>
      </c>
      <c r="D7" s="12" t="n">
        <v>-0.1084050790659503</v>
      </c>
      <c r="E7" s="12" t="n">
        <v>-0.1043841204688818</v>
      </c>
      <c r="F7" s="12" t="n">
        <v>-0.008750775167091574</v>
      </c>
      <c r="G7" s="12" t="n">
        <v>-0.3681547619047619</v>
      </c>
    </row>
    <row r="8">
      <c r="A8" s="8" t="inlineStr">
        <is>
          <t xml:space="preserve">    Expense ratio (expenses / revenue)</t>
        </is>
      </c>
      <c r="B8" s="12" t="n">
        <v>1.131367610016299</v>
      </c>
      <c r="C8" s="12" t="n">
        <v>0.8739586912533883</v>
      </c>
      <c r="D8" s="12" t="n">
        <v>1.10840507906595</v>
      </c>
      <c r="E8" s="12" t="n">
        <v>1.104384120468882</v>
      </c>
      <c r="F8" s="12" t="n">
        <v>1.008750775167092</v>
      </c>
      <c r="G8" s="12" t="n">
        <v>1.368154761904762</v>
      </c>
    </row>
    <row r="9">
      <c r="A9" s="8" t="inlineStr">
        <is>
          <t xml:space="preserve">    Return on assets (NI / assets)</t>
        </is>
      </c>
      <c r="B9" s="12" t="n">
        <v>-0.02778626576218705</v>
      </c>
      <c r="C9" s="12" t="n">
        <v>0.02521446115870126</v>
      </c>
      <c r="D9" s="12" t="n">
        <v>-0.02227659770488271</v>
      </c>
      <c r="E9" s="12" t="n">
        <v>-0.01836983628787719</v>
      </c>
      <c r="F9" s="12" t="n">
        <v>-0.001831881845285317</v>
      </c>
      <c r="G9" s="12" t="n">
        <v>-0.05422743080924686</v>
      </c>
    </row>
    <row r="10">
      <c r="A10" s="8" t="inlineStr">
        <is>
          <t xml:space="preserve">    Revenue growth (YoY)</t>
        </is>
      </c>
      <c r="B10" s="12" t="n"/>
      <c r="C10" s="12" t="n">
        <v>-0.02974514742924878</v>
      </c>
      <c r="D10" s="12" t="n">
        <v>0.004840988050242431</v>
      </c>
      <c r="E10" s="12" t="n">
        <v>0.2070456462435125</v>
      </c>
      <c r="F10" s="12" t="n">
        <v>0.1877478815960112</v>
      </c>
      <c r="G10" s="12" t="n">
        <v>-0.3054502859505271</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7.807583662162733e-06</v>
      </c>
      <c r="E13" s="12" t="n">
        <v>0</v>
      </c>
      <c r="F13" s="12" t="n">
        <v>0</v>
      </c>
      <c r="G13" s="12" t="n">
        <v>0</v>
      </c>
    </row>
    <row r="14">
      <c r="A14" s="8" t="inlineStr">
        <is>
          <t xml:space="preserve">    Equity ratio (net assets / assets)</t>
        </is>
      </c>
      <c r="B14" s="12" t="n">
        <v>1</v>
      </c>
      <c r="C14" s="12" t="n">
        <v>1</v>
      </c>
      <c r="D14" s="12" t="n">
        <v>0.9999921924163379</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c r="C18" s="19" t="n"/>
      <c r="D18" s="19" t="n">
        <v>35987.2</v>
      </c>
      <c r="E18" s="19" t="n"/>
      <c r="F18" s="19" t="n"/>
      <c r="G18" s="19" t="n"/>
    </row>
    <row r="19">
      <c r="A19" s="8" t="inlineStr">
        <is>
          <t xml:space="preserve">    Asset age proxy (accum. deprec. / gross PP&amp;E)</t>
        </is>
      </c>
      <c r="B19" s="12" t="n">
        <v>0.6836640854153418</v>
      </c>
      <c r="C19" s="12" t="n">
        <v>0.6706217299209877</v>
      </c>
      <c r="D19" s="12" t="n">
        <v>0.6874676755295105</v>
      </c>
      <c r="E19" s="12" t="n">
        <v>0.5528851040581404</v>
      </c>
      <c r="F19" s="12" t="n">
        <v>0.5622926117894752</v>
      </c>
      <c r="G19" s="12" t="n">
        <v>0.5761850749910604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Sisar Mutual Water Company</t>
        </is>
      </c>
    </row>
    <row r="2">
      <c r="A2" s="2" t="inlineStr">
        <is>
          <t>Unit economics - per-customer revenue by category (USD)</t>
        </is>
      </c>
    </row>
    <row r="3">
      <c r="A3" s="2" t="inlineStr">
        <is>
          <t>Entity ID: cawc_0014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106</v>
      </c>
      <c r="C6" s="22" t="inlineStr">
        <is>
          <t>State Water Board eAR Section 4 (CurTotalConnections), reporting year 2023</t>
        </is>
      </c>
    </row>
    <row r="7">
      <c r="A7" s="20" t="inlineStr">
        <is>
          <t>Total annual revenue (eAR Section 8b B1.8)</t>
        </is>
      </c>
      <c r="B7" s="9" t="n">
        <v>158165</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157665</v>
      </c>
      <c r="D12" s="25" t="n">
        <v>1487.41</v>
      </c>
      <c r="E12" s="26" t="n">
        <v>0.9968</v>
      </c>
    </row>
    <row r="13">
      <c r="A13" s="8" t="inlineStr">
        <is>
          <t>Assessment revenue (990 program-service revenue not matched to eAR water-rate revenue)</t>
        </is>
      </c>
      <c r="B13" s="24" t="inlineStr">
        <is>
          <t>DERIVED</t>
        </is>
      </c>
      <c r="C13" s="9" t="n">
        <v>1181</v>
      </c>
      <c r="D13" s="25" t="n">
        <v>11.14</v>
      </c>
      <c r="E13" s="26" t="n">
        <v>0.0074</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157665</v>
      </c>
      <c r="C19" s="22" t="inlineStr">
        <is>
          <t>eAR Section 8b field B1.1 (residential water rates) + B1.2 (non-residential water rates). State Water Board eAR Section 8b, question B1.1 + B1.2 (revenue from water rates), reporting year 2023</t>
        </is>
      </c>
    </row>
    <row r="20">
      <c r="A20" s="20" t="inlineStr">
        <is>
          <t>Denominator: Total service connections</t>
        </is>
      </c>
      <c r="B20" s="21" t="n">
        <v>106</v>
      </c>
      <c r="C20" s="22" t="inlineStr">
        <is>
          <t>eAR Section 4 CurTotalConnections, reporting year 2023. State Water Board eAR Section 4 (CurTotalConnections), reporting year 2023</t>
        </is>
      </c>
    </row>
    <row r="21" ht="36" customHeight="1">
      <c r="A21" s="3" t="inlineStr">
        <is>
          <t>Per customer: water rate revenue $157,665 / 106 connections = $1,487.41 per connection</t>
        </is>
      </c>
    </row>
    <row r="22" ht="36" customHeight="1">
      <c r="A22" s="3" t="inlineStr">
        <is>
          <t>Share of revenue: water rate revenue $157,665 / total annual revenue (eAR Section 8b B1.8) $158,165 = 99.68%</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158846</v>
      </c>
      <c r="C28" s="22" t="inlineStr">
        <is>
          <t>Form 990 Part VIII line 2 (total program-service revenue), fiscal year 2023 ending December 31, 2023</t>
        </is>
      </c>
    </row>
    <row r="29">
      <c r="A29" s="20" t="inlineStr">
        <is>
          <t>Input B: eAR water-rate revenue</t>
        </is>
      </c>
      <c r="B29" s="9" t="n">
        <v>157665</v>
      </c>
      <c r="C29" s="22" t="inlineStr">
        <is>
          <t>State Water Board eAR Section 8b, question B1.1 + B1.2 (revenue from water rates), reporting year 2023</t>
        </is>
      </c>
    </row>
    <row r="30">
      <c r="A30" s="15" t="inlineStr">
        <is>
          <t>Residual (A minus B) = assessment revenue</t>
        </is>
      </c>
      <c r="B30" s="16">
        <f>B28-B29</f>
        <v/>
      </c>
      <c r="C30" s="22" t="inlineStr">
        <is>
          <t>$158,846 (990 program-service revenue) minus $157,665 (eAR water-rate revenue) = $1,181</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106</v>
      </c>
      <c r="C34" s="22" t="inlineStr">
        <is>
          <t>eAR Section 4 CurTotalConnections, reporting year 2023. State Water Board eAR Section 4 (CurTotalConnections), reporting year 2023</t>
        </is>
      </c>
    </row>
    <row r="35" ht="36" customHeight="1">
      <c r="A35" s="3" t="inlineStr">
        <is>
          <t>Per customer: residual $1,181 / 106 connections = $11.14 per connection</t>
        </is>
      </c>
    </row>
    <row r="36" ht="36" customHeight="1">
      <c r="A36" s="3" t="inlineStr">
        <is>
          <t>Share of revenue: residual $1,181 / 990 program-service revenue $158,846 = 0.74%</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2"/>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Sisar Mutual Water Company</t>
        </is>
      </c>
    </row>
    <row r="2">
      <c r="A2" s="2" t="inlineStr">
        <is>
          <t>Rate structure and representative bill - eAR Section 8a (RY2024)</t>
        </is>
      </c>
    </row>
    <row r="3">
      <c r="A3" s="2" t="inlineStr">
        <is>
          <t>Entity ID: cawc_0014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36" customHeight="1">
      <c r="A6" s="29" t="inlineStr">
        <is>
          <t>Structure: Tiered increasing-block with a fixed base, billed monthly, priced per HCF.</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Monthly usage (HCF)</t>
        </is>
      </c>
      <c r="B11" s="31" t="n">
        <v>5</v>
      </c>
      <c r="C11" s="31" t="n">
        <v>10</v>
      </c>
      <c r="D11" s="31" t="n">
        <v>25</v>
      </c>
    </row>
    <row r="12">
      <c r="A12" s="8" t="inlineStr">
        <is>
          <t>Months per bill (from filed billing frequency)</t>
        </is>
      </c>
      <c r="B12" s="32"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5" t="n">
        <v>50</v>
      </c>
    </row>
    <row r="16">
      <c r="A16" s="4" t="inlineStr">
        <is>
          <t>Tier</t>
        </is>
      </c>
      <c r="B16" s="4" t="inlineStr">
        <is>
          <t>Range (HCF)</t>
        </is>
      </c>
      <c r="C16" s="33" t="inlineStr">
        <is>
          <t>Price ($/HCF)</t>
        </is>
      </c>
      <c r="D16" s="33" t="inlineStr">
        <is>
          <t>Upper limit (HCF)</t>
        </is>
      </c>
    </row>
    <row r="17">
      <c r="A17" s="8" t="inlineStr">
        <is>
          <t>Tier 1</t>
        </is>
      </c>
      <c r="B17" s="8" t="inlineStr">
        <is>
          <t>0 to 15 HCF</t>
        </is>
      </c>
      <c r="C17" s="34" t="n">
        <v>0</v>
      </c>
      <c r="D17" s="35" t="n">
        <v>15</v>
      </c>
    </row>
    <row r="18">
      <c r="A18" s="8" t="inlineStr">
        <is>
          <t>Tier 2</t>
        </is>
      </c>
      <c r="B18" s="8" t="inlineStr">
        <is>
          <t>15 to 30 HCF</t>
        </is>
      </c>
      <c r="C18" s="34" t="n">
        <v>0.04</v>
      </c>
      <c r="D18" s="35" t="n">
        <v>30</v>
      </c>
    </row>
    <row r="19">
      <c r="A19" s="8" t="inlineStr">
        <is>
          <t>Tier 3</t>
        </is>
      </c>
      <c r="B19" s="8" t="inlineStr">
        <is>
          <t>30 to 50 HCF</t>
        </is>
      </c>
      <c r="C19" s="34" t="n">
        <v>0.06</v>
      </c>
      <c r="D19" s="35" t="n">
        <v>50</v>
      </c>
    </row>
    <row r="20">
      <c r="A20" s="8" t="inlineStr">
        <is>
          <t>Tier 4</t>
        </is>
      </c>
      <c r="B20" s="8" t="inlineStr">
        <is>
          <t>50 to 100 HCF</t>
        </is>
      </c>
      <c r="C20" s="34" t="n">
        <v>0.1</v>
      </c>
      <c r="D20" s="35" t="n">
        <v>100</v>
      </c>
    </row>
    <row r="21">
      <c r="A21" s="8" t="inlineStr">
        <is>
          <t>Tier 5</t>
        </is>
      </c>
      <c r="B21" s="8" t="inlineStr">
        <is>
          <t>100 to 150 HCF</t>
        </is>
      </c>
      <c r="C21" s="34" t="n">
        <v>0.25</v>
      </c>
      <c r="D21" s="35" t="n">
        <v>150</v>
      </c>
    </row>
    <row r="22">
      <c r="A22" s="8" t="inlineStr">
        <is>
          <t>Tier 6</t>
        </is>
      </c>
      <c r="B22" s="8" t="inlineStr">
        <is>
          <t>over 150 HCF</t>
        </is>
      </c>
      <c r="C22" s="34" t="n">
        <v>0.5</v>
      </c>
      <c r="D22" s="35" t="inlineStr">
        <is>
          <t>no limit</t>
        </is>
      </c>
    </row>
    <row r="24">
      <c r="A24" s="6" t="inlineStr">
        <is>
          <t>Flags on the filed rate table (nothing below is corrected)</t>
        </is>
      </c>
      <c r="B24" s="7" t="n"/>
      <c r="C24" s="7" t="n"/>
      <c r="D24" s="7" t="n"/>
    </row>
    <row r="25" ht="111" customHeight="1">
      <c r="A25" s="3" t="inlineStr">
        <is>
          <t>Tier 2 price: implausible as filed; checked against source. The filed tier 2 price of $0.04 per unit implies $0.04 per HCF, outside the $0.50 to $50.00 per HCF range a residential water rate plausibly takes. Carried exactly as filed and not corrected. Source: State Water Board eAR Section 8 / WRSFUsageCost2</t>
        </is>
      </c>
    </row>
    <row r="26" ht="111" customHeight="1">
      <c r="A26" s="3" t="inlineStr">
        <is>
          <t>Tier 3 price: implausible as filed; checked against source. The filed tier 3 price of $0.06 per unit implies $0.06 per HCF, outside the $0.50 to $50.00 per HCF range a residential water rate plausibly takes. Carried exactly as filed and not corrected. Source: State Water Board eAR Section 8 / WRSFUsageCost3</t>
        </is>
      </c>
    </row>
    <row r="27" ht="111" customHeight="1">
      <c r="A27" s="3" t="inlineStr">
        <is>
          <t>Tier 4 price: implausible as filed; checked against source. The filed tier 4 price of $0.10 per unit implies $0.10 per HCF, outside the $0.50 to $50.00 per HCF range a residential water rate plausibly takes. Carried exactly as filed and not corrected. Source: State Water Board eAR Section 8 / WRSFUsageCost4</t>
        </is>
      </c>
    </row>
    <row r="28" ht="111" customHeight="1">
      <c r="A28" s="3" t="inlineStr">
        <is>
          <t>Tier 5 price: implausible as filed; checked against source. The filed tier 5 price of $0.25 per unit implies $0.25 per HCF, outside the $0.50 to $50.00 per HCF range a residential water rate plausibly takes. Carried exactly as filed and not corrected. Source: State Water Board eAR Section 8 / WRSFUsageCost5</t>
        </is>
      </c>
    </row>
    <row r="30">
      <c r="A30" s="6" t="inlineStr">
        <is>
          <t>Representative monthly bill - LIVE (edit a yellow usage cell to recompute)</t>
        </is>
      </c>
      <c r="B30" s="7" t="n"/>
      <c r="C30" s="7" t="n"/>
      <c r="D30" s="7" t="n"/>
    </row>
    <row r="31">
      <c r="A31" s="30" t="inlineStr"/>
      <c r="B31" s="5" t="inlineStr">
        <is>
          <t>Low</t>
        </is>
      </c>
      <c r="C31" s="5" t="inlineStr">
        <is>
          <t>Median</t>
        </is>
      </c>
      <c r="D31" s="5" t="inlineStr">
        <is>
          <t>High</t>
        </is>
      </c>
    </row>
    <row r="32">
      <c r="A32" s="8" t="inlineStr">
        <is>
          <t>Usage per bill (HCF)</t>
        </is>
      </c>
      <c r="B32" s="36">
        <f>B11*$B$12</f>
        <v/>
      </c>
      <c r="C32" s="36">
        <f>C11*$B$12</f>
        <v/>
      </c>
      <c r="D32" s="36">
        <f>D11*$B$12</f>
        <v/>
      </c>
    </row>
    <row r="33">
      <c r="A33" s="8" t="inlineStr">
        <is>
          <t xml:space="preserve">    Tier 1 charge per bill ($)</t>
        </is>
      </c>
      <c r="B33" s="37">
        <f>$C$17*MAX(0,MIN(B32,$D$17)-0)</f>
        <v/>
      </c>
      <c r="C33" s="37">
        <f>$C$17*MAX(0,MIN(C32,$D$17)-0)</f>
        <v/>
      </c>
      <c r="D33" s="37">
        <f>$C$17*MAX(0,MIN(D32,$D$17)-0)</f>
        <v/>
      </c>
    </row>
    <row r="34">
      <c r="A34" s="8" t="inlineStr">
        <is>
          <t xml:space="preserve">    Tier 2 charge per bill ($)</t>
        </is>
      </c>
      <c r="B34" s="37">
        <f>$C$18*MAX(0,MIN(B32,$D$18)-$D$17)</f>
        <v/>
      </c>
      <c r="C34" s="37">
        <f>$C$18*MAX(0,MIN(C32,$D$18)-$D$17)</f>
        <v/>
      </c>
      <c r="D34" s="37">
        <f>$C$18*MAX(0,MIN(D32,$D$18)-$D$17)</f>
        <v/>
      </c>
    </row>
    <row r="35">
      <c r="A35" s="8" t="inlineStr">
        <is>
          <t xml:space="preserve">    Tier 3 charge per bill ($)</t>
        </is>
      </c>
      <c r="B35" s="37">
        <f>$C$19*MAX(0,MIN(B32,$D$19)-$D$18)</f>
        <v/>
      </c>
      <c r="C35" s="37">
        <f>$C$19*MAX(0,MIN(C32,$D$19)-$D$18)</f>
        <v/>
      </c>
      <c r="D35" s="37">
        <f>$C$19*MAX(0,MIN(D32,$D$19)-$D$18)</f>
        <v/>
      </c>
    </row>
    <row r="36">
      <c r="A36" s="8" t="inlineStr">
        <is>
          <t xml:space="preserve">    Tier 4 charge per bill ($)</t>
        </is>
      </c>
      <c r="B36" s="37">
        <f>$C$20*MAX(0,MIN(B32,$D$20)-$D$19)</f>
        <v/>
      </c>
      <c r="C36" s="37">
        <f>$C$20*MAX(0,MIN(C32,$D$20)-$D$19)</f>
        <v/>
      </c>
      <c r="D36" s="37">
        <f>$C$20*MAX(0,MIN(D32,$D$20)-$D$19)</f>
        <v/>
      </c>
    </row>
    <row r="37">
      <c r="A37" s="8" t="inlineStr">
        <is>
          <t xml:space="preserve">    Tier 5 charge per bill ($)</t>
        </is>
      </c>
      <c r="B37" s="37">
        <f>$C$21*MAX(0,MIN(B32,$D$21)-$D$20)</f>
        <v/>
      </c>
      <c r="C37" s="37">
        <f>$C$21*MAX(0,MIN(C32,$D$21)-$D$20)</f>
        <v/>
      </c>
      <c r="D37" s="37">
        <f>$C$21*MAX(0,MIN(D32,$D$21)-$D$20)</f>
        <v/>
      </c>
    </row>
    <row r="38">
      <c r="A38" s="8" t="inlineStr">
        <is>
          <t xml:space="preserve">    Tier 6 charge per bill ($)</t>
        </is>
      </c>
      <c r="B38" s="37">
        <f>$C$22*MAX(0,B32-$D$21)</f>
        <v/>
      </c>
      <c r="C38" s="37">
        <f>$C$22*MAX(0,C32-$D$21)</f>
        <v/>
      </c>
      <c r="D38" s="37">
        <f>$C$22*MAX(0,D32-$D$21)</f>
        <v/>
      </c>
    </row>
    <row r="39">
      <c r="A39" s="8" t="inlineStr">
        <is>
          <t>Volumetric charge per bill ($)</t>
        </is>
      </c>
      <c r="B39" s="37">
        <f>SUM(B33,B34,B35,B36,B37,B38)</f>
        <v/>
      </c>
      <c r="C39" s="37">
        <f>SUM(C33,C34,C35,C36,C37,C38)</f>
        <v/>
      </c>
      <c r="D39" s="37">
        <f>SUM(D33,D34,D35,D36,D37,D38)</f>
        <v/>
      </c>
    </row>
    <row r="40">
      <c r="A40" s="8" t="inlineStr">
        <is>
          <t>Base charge per bill ($)</t>
        </is>
      </c>
      <c r="B40" s="37">
        <f>$B$15</f>
        <v/>
      </c>
      <c r="C40" s="37">
        <f>$B$15</f>
        <v/>
      </c>
      <c r="D40" s="37">
        <f>$B$15</f>
        <v/>
      </c>
    </row>
    <row r="41">
      <c r="A41" s="8" t="inlineStr">
        <is>
          <t>Total per bill ($)</t>
        </is>
      </c>
      <c r="B41" s="37">
        <f>B40+B39</f>
        <v/>
      </c>
      <c r="C41" s="37">
        <f>C40+C39</f>
        <v/>
      </c>
      <c r="D41" s="37">
        <f>D40+D39</f>
        <v/>
      </c>
    </row>
    <row r="42">
      <c r="A42" s="10" t="inlineStr">
        <is>
          <t>Total per MONTH ($)</t>
        </is>
      </c>
      <c r="B42" s="38">
        <f>B41/$B$12</f>
        <v/>
      </c>
      <c r="C42" s="38">
        <f>C41/$B$12</f>
        <v/>
      </c>
      <c r="D42" s="38">
        <f>D41/$B$12</f>
        <v/>
      </c>
    </row>
    <row r="43">
      <c r="A43" s="8" t="inlineStr">
        <is>
          <t xml:space="preserve">    Fixed per month ($)</t>
        </is>
      </c>
      <c r="B43" s="37">
        <f>$B$15/$B$12</f>
        <v/>
      </c>
      <c r="C43" s="37">
        <f>$B$15/$B$12</f>
        <v/>
      </c>
      <c r="D43" s="37">
        <f>$B$15/$B$12</f>
        <v/>
      </c>
    </row>
    <row r="44">
      <c r="A44" s="8" t="inlineStr">
        <is>
          <t xml:space="preserve">    Volumetric per month ($)</t>
        </is>
      </c>
      <c r="B44" s="37">
        <f>B39/$B$12</f>
        <v/>
      </c>
      <c r="C44" s="37">
        <f>C39/$B$12</f>
        <v/>
      </c>
      <c r="D44" s="37">
        <f>D39/$B$12</f>
        <v/>
      </c>
    </row>
    <row r="45">
      <c r="A45" s="8" t="inlineStr">
        <is>
          <t>Effective price ($/HCF)</t>
        </is>
      </c>
      <c r="B45" s="37">
        <f>IF(B11=0,"",B42/B11)</f>
        <v/>
      </c>
      <c r="C45" s="37">
        <f>IF(C11=0,"",C42/C11)</f>
        <v/>
      </c>
      <c r="D45" s="37">
        <f>IF(D11=0,"",D42/D11)</f>
        <v/>
      </c>
    </row>
    <row r="47">
      <c r="A47" s="6" t="inlineStr">
        <is>
          <t>Rate-structure comparison metrics</t>
        </is>
      </c>
      <c r="B47" s="7" t="n"/>
      <c r="C47" s="7" t="n"/>
      <c r="D47" s="7" t="n"/>
    </row>
    <row r="48">
      <c r="A48" s="8" t="inlineStr">
        <is>
          <t>Fixed share of the bill at median usage</t>
        </is>
      </c>
      <c r="B48" s="39">
        <f>C43/C42</f>
        <v/>
      </c>
      <c r="C48" s="13" t="inlineStr">
        <is>
          <t>fixed / total at 10 HCF/month</t>
        </is>
      </c>
    </row>
    <row r="49">
      <c r="A49" s="8" t="inlineStr">
        <is>
          <t>Tier price ratio (highest to lowest positive tier)</t>
        </is>
      </c>
      <c r="B49" s="40">
        <f>$C$22/$C$18</f>
        <v/>
      </c>
      <c r="C49" s="13" t="inlineStr">
        <is>
          <t>first tier is a $0.00 allowance included in the base charge; the ratio uses the lowest POSITIVE tier price.</t>
        </is>
      </c>
    </row>
    <row r="50">
      <c r="A50" s="8" t="inlineStr">
        <is>
          <t>Rate structure (as filed)</t>
        </is>
      </c>
      <c r="B50" s="41" t="inlineStr">
        <is>
          <t>tiered (Variable Base)</t>
        </is>
      </c>
    </row>
    <row r="52" ht="66" customHeight="1">
      <c r="A52" s="3" t="inlineStr">
        <is>
          <t>State Water Board eAR Section 8a (Customer Charges), single- and multi-family residential charges grid, reporting year 2024. Rate structure only; no revenue.</t>
        </is>
      </c>
    </row>
  </sheetData>
  <mergeCells count="11">
    <mergeCell ref="A1:D1"/>
    <mergeCell ref="A5:D5"/>
    <mergeCell ref="A27:D27"/>
    <mergeCell ref="A6:D6"/>
    <mergeCell ref="A3:D3"/>
    <mergeCell ref="A26:D26"/>
    <mergeCell ref="A52:D52"/>
    <mergeCell ref="A7:D7"/>
    <mergeCell ref="A25:D25"/>
    <mergeCell ref="A2:D2"/>
    <mergeCell ref="A28:D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Sisar Mutual Water Company</t>
        </is>
      </c>
    </row>
    <row r="2">
      <c r="A2" s="2" t="inlineStr">
        <is>
          <t>eAR annual revenue and expenses - State Water Board eAR Section 8b (USD)</t>
        </is>
      </c>
    </row>
    <row r="3">
      <c r="A3" s="2" t="inlineStr">
        <is>
          <t>Entity ID: cawc_0014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calendar year 2023</t>
        </is>
      </c>
      <c r="C6" s="22"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157665</v>
      </c>
      <c r="C10" s="22" t="inlineStr">
        <is>
          <t>State Water Board eAR Section 8b, question B1.1 + B1.2 (revenue from water rates), reporting year 2023</t>
        </is>
      </c>
    </row>
    <row r="11">
      <c r="A11" s="20" t="inlineStr">
        <is>
          <t>Other fees and charges</t>
        </is>
      </c>
      <c r="B11" s="9" t="n">
        <v>500</v>
      </c>
      <c r="C11" s="22" t="inlineStr">
        <is>
          <t>State Water Board eAR Section 8b, question B1.3 + B1.4 (revenue from other fees), reporting year 2023</t>
        </is>
      </c>
    </row>
    <row r="12">
      <c r="A12" s="20" t="inlineStr">
        <is>
          <t>Non-customer revenue</t>
        </is>
      </c>
      <c r="B12" s="9" t="n">
        <v>0</v>
      </c>
      <c r="C12" s="22" t="inlineStr">
        <is>
          <t>State Water Board eAR Section 8b, question B1.7 (grants, interest, and other non-customer), reporting year 2023</t>
        </is>
      </c>
    </row>
    <row r="13">
      <c r="A13" s="20" t="inlineStr">
        <is>
          <t>Total annual revenue</t>
        </is>
      </c>
      <c r="B13" s="42" t="n">
        <v>158165</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176668</v>
      </c>
      <c r="C17" s="22" t="inlineStr">
        <is>
          <t>State Water Board eAR Section 8b, question B2.1 (annual O and M expense), reporting year 2023</t>
        </is>
      </c>
    </row>
    <row r="18">
      <c r="A18" s="20" t="inlineStr">
        <is>
          <t>Capital</t>
        </is>
      </c>
      <c r="B18" s="9" t="n">
        <v>0</v>
      </c>
      <c r="C18" s="22" t="inlineStr">
        <is>
          <t>State Water Board eAR Section 8b, question B2.2 (annual expenses from investing or capital), reporting year 2023</t>
        </is>
      </c>
    </row>
    <row r="19">
      <c r="A19" s="20" t="inlineStr">
        <is>
          <t>Financing</t>
        </is>
      </c>
      <c r="B19" s="9" t="n">
        <v>0</v>
      </c>
      <c r="C19" s="22" t="inlineStr">
        <is>
          <t>State Water Board eAR Section 8b, question B2.3 (annual expenses from financing), reporting year 2023</t>
        </is>
      </c>
    </row>
    <row r="20">
      <c r="A20" s="20" t="inlineStr">
        <is>
          <t>Other</t>
        </is>
      </c>
      <c r="B20" s="9" t="n">
        <v>0</v>
      </c>
      <c r="C20" s="22" t="inlineStr">
        <is>
          <t>State Water Board eAR Section 8b, question B2.4 (total other annual expenses), reporting year 2023</t>
        </is>
      </c>
    </row>
    <row r="21">
      <c r="A21" s="20" t="inlineStr">
        <is>
          <t>Total annual expenses</t>
        </is>
      </c>
      <c r="B21" s="42" t="n">
        <v>176668</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158165</v>
      </c>
      <c r="C25" s="9" t="n">
        <v>158846</v>
      </c>
    </row>
    <row r="26">
      <c r="A26" s="15" t="inlineStr">
        <is>
          <t>Variance (eAR minus Form 990)</t>
        </is>
      </c>
      <c r="B26" s="16">
        <f>B25-C25</f>
        <v/>
      </c>
      <c r="C26" s="43"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176668</v>
      </c>
      <c r="C28" s="9" t="n">
        <v>175427</v>
      </c>
    </row>
    <row r="29">
      <c r="A29" s="15" t="inlineStr">
        <is>
          <t>Variance (eAR minus Form 990)</t>
        </is>
      </c>
      <c r="B29" s="16">
        <f>B28-C28</f>
        <v/>
      </c>
      <c r="C29" s="43"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Sisar Mutual Water Company</t>
        </is>
      </c>
    </row>
    <row r="2">
      <c r="A2" s="2" t="inlineStr">
        <is>
          <t>Denominators and calendar alignment</t>
        </is>
      </c>
    </row>
    <row r="3">
      <c r="A3" s="2" t="inlineStr">
        <is>
          <t>Entity ID: cawc_0014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110</v>
      </c>
      <c r="C7" s="22" t="inlineStr">
        <is>
          <t>State Water Board eAR Section 4 (CurTotalConnections), reporting year 2024</t>
        </is>
      </c>
    </row>
    <row r="8">
      <c r="A8" s="20" t="inlineStr">
        <is>
          <t>SDWIS service-connection count (different registry)</t>
        </is>
      </c>
      <c r="B8" s="21" t="n">
        <v>110</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(2021-12-31)</t>
        </is>
      </c>
      <c r="B14" s="21" t="n">
        <v>106</v>
      </c>
      <c r="C14" s="14" t="inlineStr">
        <is>
          <t>not reported</t>
        </is>
      </c>
      <c r="D14" s="21" t="n">
        <v>449.2</v>
      </c>
      <c r="E14" s="21" t="n">
        <v>5900.8</v>
      </c>
      <c r="F14" s="21" t="n">
        <v>5508.9</v>
      </c>
      <c r="G14" s="23" t="inlineStr">
        <is>
          <t>eAR annual total, calendar filer, equals fiscal year (not a monthly recast)</t>
        </is>
      </c>
    </row>
    <row r="15" ht="40" customHeight="1">
      <c r="A15" s="8" t="inlineStr">
        <is>
          <t>FY2022 (2022-12-31)</t>
        </is>
      </c>
      <c r="B15" s="21" t="n">
        <v>106</v>
      </c>
      <c r="C15" s="14" t="inlineStr">
        <is>
          <t>not reported</t>
        </is>
      </c>
      <c r="D15" s="21" t="n">
        <v>449.2</v>
      </c>
      <c r="E15" s="21" t="n">
        <v>5723.8</v>
      </c>
      <c r="F15" s="21" t="n">
        <v>5603.8</v>
      </c>
      <c r="G15" s="23" t="inlineStr">
        <is>
          <t>eAR annual total, calendar filer, equals fiscal year (not a monthly recast)</t>
        </is>
      </c>
    </row>
    <row r="16" ht="40" customHeight="1">
      <c r="A16" s="8" t="inlineStr">
        <is>
          <t>FY2023 (2023-12-31)</t>
        </is>
      </c>
      <c r="B16" s="21" t="n">
        <v>106</v>
      </c>
      <c r="C16" s="21" t="n">
        <v>340</v>
      </c>
      <c r="D16" s="21" t="n">
        <v>449.2</v>
      </c>
      <c r="E16" s="14" t="inlineStr">
        <is>
          <t>not reported</t>
        </is>
      </c>
      <c r="F16" s="14" t="inlineStr">
        <is>
          <t>not reported</t>
        </is>
      </c>
      <c r="G16" s="23" t="inlineStr">
        <is>
          <t>eAR annual total, calendar filer, equals fiscal year (not a monthly recast)</t>
        </is>
      </c>
    </row>
    <row r="17" ht="40" customHeight="1">
      <c r="A17" s="8" t="inlineStr">
        <is>
          <t>FY2024 (2024-12-31)</t>
        </is>
      </c>
      <c r="B17" s="21" t="n">
        <v>110</v>
      </c>
      <c r="C17" s="21" t="n">
        <v>340</v>
      </c>
      <c r="D17" s="21" t="n">
        <v>449.2</v>
      </c>
      <c r="E17" s="14" t="inlineStr">
        <is>
          <t>not reported</t>
        </is>
      </c>
      <c r="F17" s="14" t="inlineStr">
        <is>
          <t>not reported</t>
        </is>
      </c>
      <c r="G17" s="23" t="inlineStr">
        <is>
          <t>eAR annual total, calendar filer, equals fiscal year (not a monthly recast)</t>
        </is>
      </c>
    </row>
    <row r="18" ht="40" customHeight="1">
      <c r="A18" s="8" t="inlineStr">
        <is>
          <t>FY2025 (2025-12-31)</t>
        </is>
      </c>
      <c r="B18" s="21" t="n">
        <v>110</v>
      </c>
      <c r="C18" s="21" t="n">
        <v>340</v>
      </c>
      <c r="D18" s="21" t="n">
        <v>449.2</v>
      </c>
      <c r="E18" s="14" t="inlineStr">
        <is>
          <t>not reported</t>
        </is>
      </c>
      <c r="F18" s="14" t="inlineStr">
        <is>
          <t>not reported</t>
        </is>
      </c>
      <c r="G18" s="23" t="inlineStr">
        <is>
          <t>eAR annual total, calendar filer, equals fiscal year (not a monthly recast)</t>
        </is>
      </c>
    </row>
    <row r="20">
      <c r="A20" s="6" t="inlineStr">
        <is>
          <t>Connections by class - FY2025 (eAR Section 4)</t>
        </is>
      </c>
      <c r="B20" s="7" t="n"/>
      <c r="C20" s="7" t="n"/>
      <c r="D20" s="7" t="n"/>
      <c r="E20" s="7" t="n"/>
      <c r="F20" s="7" t="n"/>
      <c r="G20" s="7" t="n"/>
    </row>
    <row r="21">
      <c r="A21" s="20" t="inlineStr">
        <is>
          <t>Single-family residential</t>
        </is>
      </c>
      <c r="B21" s="21" t="n">
        <v>99</v>
      </c>
      <c r="C21" s="22" t="inlineStr"/>
    </row>
    <row r="22">
      <c r="A22" s="20" t="inlineStr">
        <is>
          <t>Multi-family residential</t>
        </is>
      </c>
      <c r="B22" s="21" t="n">
        <v>9</v>
      </c>
      <c r="C22" s="22" t="inlineStr"/>
    </row>
    <row r="23">
      <c r="A23" s="20" t="inlineStr">
        <is>
          <t>Commercial and institutional</t>
        </is>
      </c>
      <c r="B23" s="21" t="n">
        <v>2</v>
      </c>
      <c r="C23" s="22"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4:G24"/>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Sisar Mutual Water Company</t>
        </is>
      </c>
    </row>
    <row r="2">
      <c r="A2" s="2" t="inlineStr">
        <is>
          <t>Governance evidence status - Ostrom's eight design principles</t>
        </is>
      </c>
    </row>
    <row r="3">
      <c r="A3" s="2" t="inlineStr">
        <is>
          <t>Entity ID: cawc_0014   |   Fiscal year ends December 31.</t>
        </is>
      </c>
    </row>
    <row r="5">
      <c r="A5" s="44"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110 service connections over a State-published service-area boundary.</t>
        </is>
      </c>
      <c r="D10" s="23" t="inlineStr">
        <is>
          <t>SDWIS Community water system; SABL service-area boundary (not verified (sabl)); connections defined.</t>
        </is>
      </c>
      <c r="E10" s="45"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45"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45"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45"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45"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45"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(501(c)(12)) and by the State Water Board as a public water system.</t>
        </is>
      </c>
      <c r="D22" s="23" t="inlineStr">
        <is>
          <t>IRS 501(c)(12) exempt filer (Form 990); SDWIS public water system.</t>
        </is>
      </c>
      <c r="E22" s="45"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0235505, first registered 04/14/1949, status as filed "Active", with a governing body named in the Statement of Information filed 2/24/2026.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PARTIAL</t>
        </is>
      </c>
      <c r="C24" s="23" t="inlineStr">
        <is>
          <t>The system draws on a shared local groundwater basin, embedding it in a larger physical water system, though its role in basin governance is not documented.</t>
        </is>
      </c>
      <c r="D24" s="23" t="inlineStr">
        <is>
          <t>SDWIS Primary Water Source Type: groundwater (shared basin).</t>
        </is>
      </c>
      <c r="E24" s="45"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Sisar Mutual Water Company</t>
        </is>
      </c>
    </row>
    <row r="2">
      <c r="A2" s="2" t="inlineStr">
        <is>
          <t>Operational metrics - plant per acre, density, terrain</t>
        </is>
      </c>
    </row>
    <row r="3">
      <c r="A3" s="2" t="inlineStr">
        <is>
          <t>Entity ID: cawc_0014   |   Fiscal year ends December 31.</t>
        </is>
      </c>
    </row>
    <row r="5">
      <c r="A5" s="6" t="inlineStr">
        <is>
          <t>Plant assets per acre</t>
        </is>
      </c>
      <c r="B5" s="7" t="n"/>
      <c r="C5" s="7" t="n"/>
    </row>
    <row r="6">
      <c r="A6" s="20" t="inlineStr">
        <is>
          <t>Service-area acres</t>
        </is>
      </c>
      <c r="B6" s="46" t="n">
        <v>449.2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3252.8161</v>
      </c>
      <c r="C8" s="9" t="n">
        <v>1071.4069</v>
      </c>
    </row>
    <row r="9">
      <c r="A9" s="18" t="inlineStr">
        <is>
          <t>FY2022</t>
        </is>
      </c>
      <c r="B9" s="9" t="n">
        <v>3279.9243</v>
      </c>
      <c r="C9" s="9" t="n">
        <v>1025.0824</v>
      </c>
    </row>
    <row r="10">
      <c r="A10" s="18" t="inlineStr">
        <is>
          <t>FY2023</t>
        </is>
      </c>
      <c r="B10" s="9" t="n">
        <v>4205.1291</v>
      </c>
      <c r="C10" s="9" t="n">
        <v>1880.1759</v>
      </c>
    </row>
    <row r="11">
      <c r="A11" s="18" t="inlineStr">
        <is>
          <t>FY2024</t>
        </is>
      </c>
      <c r="B11" s="9" t="n">
        <v>4407.126</v>
      </c>
      <c r="C11" s="9" t="n">
        <v>1929.0316</v>
      </c>
    </row>
    <row r="12">
      <c r="A12" s="18" t="inlineStr">
        <is>
          <t>FY2025</t>
        </is>
      </c>
      <c r="B12" s="9" t="n">
        <v>4488.6621</v>
      </c>
      <c r="C12" s="9" t="n">
        <v>1902.362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0.24</v>
      </c>
      <c r="C19" s="22" t="inlineStr">
        <is>
          <t>110 connections / 449.2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canyon</t>
        </is>
      </c>
      <c r="C22" s="22" t="inlineStr">
        <is>
          <t>Company context page (BLUEPRINT 5B)</t>
        </is>
      </c>
    </row>
    <row r="23" ht="111" customHeight="1">
      <c r="A23" s="3" t="inlineStr">
        <is>
          <t>A California mutual water company (501(c)(12)) serving about 110 service connections and roughly 340 residents in the Sisar Canyon and Upper Ojai area between Ojai and Santa Paula, Ventura County, on canyon and upper-valley terrain.</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Sisar Mutual Water Company</t>
        </is>
      </c>
    </row>
    <row r="2">
      <c r="A2" s="2" t="inlineStr">
        <is>
          <t>Supply and weather indicators (DWR water year)</t>
        </is>
      </c>
    </row>
    <row r="3">
      <c r="A3" s="2" t="inlineStr">
        <is>
          <t>Entity ID: cawc_0014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5" t="inlineStr">
        <is>
          <t>Critical</t>
        </is>
      </c>
      <c r="C8" s="45" t="inlineStr">
        <is>
          <t>Critical</t>
        </is>
      </c>
      <c r="D8" s="45" t="inlineStr">
        <is>
          <t>Wet</t>
        </is>
      </c>
      <c r="E8" s="45" t="inlineStr">
        <is>
          <t>Above Normal</t>
        </is>
      </c>
      <c r="F8" s="47" t="inlineStr">
        <is>
          <t>not reported</t>
        </is>
      </c>
    </row>
    <row r="9">
      <c r="A9" s="8" t="inlineStr">
        <is>
          <t>Peak drought, Ventura County</t>
        </is>
      </c>
      <c r="B9" s="45" t="inlineStr">
        <is>
          <t>D4</t>
        </is>
      </c>
      <c r="C9" s="45" t="inlineStr">
        <is>
          <t>D4</t>
        </is>
      </c>
      <c r="D9" s="45" t="inlineStr">
        <is>
          <t>D3</t>
        </is>
      </c>
      <c r="E9" s="45" t="inlineStr">
        <is>
          <t>None (no D0-D4 during the fiscal year)</t>
        </is>
      </c>
      <c r="F9" s="45" t="inlineStr">
        <is>
          <t>D3</t>
        </is>
      </c>
    </row>
    <row r="10">
      <c r="A10" s="8" t="inlineStr">
        <is>
          <t>Precip, percent of normal (8-Station Index)</t>
        </is>
      </c>
      <c r="B10" s="45" t="inlineStr">
        <is>
          <t>48</t>
        </is>
      </c>
      <c r="C10" s="45" t="inlineStr">
        <is>
          <t>86</t>
        </is>
      </c>
      <c r="D10" s="45" t="inlineStr">
        <is>
          <t>133</t>
        </is>
      </c>
      <c r="E10" s="45" t="inlineStr">
        <is>
          <t>96</t>
        </is>
      </c>
      <c r="F10" s="45" t="inlineStr">
        <is>
          <t>113</t>
        </is>
      </c>
    </row>
    <row r="11">
      <c r="A11" s="8" t="inlineStr">
        <is>
          <t>Snowpack, April 1 percent of average</t>
        </is>
      </c>
      <c r="B11" s="45" t="inlineStr">
        <is>
          <t>59%</t>
        </is>
      </c>
      <c r="C11" s="45" t="inlineStr">
        <is>
          <t>38%</t>
        </is>
      </c>
      <c r="D11" s="45" t="inlineStr">
        <is>
          <t>237%</t>
        </is>
      </c>
      <c r="E11" s="45" t="inlineStr">
        <is>
          <t>110%</t>
        </is>
      </c>
      <c r="F11" s="45" t="inlineStr">
        <is>
          <t>96%</t>
        </is>
      </c>
    </row>
    <row r="12">
      <c r="A12" s="8" t="inlineStr">
        <is>
          <t>State Water Project allocation</t>
        </is>
      </c>
      <c r="B12" s="45" t="inlineStr">
        <is>
          <t>5%</t>
        </is>
      </c>
      <c r="C12" s="45" t="inlineStr">
        <is>
          <t>5%</t>
        </is>
      </c>
      <c r="D12" s="45" t="inlineStr">
        <is>
          <t>100%</t>
        </is>
      </c>
      <c r="E12" s="45" t="inlineStr">
        <is>
          <t>40%</t>
        </is>
      </c>
      <c r="F12" s="45"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Sisar Mutual Water Company</t>
        </is>
      </c>
    </row>
    <row r="2">
      <c r="A2" s="2" t="inlineStr">
        <is>
          <t>How this was built - forensic lineage</t>
        </is>
      </c>
    </row>
    <row r="3">
      <c r="A3" s="2" t="inlineStr">
        <is>
          <t>Entity ID: cawc_0014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$158,846 (990 program-service revenue) minus $157,665 (eAR water-rate revenue) = $1,181.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Sisar Mutual Water Company</t>
        </is>
      </c>
    </row>
    <row r="2">
      <c r="A2" s="2" t="inlineStr">
        <is>
          <t>Water Operations (sourced outside the financial filings)</t>
        </is>
      </c>
    </row>
    <row r="3">
      <c r="A3" s="2" t="inlineStr">
        <is>
          <t>Entity ID: cawc_0014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45" t="n">
        <v>2024</v>
      </c>
      <c r="E8" s="8" t="inlineStr">
        <is>
          <t>high</t>
        </is>
      </c>
      <c r="F8" s="23" t="inlineStr">
        <is>
          <t>SISAR MUTUAL WATER CO: State Water System Type = Community.</t>
        </is>
      </c>
    </row>
    <row r="9" ht="42" customHeight="1">
      <c r="A9" s="8" t="inlineStr">
        <is>
          <t>Source mix</t>
        </is>
      </c>
      <c r="B9" s="23" t="inlineStr">
        <is>
          <t>Primary source: local groundwater wells (SDWIS Primary Water Source Type: Groundwater). SDWIS classifies the primary supply type; it states no acre-foot volume by source.</t>
        </is>
      </c>
      <c r="C9" s="8" t="inlineStr">
        <is>
          <t>SDWIS Drinking Water Watch (State Water Board)</t>
        </is>
      </c>
      <c r="D9" s="45" t="n">
        <v>2024</v>
      </c>
      <c r="E9" s="8" t="inlineStr">
        <is>
          <t>high</t>
        </is>
      </c>
      <c r="F9" s="23" t="inlineStr">
        <is>
          <t>SISAR MUTUAL WATER CO: Primary Water Source Type = Groundwater.</t>
        </is>
      </c>
    </row>
    <row r="10" ht="42" customHeight="1">
      <c r="A10" s="8" t="inlineStr">
        <is>
          <t>Service connections (total)</t>
        </is>
      </c>
      <c r="B10" s="23" t="inlineStr">
        <is>
          <t>110 connections</t>
        </is>
      </c>
      <c r="C10" s="8" t="inlineStr">
        <is>
          <t>SDWIS Drinking Water Watch (State Water Board)</t>
        </is>
      </c>
      <c r="D10" s="45" t="n">
        <v>2024</v>
      </c>
      <c r="E10" s="8" t="inlineStr">
        <is>
          <t>high</t>
        </is>
      </c>
      <c r="F10" s="23" t="inlineStr">
        <is>
          <t>SISAR MUTUAL WATER CO: Total Number of Service Connections = 110.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108; Commercial 2; Total 110.</t>
        </is>
      </c>
      <c r="C11" s="8" t="inlineStr">
        <is>
          <t>SDWIS Drinking Water Watch (State Water Board)</t>
        </is>
      </c>
      <c r="D11" s="45" t="n">
        <v>2024</v>
      </c>
      <c r="E11" s="8" t="inlineStr">
        <is>
          <t>high</t>
        </is>
      </c>
      <c r="F11" s="23" t="inlineStr">
        <is>
          <t>SISAR MUTUAL WATER CO: connections by type - Residential 108; Commercial 2; Total 110.</t>
        </is>
      </c>
    </row>
    <row r="12" ht="42" customHeight="1">
      <c r="A12" s="8" t="inlineStr">
        <is>
          <t>Population served</t>
        </is>
      </c>
      <c r="B12" s="23" t="inlineStr">
        <is>
          <t>340 residents</t>
        </is>
      </c>
      <c r="C12" s="8" t="inlineStr">
        <is>
          <t>SDWIS Drinking Water Watch (State Water Board)</t>
        </is>
      </c>
      <c r="D12" s="45" t="n">
        <v>2024</v>
      </c>
      <c r="E12" s="8" t="inlineStr">
        <is>
          <t>high</t>
        </is>
      </c>
      <c r="F12" s="23" t="inlineStr">
        <is>
          <t>SISAR MUTUAL WATER CO: Total Population = 340.</t>
        </is>
      </c>
    </row>
    <row r="13" ht="42" customHeight="1">
      <c r="A13" s="8" t="inlineStr">
        <is>
          <t>Treatment and water quality</t>
        </is>
      </c>
      <c r="B13" s="23" t="inlineStr">
        <is>
          <t>Operator certification on file: Treatment or distribution operator of any grade; Distribution Operator Level 1. SDWIS states operator grades, not the treatment process detail.</t>
        </is>
      </c>
      <c r="C13" s="8" t="inlineStr">
        <is>
          <t>SDWIS Drinking Water Watch (State Water Board)</t>
        </is>
      </c>
      <c r="D13" s="45" t="n">
        <v>2024</v>
      </c>
      <c r="E13" s="8" t="inlineStr">
        <is>
          <t>high</t>
        </is>
      </c>
      <c r="F13" s="23" t="inlineStr">
        <is>
          <t>SISAR MUTUAL WATER CO: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43" t="n"/>
      <c r="D16" s="43" t="n"/>
      <c r="E16" s="43" t="n"/>
      <c r="F16" s="43" t="n"/>
    </row>
    <row r="17" ht="30" customHeight="1">
      <c r="A17" s="8" t="inlineStr">
        <is>
          <t>Customer classes served</t>
        </is>
      </c>
      <c r="B17" s="22" t="inlineStr">
        <is>
          <t>not reported - needs the State Water Board eAR or the system CCR</t>
        </is>
      </c>
      <c r="C17" s="43" t="n"/>
      <c r="D17" s="43" t="n"/>
      <c r="E17" s="43" t="n"/>
      <c r="F17" s="43"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0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Sisar Mutual Water Company</t>
        </is>
      </c>
    </row>
    <row r="2">
      <c r="A2" s="2" t="inlineStr">
        <is>
          <t>Sources &amp; audit - full provenance and tie-outs (kept off the statements so they read clean)</t>
        </is>
      </c>
    </row>
    <row r="3">
      <c r="A3" s="2" t="inlineStr">
        <is>
          <t>Entity ID: cawc_0014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5" t="inlineStr">
        <is>
          <t>FY2020</t>
        </is>
      </c>
      <c r="B10" s="8" t="inlineStr">
        <is>
          <t>2020-12-31</t>
        </is>
      </c>
      <c r="C10" s="8" t="inlineStr">
        <is>
          <t>990</t>
        </is>
      </c>
      <c r="D10" s="8" t="inlineStr">
        <is>
          <t>high</t>
        </is>
      </c>
      <c r="E10" s="8" t="inlineStr">
        <is>
          <t>7e1eaeeb-6489-40e2-9fbd-31ab9e0bd9e1</t>
        </is>
      </c>
      <c r="F10" s="8" t="inlineStr">
        <is>
          <t>202100769349300200</t>
        </is>
      </c>
      <c r="G10" s="8" t="inlineStr">
        <is>
          <t>claude-opus-5</t>
        </is>
      </c>
      <c r="H10" s="8" t="inlineStr">
        <is>
          <t>2026-09-16T21:34:13+00:00</t>
        </is>
      </c>
      <c r="I10" s="8" t="inlineStr">
        <is>
          <t>https://apps.irs.gov/pub/epostcard/990/xml/2021/2021_TEOS_XML_01A.zip#202100769349300200_public.xml</t>
        </is>
      </c>
    </row>
    <row r="11">
      <c r="A11" s="45" t="inlineStr">
        <is>
          <t>FY2021</t>
        </is>
      </c>
      <c r="B11" s="8" t="inlineStr">
        <is>
          <t>2021-12-31</t>
        </is>
      </c>
      <c r="C11" s="8" t="inlineStr">
        <is>
          <t>990</t>
        </is>
      </c>
      <c r="D11" s="8" t="inlineStr">
        <is>
          <t>high</t>
        </is>
      </c>
      <c r="E11" s="8" t="inlineStr">
        <is>
          <t>004aa906-1042-486f-bd5f-a968a1faaa1c</t>
        </is>
      </c>
      <c r="F11" s="8" t="inlineStr">
        <is>
          <t>202200629349300000</t>
        </is>
      </c>
      <c r="G11" s="8" t="inlineStr">
        <is>
          <t>claude-opus-5</t>
        </is>
      </c>
      <c r="H11" s="8" t="inlineStr">
        <is>
          <t>2026-09-16T21:34:13+00:00</t>
        </is>
      </c>
      <c r="I11" s="8" t="inlineStr">
        <is>
          <t>https://apps.irs.gov/pub/epostcard/990/xml/2022/2022_TEOS_XML_01A.zip#202200629349300000_public.xml</t>
        </is>
      </c>
    </row>
    <row r="12">
      <c r="A12" s="45" t="inlineStr">
        <is>
          <t>FY2022</t>
        </is>
      </c>
      <c r="B12" s="8" t="inlineStr">
        <is>
          <t>2022-12-31</t>
        </is>
      </c>
      <c r="C12" s="8" t="inlineStr">
        <is>
          <t>990</t>
        </is>
      </c>
      <c r="D12" s="8" t="inlineStr">
        <is>
          <t>high</t>
        </is>
      </c>
      <c r="E12" s="8" t="inlineStr">
        <is>
          <t>d59a22a0-9204-4881-91c8-928ff76308ed</t>
        </is>
      </c>
      <c r="F12" s="8" t="inlineStr">
        <is>
          <t>202321359349300402</t>
        </is>
      </c>
      <c r="G12" s="8" t="inlineStr">
        <is>
          <t>claude-opus-5</t>
        </is>
      </c>
      <c r="H12" s="8" t="inlineStr">
        <is>
          <t>2026-09-16T21:34:13+00:00</t>
        </is>
      </c>
      <c r="I12" s="8" t="inlineStr">
        <is>
          <t>https://apps.irs.gov/pub/epostcard/990/xml/2023/2023_TEOS_XML_05A.zip#202321359349300402_public.xml</t>
        </is>
      </c>
    </row>
    <row r="13">
      <c r="A13" s="45" t="inlineStr">
        <is>
          <t>FY2023</t>
        </is>
      </c>
      <c r="B13" s="8" t="inlineStr">
        <is>
          <t>2023-12-31</t>
        </is>
      </c>
      <c r="C13" s="8" t="inlineStr">
        <is>
          <t>990</t>
        </is>
      </c>
      <c r="D13" s="8" t="inlineStr">
        <is>
          <t>high</t>
        </is>
      </c>
      <c r="E13" s="8" t="inlineStr">
        <is>
          <t>55f1b7d4-6735-45f5-a870-b6c53013418f</t>
        </is>
      </c>
      <c r="F13" s="8" t="inlineStr">
        <is>
          <t>202400659349300000</t>
        </is>
      </c>
      <c r="G13" s="8" t="inlineStr">
        <is>
          <t>claude-opus-5</t>
        </is>
      </c>
      <c r="H13" s="8" t="inlineStr">
        <is>
          <t>2026-09-16T21:34:13+00:00</t>
        </is>
      </c>
      <c r="I13" s="8" t="inlineStr">
        <is>
          <t>https://apps.irs.gov/pub/epostcard/990/xml/2024/2024_TEOS_XML_03A.zip#202400659349300000_public.xml</t>
        </is>
      </c>
    </row>
    <row r="14">
      <c r="A14" s="45" t="inlineStr">
        <is>
          <t>FY2024</t>
        </is>
      </c>
      <c r="B14" s="8" t="inlineStr">
        <is>
          <t>2024-12-31</t>
        </is>
      </c>
      <c r="C14" s="8" t="inlineStr">
        <is>
          <t>990</t>
        </is>
      </c>
      <c r="D14" s="8" t="inlineStr">
        <is>
          <t>high</t>
        </is>
      </c>
      <c r="E14" s="8" t="inlineStr">
        <is>
          <t>edb6946f-fa25-4c56-ab32-ecb589094aeb</t>
        </is>
      </c>
      <c r="F14" s="8" t="inlineStr">
        <is>
          <t>202510699349301406</t>
        </is>
      </c>
      <c r="G14" s="8" t="inlineStr">
        <is>
          <t>claude-opus-5</t>
        </is>
      </c>
      <c r="H14" s="8" t="inlineStr">
        <is>
          <t>2026-09-16T21:34:13+00:00</t>
        </is>
      </c>
      <c r="I14" s="8" t="inlineStr">
        <is>
          <t>https://apps.irs.gov/pub/epostcard/990/xml/2025/2025_TEOS_XML_03A.zip#202510699349301406_public.xml</t>
        </is>
      </c>
    </row>
    <row r="15">
      <c r="A15" s="45" t="inlineStr">
        <is>
          <t>FY2025</t>
        </is>
      </c>
      <c r="B15" s="8" t="inlineStr">
        <is>
          <t>2025-12-31</t>
        </is>
      </c>
      <c r="C15" s="8" t="inlineStr">
        <is>
          <t>990</t>
        </is>
      </c>
      <c r="D15" s="8" t="inlineStr">
        <is>
          <t>high</t>
        </is>
      </c>
      <c r="E15" s="8" t="inlineStr">
        <is>
          <t>fd4d2a84-0116-4e50-86ec-e1827b152b0c</t>
        </is>
      </c>
      <c r="F15" s="8" t="inlineStr">
        <is>
          <t>202620699349301132</t>
        </is>
      </c>
      <c r="G15" s="8" t="inlineStr">
        <is>
          <t>claude-opus-5</t>
        </is>
      </c>
      <c r="H15" s="8" t="inlineStr">
        <is>
          <t>2026-09-16T21:34:13+00:00</t>
        </is>
      </c>
      <c r="I15" s="8" t="inlineStr">
        <is>
          <t>https://apps.irs.gov/pub/epostcard/990/xml/2026/2026_TEOS_XML_03A.zip#202620699349301132_public.xml</t>
        </is>
      </c>
    </row>
    <row r="17">
      <c r="A17" s="4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134980</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130965</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131599</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158846</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188669</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131040</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0</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0</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0</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2133</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750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5205</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0</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0</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0</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0</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0</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0</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0</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0</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33</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232</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0</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29144</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30551</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32986</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55829</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68791</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48606</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3771</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4268</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5858</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6572</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7960</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8125</v>
      </c>
    </row>
    <row r="229">
      <c r="A229" s="8" t="inlineStr">
        <is>
          <t>Operating expenses (detail)</t>
        </is>
      </c>
      <c r="B229" s="8" t="inlineStr">
        <is>
          <t>B44</t>
        </is>
      </c>
      <c r="C229" s="8" t="inlineStr">
        <is>
          <t>24e. All other expenses</t>
        </is>
      </c>
      <c r="D229" s="8" t="inlineStr">
        <is>
          <t>24e</t>
        </is>
      </c>
      <c r="E229" s="8" t="inlineStr">
        <is>
          <t>part_ix_expenses.all_other_expenses</t>
        </is>
      </c>
      <c r="F229" s="8" t="inlineStr">
        <is>
          <t>high</t>
        </is>
      </c>
      <c r="G229" s="9" t="n">
        <v>15762</v>
      </c>
    </row>
    <row r="230">
      <c r="A230" s="8" t="inlineStr">
        <is>
          <t>Operating expenses (detail)</t>
        </is>
      </c>
      <c r="B230" s="8" t="inlineStr">
        <is>
          <t>C44</t>
        </is>
      </c>
      <c r="C230" s="8" t="inlineStr">
        <is>
          <t>24e. All other expenses</t>
        </is>
      </c>
      <c r="D230" s="8" t="inlineStr">
        <is>
          <t>24e</t>
        </is>
      </c>
      <c r="E230" s="8" t="inlineStr">
        <is>
          <t>part_ix_expenses.all_other_expenses</t>
        </is>
      </c>
      <c r="F230" s="8" t="inlineStr">
        <is>
          <t>high</t>
        </is>
      </c>
      <c r="G230" s="9" t="n">
        <v>18045</v>
      </c>
    </row>
    <row r="231">
      <c r="A231" s="8" t="inlineStr">
        <is>
          <t>Operating expenses (detail)</t>
        </is>
      </c>
      <c r="B231" s="8" t="inlineStr">
        <is>
          <t>D44</t>
        </is>
      </c>
      <c r="C231" s="8" t="inlineStr">
        <is>
          <t>24e. All other expenses</t>
        </is>
      </c>
      <c r="D231" s="8" t="inlineStr">
        <is>
          <t>24e</t>
        </is>
      </c>
      <c r="E231" s="8" t="inlineStr">
        <is>
          <t>part_ix_expenses.all_other_expenses</t>
        </is>
      </c>
      <c r="F231" s="8" t="inlineStr">
        <is>
          <t>high</t>
        </is>
      </c>
      <c r="G231" s="9" t="n">
        <v>33040</v>
      </c>
    </row>
    <row r="232">
      <c r="A232" s="8" t="inlineStr">
        <is>
          <t>Operating expenses (detail)</t>
        </is>
      </c>
      <c r="B232" s="8" t="inlineStr">
        <is>
          <t>E44</t>
        </is>
      </c>
      <c r="C232" s="8" t="inlineStr">
        <is>
          <t>24e. All other expenses</t>
        </is>
      </c>
      <c r="D232" s="8" t="inlineStr">
        <is>
          <t>24e</t>
        </is>
      </c>
      <c r="E232" s="8" t="inlineStr">
        <is>
          <t>part_ix_expenses.all_other_expenses</t>
        </is>
      </c>
      <c r="F232" s="8" t="inlineStr">
        <is>
          <t>high</t>
        </is>
      </c>
      <c r="G232" s="9" t="n">
        <v>28298</v>
      </c>
    </row>
    <row r="233">
      <c r="A233" s="8" t="inlineStr">
        <is>
          <t>Operating expenses (detail)</t>
        </is>
      </c>
      <c r="B233" s="8" t="inlineStr">
        <is>
          <t>F44</t>
        </is>
      </c>
      <c r="C233" s="8" t="inlineStr">
        <is>
          <t>24e. All other expenses</t>
        </is>
      </c>
      <c r="D233" s="8" t="inlineStr">
        <is>
          <t>24e</t>
        </is>
      </c>
      <c r="E233" s="8" t="inlineStr">
        <is>
          <t>part_ix_expenses.all_other_expenses</t>
        </is>
      </c>
      <c r="F233" s="8" t="inlineStr">
        <is>
          <t>high</t>
        </is>
      </c>
      <c r="G233" s="9" t="n">
        <v>25660</v>
      </c>
    </row>
    <row r="234">
      <c r="A234" s="8" t="inlineStr">
        <is>
          <t>Operating expenses (detail)</t>
        </is>
      </c>
      <c r="B234" s="8" t="inlineStr">
        <is>
          <t>G44</t>
        </is>
      </c>
      <c r="C234" s="8" t="inlineStr">
        <is>
          <t>24e. All other expenses</t>
        </is>
      </c>
      <c r="D234" s="8" t="inlineStr">
        <is>
          <t>24e</t>
        </is>
      </c>
      <c r="E234" s="8" t="inlineStr">
        <is>
          <t>part_ix_expenses.all_other_expenses</t>
        </is>
      </c>
      <c r="F234" s="8" t="inlineStr">
        <is>
          <t>high</t>
        </is>
      </c>
      <c r="G234" s="9" t="n">
        <v>32552</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198892</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173388</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179936</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58046</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34738</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27724</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0</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0</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0</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0</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0</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0</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0</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0</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0</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7377</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439265</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481276</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460467</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844575</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866521</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854541</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D25</t>
        </is>
      </c>
      <c r="C325" s="8" t="inlineStr">
        <is>
          <t>25. Other liabilities</t>
        </is>
      </c>
      <c r="D325" s="8" t="inlineStr">
        <is>
          <t>25E</t>
        </is>
      </c>
      <c r="E325" s="8" t="inlineStr">
        <is>
          <t>part_x_balance_sheet.other_liabilities_eoy</t>
        </is>
      </c>
      <c r="F325" s="8" t="inlineStr">
        <is>
          <t>high</t>
        </is>
      </c>
      <c r="G325" s="9" t="n">
        <v>5</v>
      </c>
    </row>
    <row r="326">
      <c r="A326" s="8" t="inlineStr">
        <is>
          <t>Balance sheet (detail)</t>
        </is>
      </c>
      <c r="B326" s="8" t="inlineStr">
        <is>
          <t>B29</t>
        </is>
      </c>
      <c r="C326" s="8" t="inlineStr">
        <is>
          <t>31. Retained earnings / accumulated funds</t>
        </is>
      </c>
      <c r="D326" s="8" t="inlineStr">
        <is>
          <t>31E</t>
        </is>
      </c>
      <c r="E326" s="8" t="inlineStr">
        <is>
          <t>part_x_balance_sheet.retained_earnings_eoy</t>
        </is>
      </c>
      <c r="F326" s="8" t="inlineStr">
        <is>
          <t>high</t>
        </is>
      </c>
      <c r="G326" s="9" t="n">
        <v>638157</v>
      </c>
    </row>
    <row r="327">
      <c r="A327" s="8" t="inlineStr">
        <is>
          <t>Balance sheet (detail)</t>
        </is>
      </c>
      <c r="B327" s="8" t="inlineStr">
        <is>
          <t>C29</t>
        </is>
      </c>
      <c r="C327" s="8" t="inlineStr">
        <is>
          <t>31. Retained earnings / accumulated funds</t>
        </is>
      </c>
      <c r="D327" s="8" t="inlineStr">
        <is>
          <t>31E</t>
        </is>
      </c>
      <c r="E327" s="8" t="inlineStr">
        <is>
          <t>part_x_balance_sheet.retained_earnings_eoy</t>
        </is>
      </c>
      <c r="F327" s="8" t="inlineStr">
        <is>
          <t>high</t>
        </is>
      </c>
      <c r="G327" s="9" t="n">
        <v>654664</v>
      </c>
    </row>
    <row r="328">
      <c r="A328" s="8" t="inlineStr">
        <is>
          <t>Balance sheet (detail)</t>
        </is>
      </c>
      <c r="B328" s="8" t="inlineStr">
        <is>
          <t>D29</t>
        </is>
      </c>
      <c r="C328" s="8" t="inlineStr">
        <is>
          <t>31. Retained earnings / accumulated funds</t>
        </is>
      </c>
      <c r="D328" s="8" t="inlineStr">
        <is>
          <t>31E</t>
        </is>
      </c>
      <c r="E328" s="8" t="inlineStr">
        <is>
          <t>part_x_balance_sheet.retained_earnings_eoy</t>
        </is>
      </c>
      <c r="F328" s="8" t="inlineStr">
        <is>
          <t>high</t>
        </is>
      </c>
      <c r="G328" s="9" t="n">
        <v>640398</v>
      </c>
    </row>
    <row r="329">
      <c r="A329" s="8" t="inlineStr">
        <is>
          <t>Balance sheet (detail)</t>
        </is>
      </c>
      <c r="B329" s="8" t="inlineStr">
        <is>
          <t>E29</t>
        </is>
      </c>
      <c r="C329" s="8" t="inlineStr">
        <is>
          <t>31. Retained earnings / accumulated funds</t>
        </is>
      </c>
      <c r="D329" s="8" t="inlineStr">
        <is>
          <t>31E</t>
        </is>
      </c>
      <c r="E329" s="8" t="inlineStr">
        <is>
          <t>part_x_balance_sheet.retained_earnings_eoy</t>
        </is>
      </c>
      <c r="F329" s="8" t="inlineStr">
        <is>
          <t>high</t>
        </is>
      </c>
      <c r="G329" s="9" t="n">
        <v>902621</v>
      </c>
    </row>
    <row r="330">
      <c r="A330" s="8" t="inlineStr">
        <is>
          <t>Balance sheet (detail)</t>
        </is>
      </c>
      <c r="B330" s="8" t="inlineStr">
        <is>
          <t>F29</t>
        </is>
      </c>
      <c r="C330" s="8" t="inlineStr">
        <is>
          <t>31. Retained earnings / accumulated funds</t>
        </is>
      </c>
      <c r="D330" s="8" t="inlineStr">
        <is>
          <t>31E</t>
        </is>
      </c>
      <c r="E330" s="8" t="inlineStr">
        <is>
          <t>part_x_balance_sheet.retained_earnings_eoy</t>
        </is>
      </c>
      <c r="F330" s="8" t="inlineStr">
        <is>
          <t>high</t>
        </is>
      </c>
      <c r="G330" s="9" t="n">
        <v>901259</v>
      </c>
    </row>
    <row r="331">
      <c r="A331" s="8" t="inlineStr">
        <is>
          <t>Balance sheet (detail)</t>
        </is>
      </c>
      <c r="B331" s="8" t="inlineStr">
        <is>
          <t>G29</t>
        </is>
      </c>
      <c r="C331" s="8" t="inlineStr">
        <is>
          <t>31. Retained earnings / accumulated funds</t>
        </is>
      </c>
      <c r="D331" s="8" t="inlineStr">
        <is>
          <t>31E</t>
        </is>
      </c>
      <c r="E331" s="8" t="inlineStr">
        <is>
          <t>part_x_balance_sheet.retained_earnings_eoy</t>
        </is>
      </c>
      <c r="F331" s="8" t="inlineStr">
        <is>
          <t>high</t>
        </is>
      </c>
      <c r="G331" s="9" t="n">
        <v>889642</v>
      </c>
    </row>
    <row r="332">
      <c r="A332" s="8" t="inlineStr">
        <is>
          <t>Net-assets reconciliation</t>
        </is>
      </c>
      <c r="B332" s="8" t="inlineStr">
        <is>
          <t>B7</t>
        </is>
      </c>
      <c r="C332" s="8" t="inlineStr">
        <is>
          <t>4. Net assets, beginning of year</t>
        </is>
      </c>
      <c r="D332" s="8" t="inlineStr">
        <is>
          <t>Part XI line 4</t>
        </is>
      </c>
      <c r="E332" s="8" t="inlineStr">
        <is>
          <t>part_xi_reconciliation.net_assets_boy</t>
        </is>
      </c>
      <c r="F332" s="8" t="inlineStr">
        <is>
          <t>high</t>
        </is>
      </c>
      <c r="G332" s="9" t="n">
        <v>357341</v>
      </c>
    </row>
    <row r="333">
      <c r="A333" s="8" t="inlineStr">
        <is>
          <t>Net-assets reconciliation</t>
        </is>
      </c>
      <c r="B333" s="8" t="inlineStr">
        <is>
          <t>C7</t>
        </is>
      </c>
      <c r="C333" s="8" t="inlineStr">
        <is>
          <t>4. Net assets, beginning of year</t>
        </is>
      </c>
      <c r="D333" s="8" t="inlineStr">
        <is>
          <t>Part XI line 4</t>
        </is>
      </c>
      <c r="E333" s="8" t="inlineStr">
        <is>
          <t>part_xi_reconciliation.net_assets_boy</t>
        </is>
      </c>
      <c r="F333" s="8" t="inlineStr">
        <is>
          <t>high</t>
        </is>
      </c>
      <c r="G333" s="9" t="n">
        <v>638157</v>
      </c>
    </row>
    <row r="334">
      <c r="A334" s="8" t="inlineStr">
        <is>
          <t>Net-assets reconciliation</t>
        </is>
      </c>
      <c r="B334" s="8" t="inlineStr">
        <is>
          <t>D7</t>
        </is>
      </c>
      <c r="C334" s="8" t="inlineStr">
        <is>
          <t>4. Net assets, beginning of year</t>
        </is>
      </c>
      <c r="D334" s="8" t="inlineStr">
        <is>
          <t>Part XI line 4</t>
        </is>
      </c>
      <c r="E334" s="8" t="inlineStr">
        <is>
          <t>part_xi_reconciliation.net_assets_boy</t>
        </is>
      </c>
      <c r="F334" s="8" t="inlineStr">
        <is>
          <t>high</t>
        </is>
      </c>
      <c r="G334" s="9" t="n">
        <v>654664</v>
      </c>
    </row>
    <row r="335">
      <c r="A335" s="8" t="inlineStr">
        <is>
          <t>Net-assets reconciliation</t>
        </is>
      </c>
      <c r="B335" s="8" t="inlineStr">
        <is>
          <t>E7</t>
        </is>
      </c>
      <c r="C335" s="8" t="inlineStr">
        <is>
          <t>4. Net assets, beginning of year</t>
        </is>
      </c>
      <c r="D335" s="8" t="inlineStr">
        <is>
          <t>Part XI line 4</t>
        </is>
      </c>
      <c r="E335" s="8" t="inlineStr">
        <is>
          <t>part_xi_reconciliation.net_assets_boy</t>
        </is>
      </c>
      <c r="F335" s="8" t="inlineStr">
        <is>
          <t>high</t>
        </is>
      </c>
      <c r="G335" s="9" t="n">
        <v>640398</v>
      </c>
    </row>
    <row r="336">
      <c r="A336" s="8" t="inlineStr">
        <is>
          <t>Net-assets reconciliation</t>
        </is>
      </c>
      <c r="B336" s="8" t="inlineStr">
        <is>
          <t>F7</t>
        </is>
      </c>
      <c r="C336" s="8" t="inlineStr">
        <is>
          <t>4. Net assets, beginning of year</t>
        </is>
      </c>
      <c r="D336" s="8" t="inlineStr">
        <is>
          <t>Part XI line 4</t>
        </is>
      </c>
      <c r="E336" s="8" t="inlineStr">
        <is>
          <t>part_xi_reconciliation.net_assets_boy</t>
        </is>
      </c>
      <c r="F336" s="8" t="inlineStr">
        <is>
          <t>high</t>
        </is>
      </c>
      <c r="G336" s="9" t="n">
        <v>902621</v>
      </c>
    </row>
    <row r="337">
      <c r="A337" s="8" t="inlineStr">
        <is>
          <t>Net-assets reconciliation</t>
        </is>
      </c>
      <c r="B337" s="8" t="inlineStr">
        <is>
          <t>G7</t>
        </is>
      </c>
      <c r="C337" s="8" t="inlineStr">
        <is>
          <t>4. Net assets, beginning of year</t>
        </is>
      </c>
      <c r="D337" s="8" t="inlineStr">
        <is>
          <t>Part XI line 4</t>
        </is>
      </c>
      <c r="E337" s="8" t="inlineStr">
        <is>
          <t>part_xi_reconciliation.net_assets_boy</t>
        </is>
      </c>
      <c r="F337" s="8" t="inlineStr">
        <is>
          <t>high</t>
        </is>
      </c>
      <c r="G337" s="9" t="n">
        <v>901259</v>
      </c>
    </row>
    <row r="338">
      <c r="A338" s="8" t="inlineStr">
        <is>
          <t>Net-assets reconciliation</t>
        </is>
      </c>
      <c r="B338" s="8" t="inlineStr">
        <is>
          <t>B8</t>
        </is>
      </c>
      <c r="C338" s="8" t="inlineStr">
        <is>
          <t>3. Revenue less expenses</t>
        </is>
      </c>
      <c r="D338" s="8" t="inlineStr">
        <is>
          <t>Part XI line 3</t>
        </is>
      </c>
      <c r="E338" s="8" t="inlineStr">
        <is>
          <t>part_xi_reconciliation.reconciliation_revenue_expenses</t>
        </is>
      </c>
      <c r="F338" s="8" t="inlineStr">
        <is>
          <t>high</t>
        </is>
      </c>
      <c r="G338" s="9" t="n">
        <v>-17732</v>
      </c>
    </row>
    <row r="339">
      <c r="A339" s="8" t="inlineStr">
        <is>
          <t>Net-assets reconciliation</t>
        </is>
      </c>
      <c r="B339" s="8" t="inlineStr">
        <is>
          <t>C8</t>
        </is>
      </c>
      <c r="C339" s="8" t="inlineStr">
        <is>
          <t>3. Revenue less expenses</t>
        </is>
      </c>
      <c r="D339" s="8" t="inlineStr">
        <is>
          <t>Part XI line 3</t>
        </is>
      </c>
      <c r="E339" s="8" t="inlineStr">
        <is>
          <t>part_xi_reconciliation.reconciliation_revenue_expenses</t>
        </is>
      </c>
      <c r="F339" s="8" t="inlineStr">
        <is>
          <t>high</t>
        </is>
      </c>
      <c r="G339" s="9" t="n">
        <v>16507</v>
      </c>
    </row>
    <row r="340">
      <c r="A340" s="8" t="inlineStr">
        <is>
          <t>Net-assets reconciliation</t>
        </is>
      </c>
      <c r="B340" s="8" t="inlineStr">
        <is>
          <t>D8</t>
        </is>
      </c>
      <c r="C340" s="8" t="inlineStr">
        <is>
          <t>3. Revenue less expenses</t>
        </is>
      </c>
      <c r="D340" s="8" t="inlineStr">
        <is>
          <t>Part XI line 3</t>
        </is>
      </c>
      <c r="E340" s="8" t="inlineStr">
        <is>
          <t>part_xi_reconciliation.reconciliation_revenue_expenses</t>
        </is>
      </c>
      <c r="F340" s="8" t="inlineStr">
        <is>
          <t>high</t>
        </is>
      </c>
      <c r="G340" s="9" t="n">
        <v>-14266</v>
      </c>
    </row>
    <row r="341">
      <c r="A341" s="8" t="inlineStr">
        <is>
          <t>Net-assets reconciliation</t>
        </is>
      </c>
      <c r="B341" s="8" t="inlineStr">
        <is>
          <t>E8</t>
        </is>
      </c>
      <c r="C341" s="8" t="inlineStr">
        <is>
          <t>3. Revenue less expenses</t>
        </is>
      </c>
      <c r="D341" s="8" t="inlineStr">
        <is>
          <t>Part XI line 3</t>
        </is>
      </c>
      <c r="E341" s="8" t="inlineStr">
        <is>
          <t>part_xi_reconciliation.reconciliation_revenue_expenses</t>
        </is>
      </c>
      <c r="F341" s="8" t="inlineStr">
        <is>
          <t>high</t>
        </is>
      </c>
      <c r="G341" s="9" t="n">
        <v>-16581</v>
      </c>
    </row>
    <row r="342">
      <c r="A342" s="8" t="inlineStr">
        <is>
          <t>Net-assets reconciliation</t>
        </is>
      </c>
      <c r="B342" s="8" t="inlineStr">
        <is>
          <t>F8</t>
        </is>
      </c>
      <c r="C342" s="8" t="inlineStr">
        <is>
          <t>3. Revenue less expenses</t>
        </is>
      </c>
      <c r="D342" s="8" t="inlineStr">
        <is>
          <t>Part XI line 3</t>
        </is>
      </c>
      <c r="E342" s="8" t="inlineStr">
        <is>
          <t>part_xi_reconciliation.reconciliation_revenue_expenses</t>
        </is>
      </c>
      <c r="F342" s="8" t="inlineStr">
        <is>
          <t>high</t>
        </is>
      </c>
      <c r="G342" s="9" t="n">
        <v>-1651</v>
      </c>
    </row>
    <row r="343">
      <c r="A343" s="8" t="inlineStr">
        <is>
          <t>Net-assets reconciliation</t>
        </is>
      </c>
      <c r="B343" s="8" t="inlineStr">
        <is>
          <t>G8</t>
        </is>
      </c>
      <c r="C343" s="8" t="inlineStr">
        <is>
          <t>3. Revenue less expenses</t>
        </is>
      </c>
      <c r="D343" s="8" t="inlineStr">
        <is>
          <t>Part XI line 3</t>
        </is>
      </c>
      <c r="E343" s="8" t="inlineStr">
        <is>
          <t>part_xi_reconciliation.reconciliation_revenue_expenses</t>
        </is>
      </c>
      <c r="F343" s="8" t="inlineStr">
        <is>
          <t>high</t>
        </is>
      </c>
      <c r="G343" s="9" t="n">
        <v>-48243</v>
      </c>
    </row>
    <row r="344">
      <c r="A344" s="8" t="inlineStr">
        <is>
          <t>Net-assets reconciliation</t>
        </is>
      </c>
      <c r="B344" s="8" t="inlineStr">
        <is>
          <t>E10</t>
        </is>
      </c>
      <c r="C344" s="8" t="inlineStr">
        <is>
          <t>9. Other changes in net assets</t>
        </is>
      </c>
      <c r="D344" s="8" t="inlineStr">
        <is>
          <t>Part XI line 9</t>
        </is>
      </c>
      <c r="E344" s="8" t="inlineStr">
        <is>
          <t>part_xi_reconciliation.other_changes_net_assets</t>
        </is>
      </c>
      <c r="F344" s="8" t="inlineStr">
        <is>
          <t>high</t>
        </is>
      </c>
      <c r="G344" s="9" t="n">
        <v>278804</v>
      </c>
    </row>
    <row r="345">
      <c r="A345" s="8" t="inlineStr">
        <is>
          <t>Net-assets reconciliation</t>
        </is>
      </c>
      <c r="B345" s="8" t="inlineStr">
        <is>
          <t>F10</t>
        </is>
      </c>
      <c r="C345" s="8" t="inlineStr">
        <is>
          <t>9. Other changes in net assets</t>
        </is>
      </c>
      <c r="D345" s="8" t="inlineStr">
        <is>
          <t>Part XI line 9</t>
        </is>
      </c>
      <c r="E345" s="8" t="inlineStr">
        <is>
          <t>part_xi_reconciliation.other_changes_net_assets</t>
        </is>
      </c>
      <c r="F345" s="8" t="inlineStr">
        <is>
          <t>high</t>
        </is>
      </c>
      <c r="G345" s="9" t="n">
        <v>289</v>
      </c>
    </row>
    <row r="347">
      <c r="A347" s="44" t="inlineStr">
        <is>
          <t>C. Tie-out checks (filed vs computed; any nonzero variance is flagged red)</t>
        </is>
      </c>
      <c r="B347" s="7" t="n"/>
      <c r="C347" s="7" t="n"/>
      <c r="D347" s="7" t="n"/>
      <c r="E347" s="7" t="n"/>
      <c r="F347" s="7" t="n"/>
      <c r="G347" s="7" t="n"/>
      <c r="H347" s="7" t="n"/>
      <c r="I347" s="7" t="n"/>
      <c r="J347" s="7" t="n"/>
      <c r="K347" s="7" t="n"/>
    </row>
    <row r="348">
      <c r="A348" s="5" t="inlineStr">
        <is>
          <t>Tab</t>
        </is>
      </c>
      <c r="B348" s="5" t="inlineStr">
        <is>
          <t>Check</t>
        </is>
      </c>
      <c r="C348" s="5" t="inlineStr">
        <is>
          <t>Fiscal year</t>
        </is>
      </c>
      <c r="D348" s="5" t="inlineStr">
        <is>
          <t>Filed</t>
        </is>
      </c>
      <c r="E348" s="5" t="inlineStr">
        <is>
          <t>Computed</t>
        </is>
      </c>
      <c r="F348" s="5" t="inlineStr">
        <is>
          <t>Variance (computed - filed)</t>
        </is>
      </c>
    </row>
    <row r="349">
      <c r="A349" s="18" t="inlineStr">
        <is>
          <t>Revenue (detail)</t>
        </is>
      </c>
      <c r="B349" s="18" t="inlineStr">
        <is>
          <t>12. Total revenue</t>
        </is>
      </c>
      <c r="C349" s="18" t="inlineStr">
        <is>
          <t>FY2020</t>
        </is>
      </c>
      <c r="D349" s="9" t="n">
        <v>134980</v>
      </c>
      <c r="E349" s="9">
        <f>'Revenue (detail)'!B13</f>
        <v/>
      </c>
      <c r="F349" s="9">
        <f>E349-D349</f>
        <v/>
      </c>
    </row>
    <row r="350">
      <c r="A350" s="18" t="inlineStr">
        <is>
          <t>Revenue (detail)</t>
        </is>
      </c>
      <c r="B350" s="18" t="inlineStr">
        <is>
          <t>12. Total revenue</t>
        </is>
      </c>
      <c r="C350" s="18" t="inlineStr">
        <is>
          <t>FY2021</t>
        </is>
      </c>
      <c r="D350" s="9" t="n">
        <v>130965</v>
      </c>
      <c r="E350" s="9">
        <f>'Revenue (detail)'!C13</f>
        <v/>
      </c>
      <c r="F350" s="9">
        <f>E350-D350</f>
        <v/>
      </c>
    </row>
    <row r="351">
      <c r="A351" s="18" t="inlineStr">
        <is>
          <t>Revenue (detail)</t>
        </is>
      </c>
      <c r="B351" s="18" t="inlineStr">
        <is>
          <t>12. Total revenue</t>
        </is>
      </c>
      <c r="C351" s="18" t="inlineStr">
        <is>
          <t>FY2022</t>
        </is>
      </c>
      <c r="D351" s="9" t="n">
        <v>131599</v>
      </c>
      <c r="E351" s="9">
        <f>'Revenue (detail)'!D13</f>
        <v/>
      </c>
      <c r="F351" s="9">
        <f>E351-D351</f>
        <v/>
      </c>
    </row>
    <row r="352">
      <c r="A352" s="18" t="inlineStr">
        <is>
          <t>Revenue (detail)</t>
        </is>
      </c>
      <c r="B352" s="18" t="inlineStr">
        <is>
          <t>12. Total revenue</t>
        </is>
      </c>
      <c r="C352" s="18" t="inlineStr">
        <is>
          <t>FY2023</t>
        </is>
      </c>
      <c r="D352" s="9" t="n">
        <v>158846</v>
      </c>
      <c r="E352" s="9">
        <f>'Revenue (detail)'!E13</f>
        <v/>
      </c>
      <c r="F352" s="9">
        <f>E352-D352</f>
        <v/>
      </c>
    </row>
    <row r="353">
      <c r="A353" s="18" t="inlineStr">
        <is>
          <t>Revenue (detail)</t>
        </is>
      </c>
      <c r="B353" s="18" t="inlineStr">
        <is>
          <t>12. Total revenue</t>
        </is>
      </c>
      <c r="C353" s="18" t="inlineStr">
        <is>
          <t>FY2024</t>
        </is>
      </c>
      <c r="D353" s="9" t="n">
        <v>188669</v>
      </c>
      <c r="E353" s="9">
        <f>'Revenue (detail)'!F13</f>
        <v/>
      </c>
      <c r="F353" s="9">
        <f>E353-D353</f>
        <v/>
      </c>
    </row>
    <row r="354">
      <c r="A354" s="18" t="inlineStr">
        <is>
          <t>Revenue (detail)</t>
        </is>
      </c>
      <c r="B354" s="18" t="inlineStr">
        <is>
          <t>12. Total revenue</t>
        </is>
      </c>
      <c r="C354" s="18" t="inlineStr">
        <is>
          <t>FY2025</t>
        </is>
      </c>
      <c r="D354" s="9" t="n">
        <v>131040</v>
      </c>
      <c r="E354" s="9">
        <f>'Revenue (detail)'!G13</f>
        <v/>
      </c>
      <c r="F354" s="9">
        <f>E354-D354</f>
        <v/>
      </c>
    </row>
    <row r="355">
      <c r="A355" s="18" t="inlineStr">
        <is>
          <t>Operating expenses (detail)</t>
        </is>
      </c>
      <c r="B355" s="18" t="inlineStr">
        <is>
          <t>25. Total functional expenses</t>
        </is>
      </c>
      <c r="C355" s="18" t="inlineStr">
        <is>
          <t>FY2020</t>
        </is>
      </c>
      <c r="D355" s="9" t="n">
        <v>152712</v>
      </c>
      <c r="E355" s="9">
        <f>'Operating expenses (detail)'!B45</f>
        <v/>
      </c>
      <c r="F355" s="9">
        <f>E355-D355</f>
        <v/>
      </c>
    </row>
    <row r="356">
      <c r="A356" s="18" t="inlineStr">
        <is>
          <t>Operating expenses (detail)</t>
        </is>
      </c>
      <c r="B356" s="18" t="inlineStr">
        <is>
          <t>25. Total functional expenses</t>
        </is>
      </c>
      <c r="C356" s="18" t="inlineStr">
        <is>
          <t>FY2021</t>
        </is>
      </c>
      <c r="D356" s="9" t="n">
        <v>114458</v>
      </c>
      <c r="E356" s="9">
        <f>'Operating expenses (detail)'!C45</f>
        <v/>
      </c>
      <c r="F356" s="9">
        <f>E356-D356</f>
        <v/>
      </c>
    </row>
    <row r="357">
      <c r="A357" s="18" t="inlineStr">
        <is>
          <t>Operating expenses (detail)</t>
        </is>
      </c>
      <c r="B357" s="18" t="inlineStr">
        <is>
          <t>25. Total functional expenses</t>
        </is>
      </c>
      <c r="C357" s="18" t="inlineStr">
        <is>
          <t>FY2022</t>
        </is>
      </c>
      <c r="D357" s="9" t="n">
        <v>145865</v>
      </c>
      <c r="E357" s="9">
        <f>'Operating expenses (detail)'!D45</f>
        <v/>
      </c>
      <c r="F357" s="9">
        <f>E357-D357</f>
        <v/>
      </c>
    </row>
    <row r="358">
      <c r="A358" s="18" t="inlineStr">
        <is>
          <t>Operating expenses (detail)</t>
        </is>
      </c>
      <c r="B358" s="18" t="inlineStr">
        <is>
          <t>25. Total functional expenses</t>
        </is>
      </c>
      <c r="C358" s="18" t="inlineStr">
        <is>
          <t>FY2023</t>
        </is>
      </c>
      <c r="D358" s="9" t="n">
        <v>175427</v>
      </c>
      <c r="E358" s="9">
        <f>'Operating expenses (detail)'!E45</f>
        <v/>
      </c>
      <c r="F358" s="9">
        <f>E358-D358</f>
        <v/>
      </c>
    </row>
    <row r="359">
      <c r="A359" s="18" t="inlineStr">
        <is>
          <t>Operating expenses (detail)</t>
        </is>
      </c>
      <c r="B359" s="18" t="inlineStr">
        <is>
          <t>25. Total functional expenses</t>
        </is>
      </c>
      <c r="C359" s="18" t="inlineStr">
        <is>
          <t>FY2024</t>
        </is>
      </c>
      <c r="D359" s="9" t="n">
        <v>190320</v>
      </c>
      <c r="E359" s="9">
        <f>'Operating expenses (detail)'!F45</f>
        <v/>
      </c>
      <c r="F359" s="9">
        <f>E359-D359</f>
        <v/>
      </c>
    </row>
    <row r="360">
      <c r="A360" s="18" t="inlineStr">
        <is>
          <t>Operating expenses (detail)</t>
        </is>
      </c>
      <c r="B360" s="18" t="inlineStr">
        <is>
          <t>25. Total functional expenses</t>
        </is>
      </c>
      <c r="C360" s="18" t="inlineStr">
        <is>
          <t>FY2025</t>
        </is>
      </c>
      <c r="D360" s="9" t="n">
        <v>179283</v>
      </c>
      <c r="E360" s="9">
        <f>'Operating expenses (detail)'!G45</f>
        <v/>
      </c>
      <c r="F360" s="9">
        <f>E360-D360</f>
        <v/>
      </c>
    </row>
    <row r="361">
      <c r="A361" s="18" t="inlineStr">
        <is>
          <t>Operating expenses (detail)</t>
        </is>
      </c>
      <c r="B361" s="18" t="inlineStr">
        <is>
          <t>Part IX column split: col A = B + C + D (FY2025)</t>
        </is>
      </c>
      <c r="C361" s="18" t="inlineStr">
        <is>
          <t>FY2025</t>
        </is>
      </c>
      <c r="D361" s="9">
        <f>'Operating expenses (detail)'!B78</f>
        <v/>
      </c>
      <c r="E361" s="9">
        <f>'Operating expenses (detail)'!C78+'Operating expenses (detail)'!D78+'Operating expenses (detail)'!E78</f>
        <v/>
      </c>
      <c r="F361" s="9">
        <f>E361-D361</f>
        <v/>
      </c>
    </row>
    <row r="362">
      <c r="A362" s="18" t="inlineStr">
        <is>
          <t>Balance sheet (detail)</t>
        </is>
      </c>
      <c r="B362" s="18" t="inlineStr">
        <is>
          <t>16. Total assets</t>
        </is>
      </c>
      <c r="C362" s="18" t="inlineStr">
        <is>
          <t>FY2020</t>
        </is>
      </c>
      <c r="D362" s="9" t="n">
        <v>638157</v>
      </c>
      <c r="E362" s="9">
        <f>'Balance sheet (detail)'!B22</f>
        <v/>
      </c>
      <c r="F362" s="9">
        <f>E362-D362</f>
        <v/>
      </c>
    </row>
    <row r="363">
      <c r="A363" s="18" t="inlineStr">
        <is>
          <t>Balance sheet (detail)</t>
        </is>
      </c>
      <c r="B363" s="18" t="inlineStr">
        <is>
          <t>16. Total assets</t>
        </is>
      </c>
      <c r="C363" s="18" t="inlineStr">
        <is>
          <t>FY2021</t>
        </is>
      </c>
      <c r="D363" s="9" t="n">
        <v>654664</v>
      </c>
      <c r="E363" s="9">
        <f>'Balance sheet (detail)'!C22</f>
        <v/>
      </c>
      <c r="F363" s="9">
        <f>E363-D363</f>
        <v/>
      </c>
    </row>
    <row r="364">
      <c r="A364" s="18" t="inlineStr">
        <is>
          <t>Balance sheet (detail)</t>
        </is>
      </c>
      <c r="B364" s="18" t="inlineStr">
        <is>
          <t>16. Total assets</t>
        </is>
      </c>
      <c r="C364" s="18" t="inlineStr">
        <is>
          <t>FY2022</t>
        </is>
      </c>
      <c r="D364" s="9" t="n">
        <v>640403</v>
      </c>
      <c r="E364" s="9">
        <f>'Balance sheet (detail)'!D22</f>
        <v/>
      </c>
      <c r="F364" s="9">
        <f>E364-D364</f>
        <v/>
      </c>
    </row>
    <row r="365">
      <c r="A365" s="18" t="inlineStr">
        <is>
          <t>Balance sheet (detail)</t>
        </is>
      </c>
      <c r="B365" s="18" t="inlineStr">
        <is>
          <t>16. Total assets</t>
        </is>
      </c>
      <c r="C365" s="18" t="inlineStr">
        <is>
          <t>FY2023</t>
        </is>
      </c>
      <c r="D365" s="9" t="n">
        <v>902621</v>
      </c>
      <c r="E365" s="9">
        <f>'Balance sheet (detail)'!E22</f>
        <v/>
      </c>
      <c r="F365" s="9">
        <f>E365-D365</f>
        <v/>
      </c>
    </row>
    <row r="366">
      <c r="A366" s="18" t="inlineStr">
        <is>
          <t>Balance sheet (detail)</t>
        </is>
      </c>
      <c r="B366" s="18" t="inlineStr">
        <is>
          <t>16. Total assets</t>
        </is>
      </c>
      <c r="C366" s="18" t="inlineStr">
        <is>
          <t>FY2024</t>
        </is>
      </c>
      <c r="D366" s="9" t="n">
        <v>901259</v>
      </c>
      <c r="E366" s="9">
        <f>'Balance sheet (detail)'!F22</f>
        <v/>
      </c>
      <c r="F366" s="9">
        <f>E366-D366</f>
        <v/>
      </c>
    </row>
    <row r="367">
      <c r="A367" s="18" t="inlineStr">
        <is>
          <t>Balance sheet (detail)</t>
        </is>
      </c>
      <c r="B367" s="18" t="inlineStr">
        <is>
          <t>16. Total assets</t>
        </is>
      </c>
      <c r="C367" s="18" t="inlineStr">
        <is>
          <t>FY2025</t>
        </is>
      </c>
      <c r="D367" s="9" t="n">
        <v>889642</v>
      </c>
      <c r="E367" s="9">
        <f>'Balance sheet (detail)'!G22</f>
        <v/>
      </c>
      <c r="F367" s="9">
        <f>E367-D367</f>
        <v/>
      </c>
    </row>
    <row r="368">
      <c r="A368" s="18" t="inlineStr">
        <is>
          <t>Balance sheet (detail)</t>
        </is>
      </c>
      <c r="B368" s="18" t="inlineStr">
        <is>
          <t>26. Total liabilities</t>
        </is>
      </c>
      <c r="C368" s="18" t="inlineStr">
        <is>
          <t>FY2020</t>
        </is>
      </c>
      <c r="D368" s="9" t="n">
        <v>0</v>
      </c>
      <c r="E368" s="9">
        <f>'Balance sheet (detail)'!B26</f>
        <v/>
      </c>
      <c r="F368" s="9">
        <f>E368-D368</f>
        <v/>
      </c>
    </row>
    <row r="369">
      <c r="A369" s="18" t="inlineStr">
        <is>
          <t>Balance sheet (detail)</t>
        </is>
      </c>
      <c r="B369" s="18" t="inlineStr">
        <is>
          <t>26. Total liabilities</t>
        </is>
      </c>
      <c r="C369" s="18" t="inlineStr">
        <is>
          <t>FY2021</t>
        </is>
      </c>
      <c r="D369" s="9" t="n">
        <v>0</v>
      </c>
      <c r="E369" s="9">
        <f>'Balance sheet (detail)'!C26</f>
        <v/>
      </c>
      <c r="F369" s="9">
        <f>E369-D369</f>
        <v/>
      </c>
    </row>
    <row r="370">
      <c r="A370" s="18" t="inlineStr">
        <is>
          <t>Balance sheet (detail)</t>
        </is>
      </c>
      <c r="B370" s="18" t="inlineStr">
        <is>
          <t>26. Total liabilities</t>
        </is>
      </c>
      <c r="C370" s="18" t="inlineStr">
        <is>
          <t>FY2022</t>
        </is>
      </c>
      <c r="D370" s="9" t="n">
        <v>5</v>
      </c>
      <c r="E370" s="9">
        <f>'Balance sheet (detail)'!D26</f>
        <v/>
      </c>
      <c r="F370" s="9">
        <f>E370-D370</f>
        <v/>
      </c>
    </row>
    <row r="371">
      <c r="A371" s="18" t="inlineStr">
        <is>
          <t>Balance sheet (detail)</t>
        </is>
      </c>
      <c r="B371" s="18" t="inlineStr">
        <is>
          <t>26. Total liabilities</t>
        </is>
      </c>
      <c r="C371" s="18" t="inlineStr">
        <is>
          <t>FY2023</t>
        </is>
      </c>
      <c r="D371" s="9" t="n">
        <v>0</v>
      </c>
      <c r="E371" s="9">
        <f>'Balance sheet (detail)'!E26</f>
        <v/>
      </c>
      <c r="F371" s="9">
        <f>E371-D371</f>
        <v/>
      </c>
    </row>
    <row r="372">
      <c r="A372" s="18" t="inlineStr">
        <is>
          <t>Balance sheet (detail)</t>
        </is>
      </c>
      <c r="B372" s="18" t="inlineStr">
        <is>
          <t>26. Total liabilities</t>
        </is>
      </c>
      <c r="C372" s="18" t="inlineStr">
        <is>
          <t>FY2024</t>
        </is>
      </c>
      <c r="D372" s="9" t="n">
        <v>0</v>
      </c>
      <c r="E372" s="9">
        <f>'Balance sheet (detail)'!F26</f>
        <v/>
      </c>
      <c r="F372" s="9">
        <f>E372-D372</f>
        <v/>
      </c>
    </row>
    <row r="373">
      <c r="A373" s="18" t="inlineStr">
        <is>
          <t>Balance sheet (detail)</t>
        </is>
      </c>
      <c r="B373" s="18" t="inlineStr">
        <is>
          <t>26. Total liabilities</t>
        </is>
      </c>
      <c r="C373" s="18" t="inlineStr">
        <is>
          <t>FY2025</t>
        </is>
      </c>
      <c r="D373" s="9" t="n">
        <v>0</v>
      </c>
      <c r="E373" s="9">
        <f>'Balance sheet (detail)'!G26</f>
        <v/>
      </c>
      <c r="F373" s="9">
        <f>E373-D373</f>
        <v/>
      </c>
    </row>
    <row r="374">
      <c r="A374" s="18" t="inlineStr">
        <is>
          <t>Balance sheet (detail)</t>
        </is>
      </c>
      <c r="B374" s="18" t="inlineStr">
        <is>
          <t>32. Total net assets / fund balances</t>
        </is>
      </c>
      <c r="C374" s="18" t="inlineStr">
        <is>
          <t>FY2020</t>
        </is>
      </c>
      <c r="D374" s="9" t="n">
        <v>638157</v>
      </c>
      <c r="E374" s="9">
        <f>'Balance sheet (detail)'!B30</f>
        <v/>
      </c>
      <c r="F374" s="9">
        <f>E374-D374</f>
        <v/>
      </c>
    </row>
    <row r="375">
      <c r="A375" s="18" t="inlineStr">
        <is>
          <t>Balance sheet (detail)</t>
        </is>
      </c>
      <c r="B375" s="18" t="inlineStr">
        <is>
          <t>32. Total net assets / fund balances</t>
        </is>
      </c>
      <c r="C375" s="18" t="inlineStr">
        <is>
          <t>FY2021</t>
        </is>
      </c>
      <c r="D375" s="9" t="n">
        <v>654664</v>
      </c>
      <c r="E375" s="9">
        <f>'Balance sheet (detail)'!C30</f>
        <v/>
      </c>
      <c r="F375" s="9">
        <f>E375-D375</f>
        <v/>
      </c>
    </row>
    <row r="376">
      <c r="A376" s="18" t="inlineStr">
        <is>
          <t>Balance sheet (detail)</t>
        </is>
      </c>
      <c r="B376" s="18" t="inlineStr">
        <is>
          <t>32. Total net assets / fund balances</t>
        </is>
      </c>
      <c r="C376" s="18" t="inlineStr">
        <is>
          <t>FY2022</t>
        </is>
      </c>
      <c r="D376" s="9" t="n">
        <v>640398</v>
      </c>
      <c r="E376" s="9">
        <f>'Balance sheet (detail)'!D30</f>
        <v/>
      </c>
      <c r="F376" s="9">
        <f>E376-D376</f>
        <v/>
      </c>
    </row>
    <row r="377">
      <c r="A377" s="18" t="inlineStr">
        <is>
          <t>Balance sheet (detail)</t>
        </is>
      </c>
      <c r="B377" s="18" t="inlineStr">
        <is>
          <t>32. Total net assets / fund balances</t>
        </is>
      </c>
      <c r="C377" s="18" t="inlineStr">
        <is>
          <t>FY2023</t>
        </is>
      </c>
      <c r="D377" s="9" t="n">
        <v>902621</v>
      </c>
      <c r="E377" s="9">
        <f>'Balance sheet (detail)'!E30</f>
        <v/>
      </c>
      <c r="F377" s="9">
        <f>E377-D377</f>
        <v/>
      </c>
    </row>
    <row r="378">
      <c r="A378" s="18" t="inlineStr">
        <is>
          <t>Balance sheet (detail)</t>
        </is>
      </c>
      <c r="B378" s="18" t="inlineStr">
        <is>
          <t>32. Total net assets / fund balances</t>
        </is>
      </c>
      <c r="C378" s="18" t="inlineStr">
        <is>
          <t>FY2024</t>
        </is>
      </c>
      <c r="D378" s="9" t="n">
        <v>901259</v>
      </c>
      <c r="E378" s="9">
        <f>'Balance sheet (detail)'!F30</f>
        <v/>
      </c>
      <c r="F378" s="9">
        <f>E378-D378</f>
        <v/>
      </c>
    </row>
    <row r="379">
      <c r="A379" s="18" t="inlineStr">
        <is>
          <t>Balance sheet (detail)</t>
        </is>
      </c>
      <c r="B379" s="18" t="inlineStr">
        <is>
          <t>32. Total net assets / fund balances</t>
        </is>
      </c>
      <c r="C379" s="18" t="inlineStr">
        <is>
          <t>FY2025</t>
        </is>
      </c>
      <c r="D379" s="9" t="n">
        <v>889642</v>
      </c>
      <c r="E379" s="9">
        <f>'Balance sheet (detail)'!G30</f>
        <v/>
      </c>
      <c r="F379" s="9">
        <f>E379-D379</f>
        <v/>
      </c>
    </row>
    <row r="380">
      <c r="A380" s="18" t="inlineStr">
        <is>
          <t>Balance sheet (detail)</t>
        </is>
      </c>
      <c r="B380" s="18" t="inlineStr">
        <is>
          <t>Balance sheet identity: line 16 = line 26 + line 32 (EOY)</t>
        </is>
      </c>
      <c r="C380" s="18" t="inlineStr">
        <is>
          <t>FY2020</t>
        </is>
      </c>
      <c r="D380" s="9">
        <f>'Balance sheet (detail)'!B22</f>
        <v/>
      </c>
      <c r="E380" s="9">
        <f>SUM('Balance sheet (detail)'!B26,'Balance sheet (detail)'!B30)</f>
        <v/>
      </c>
      <c r="F380" s="9">
        <f>E380-D380</f>
        <v/>
      </c>
    </row>
    <row r="381">
      <c r="A381" s="18" t="inlineStr">
        <is>
          <t>Balance sheet (detail)</t>
        </is>
      </c>
      <c r="B381" s="18" t="inlineStr">
        <is>
          <t>Balance sheet identity: line 16 = line 26 + line 32 (EOY)</t>
        </is>
      </c>
      <c r="C381" s="18" t="inlineStr">
        <is>
          <t>FY2021</t>
        </is>
      </c>
      <c r="D381" s="9">
        <f>'Balance sheet (detail)'!C22</f>
        <v/>
      </c>
      <c r="E381" s="9">
        <f>SUM('Balance sheet (detail)'!C26,'Balance sheet (detail)'!C30)</f>
        <v/>
      </c>
      <c r="F381" s="9">
        <f>E381-D381</f>
        <v/>
      </c>
    </row>
    <row r="382">
      <c r="A382" s="18" t="inlineStr">
        <is>
          <t>Balance sheet (detail)</t>
        </is>
      </c>
      <c r="B382" s="18" t="inlineStr">
        <is>
          <t>Balance sheet identity: line 16 = line 26 + line 32 (EOY)</t>
        </is>
      </c>
      <c r="C382" s="18" t="inlineStr">
        <is>
          <t>FY2022</t>
        </is>
      </c>
      <c r="D382" s="9">
        <f>'Balance sheet (detail)'!D22</f>
        <v/>
      </c>
      <c r="E382" s="9">
        <f>SUM('Balance sheet (detail)'!D26,'Balance sheet (detail)'!D30)</f>
        <v/>
      </c>
      <c r="F382" s="9">
        <f>E382-D382</f>
        <v/>
      </c>
    </row>
    <row r="383">
      <c r="A383" s="18" t="inlineStr">
        <is>
          <t>Balance sheet (detail)</t>
        </is>
      </c>
      <c r="B383" s="18" t="inlineStr">
        <is>
          <t>Balance sheet identity: line 16 = line 26 + line 32 (EOY)</t>
        </is>
      </c>
      <c r="C383" s="18" t="inlineStr">
        <is>
          <t>FY2023</t>
        </is>
      </c>
      <c r="D383" s="9">
        <f>'Balance sheet (detail)'!E22</f>
        <v/>
      </c>
      <c r="E383" s="9">
        <f>SUM('Balance sheet (detail)'!E26,'Balance sheet (detail)'!E30)</f>
        <v/>
      </c>
      <c r="F383" s="9">
        <f>E383-D383</f>
        <v/>
      </c>
    </row>
    <row r="384">
      <c r="A384" s="18" t="inlineStr">
        <is>
          <t>Balance sheet (detail)</t>
        </is>
      </c>
      <c r="B384" s="18" t="inlineStr">
        <is>
          <t>Balance sheet identity: line 16 = line 26 + line 32 (EOY)</t>
        </is>
      </c>
      <c r="C384" s="18" t="inlineStr">
        <is>
          <t>FY2024</t>
        </is>
      </c>
      <c r="D384" s="9">
        <f>'Balance sheet (detail)'!F22</f>
        <v/>
      </c>
      <c r="E384" s="9">
        <f>SUM('Balance sheet (detail)'!F26,'Balance sheet (detail)'!F30)</f>
        <v/>
      </c>
      <c r="F384" s="9">
        <f>E384-D384</f>
        <v/>
      </c>
    </row>
    <row r="385">
      <c r="A385" s="18" t="inlineStr">
        <is>
          <t>Balance sheet (detail)</t>
        </is>
      </c>
      <c r="B385" s="18" t="inlineStr">
        <is>
          <t>Balance sheet identity: line 16 = line 26 + line 32 (EOY)</t>
        </is>
      </c>
      <c r="C385" s="18" t="inlineStr">
        <is>
          <t>FY2025</t>
        </is>
      </c>
      <c r="D385" s="9">
        <f>'Balance sheet (detail)'!G22</f>
        <v/>
      </c>
      <c r="E385" s="9">
        <f>SUM('Balance sheet (detail)'!G26,'Balance sheet (detail)'!G30)</f>
        <v/>
      </c>
      <c r="F385" s="9">
        <f>E385-D385</f>
        <v/>
      </c>
    </row>
    <row r="386">
      <c r="A386" s="18" t="inlineStr">
        <is>
          <t>Net-assets reconciliation</t>
        </is>
      </c>
      <c r="B386" s="18" t="inlineStr">
        <is>
          <t>10. Net assets, end of year</t>
        </is>
      </c>
      <c r="C386" s="18" t="inlineStr">
        <is>
          <t>FY2020</t>
        </is>
      </c>
      <c r="D386" s="9" t="n">
        <v>638157</v>
      </c>
      <c r="E386" s="9">
        <f>'Net-assets reconciliation'!B11</f>
        <v/>
      </c>
      <c r="F386" s="9">
        <f>E386-D386</f>
        <v/>
      </c>
    </row>
    <row r="387">
      <c r="A387" s="18" t="inlineStr">
        <is>
          <t>Net-assets reconciliation</t>
        </is>
      </c>
      <c r="B387" s="18" t="inlineStr">
        <is>
          <t>10. Net assets, end of year</t>
        </is>
      </c>
      <c r="C387" s="18" t="inlineStr">
        <is>
          <t>FY2021</t>
        </is>
      </c>
      <c r="D387" s="9" t="n">
        <v>654664</v>
      </c>
      <c r="E387" s="9">
        <f>'Net-assets reconciliation'!C11</f>
        <v/>
      </c>
      <c r="F387" s="9">
        <f>E387-D387</f>
        <v/>
      </c>
    </row>
    <row r="388">
      <c r="A388" s="18" t="inlineStr">
        <is>
          <t>Net-assets reconciliation</t>
        </is>
      </c>
      <c r="B388" s="18" t="inlineStr">
        <is>
          <t>10. Net assets, end of year</t>
        </is>
      </c>
      <c r="C388" s="18" t="inlineStr">
        <is>
          <t>FY2022</t>
        </is>
      </c>
      <c r="D388" s="9" t="n">
        <v>640398</v>
      </c>
      <c r="E388" s="9">
        <f>'Net-assets reconciliation'!D11</f>
        <v/>
      </c>
      <c r="F388" s="9">
        <f>E388-D388</f>
        <v/>
      </c>
    </row>
    <row r="389">
      <c r="A389" s="18" t="inlineStr">
        <is>
          <t>Net-assets reconciliation</t>
        </is>
      </c>
      <c r="B389" s="18" t="inlineStr">
        <is>
          <t>10. Net assets, end of year</t>
        </is>
      </c>
      <c r="C389" s="18" t="inlineStr">
        <is>
          <t>FY2023</t>
        </is>
      </c>
      <c r="D389" s="9" t="n">
        <v>902621</v>
      </c>
      <c r="E389" s="9">
        <f>'Net-assets reconciliation'!E11</f>
        <v/>
      </c>
      <c r="F389" s="9">
        <f>E389-D389</f>
        <v/>
      </c>
    </row>
    <row r="390">
      <c r="A390" s="18" t="inlineStr">
        <is>
          <t>Net-assets reconciliation</t>
        </is>
      </c>
      <c r="B390" s="18" t="inlineStr">
        <is>
          <t>10. Net assets, end of year</t>
        </is>
      </c>
      <c r="C390" s="18" t="inlineStr">
        <is>
          <t>FY2024</t>
        </is>
      </c>
      <c r="D390" s="9" t="n">
        <v>901259</v>
      </c>
      <c r="E390" s="9">
        <f>'Net-assets reconciliation'!F11</f>
        <v/>
      </c>
      <c r="F390" s="9">
        <f>E390-D390</f>
        <v/>
      </c>
    </row>
    <row r="391">
      <c r="A391" s="18" t="inlineStr">
        <is>
          <t>Net-assets reconciliation</t>
        </is>
      </c>
      <c r="B391" s="18" t="inlineStr">
        <is>
          <t>10. Net assets, end of year</t>
        </is>
      </c>
      <c r="C391" s="18" t="inlineStr">
        <is>
          <t>FY2025</t>
        </is>
      </c>
      <c r="D391" s="9" t="n">
        <v>889642</v>
      </c>
      <c r="E391" s="9">
        <f>'Net-assets reconciliation'!G11</f>
        <v/>
      </c>
      <c r="F391" s="9">
        <f>E391-D391</f>
        <v/>
      </c>
    </row>
    <row r="393">
      <c r="A393" s="44" t="inlineStr">
        <is>
          <t>D. Preparer / auditor trail (one row per fiscal year, as filed)</t>
        </is>
      </c>
      <c r="B393" s="7" t="n"/>
      <c r="C393" s="7" t="n"/>
      <c r="D393" s="7" t="n"/>
      <c r="E393" s="7" t="n"/>
      <c r="F393" s="7" t="n"/>
      <c r="G393" s="7" t="n"/>
      <c r="H393" s="7" t="n"/>
      <c r="I393" s="7" t="n"/>
      <c r="J393" s="7" t="n"/>
      <c r="K393" s="7" t="n"/>
    </row>
    <row r="394">
      <c r="A394" s="5" t="inlineStr">
        <is>
          <t>Fiscal year</t>
        </is>
      </c>
      <c r="B394" s="5" t="inlineStr">
        <is>
          <t>Paid preparer</t>
        </is>
      </c>
      <c r="C394" s="5" t="inlineStr">
        <is>
          <t>Preparer firm</t>
        </is>
      </c>
      <c r="D394" s="5" t="inlineStr">
        <is>
          <t>Independent auditor</t>
        </is>
      </c>
      <c r="E394" s="5" t="inlineStr">
        <is>
          <t>Citation</t>
        </is>
      </c>
    </row>
    <row r="395" ht="42" customHeight="1">
      <c r="A395" s="45" t="inlineStr">
        <is>
          <t>FY2020</t>
        </is>
      </c>
      <c r="B395" s="8" t="inlineStr">
        <is>
          <t>DEVIN L PACE ESQ</t>
        </is>
      </c>
      <c r="C395" s="8" t="inlineStr">
        <is>
          <t>Pace Accountancy</t>
        </is>
      </c>
      <c r="D395" s="48" t="inlineStr">
        <is>
          <t>not reported</t>
        </is>
      </c>
      <c r="E395" s="23" t="inlineStr">
        <is>
          <t>Form 990 Return Header, Paid Preparer block (return_header.preparer_person_name / preparer_firm_name); auditor: Part XII line 2 reports audited financial statements but does not name the firm.</t>
        </is>
      </c>
    </row>
    <row r="396" ht="42" customHeight="1">
      <c r="A396" s="45" t="inlineStr">
        <is>
          <t>FY2021</t>
        </is>
      </c>
      <c r="B396" s="8" t="inlineStr">
        <is>
          <t>DEVIN L PACE ESQ</t>
        </is>
      </c>
      <c r="C396" s="8" t="inlineStr">
        <is>
          <t>Pace Accountancy</t>
        </is>
      </c>
      <c r="D396" s="48" t="inlineStr">
        <is>
          <t>not reported</t>
        </is>
      </c>
      <c r="E396" s="23" t="inlineStr">
        <is>
          <t>Form 990 Return Header, Paid Preparer block (return_header.preparer_person_name / preparer_firm_name); auditor: Part XII line 2 reports audited financial statements but does not name the firm.</t>
        </is>
      </c>
    </row>
    <row r="397" ht="42" customHeight="1">
      <c r="A397" s="45" t="inlineStr">
        <is>
          <t>FY2022</t>
        </is>
      </c>
      <c r="B397" s="8" t="inlineStr">
        <is>
          <t>Devin L Pace</t>
        </is>
      </c>
      <c r="C397" s="8" t="inlineStr">
        <is>
          <t>Pace Accountancy</t>
        </is>
      </c>
      <c r="D397" s="48" t="inlineStr">
        <is>
          <t>not reported</t>
        </is>
      </c>
      <c r="E397" s="23" t="inlineStr">
        <is>
          <t>Form 990 Return Header, Paid Preparer block (return_header.preparer_person_name / preparer_firm_name); auditor: Part XII line 2 reports audited financial statements but does not name the firm.</t>
        </is>
      </c>
    </row>
    <row r="398" ht="42" customHeight="1">
      <c r="A398" s="45" t="inlineStr">
        <is>
          <t>FY2023</t>
        </is>
      </c>
      <c r="B398" s="8" t="inlineStr">
        <is>
          <t>Devin L Pace</t>
        </is>
      </c>
      <c r="C398" s="8" t="inlineStr">
        <is>
          <t>Pace Accountancy</t>
        </is>
      </c>
      <c r="D398" s="48" t="inlineStr">
        <is>
          <t>not reported</t>
        </is>
      </c>
      <c r="E398" s="23" t="inlineStr">
        <is>
          <t>Form 990 Return Header, Paid Preparer block (return_header.preparer_person_name / preparer_firm_name); auditor: Part XII line 2 reports audited financial statements but does not name the firm.</t>
        </is>
      </c>
    </row>
    <row r="399" ht="42" customHeight="1">
      <c r="A399" s="45" t="inlineStr">
        <is>
          <t>FY2024</t>
        </is>
      </c>
      <c r="B399" s="8" t="inlineStr">
        <is>
          <t>Devin L Pace</t>
        </is>
      </c>
      <c r="C399" s="8" t="inlineStr">
        <is>
          <t>Pace Accountancy</t>
        </is>
      </c>
      <c r="D399" s="48" t="inlineStr">
        <is>
          <t>not reported</t>
        </is>
      </c>
      <c r="E399" s="23" t="inlineStr">
        <is>
          <t>Form 990 Return Header, Paid Preparer block (return_header.preparer_person_name / preparer_firm_name); auditor: Part XII line 2 reports audited financial statements but does not name the firm.</t>
        </is>
      </c>
    </row>
    <row r="400" ht="42" customHeight="1">
      <c r="A400" s="45" t="inlineStr">
        <is>
          <t>FY2025</t>
        </is>
      </c>
      <c r="B400" s="8" t="inlineStr">
        <is>
          <t>Devin L Pace</t>
        </is>
      </c>
      <c r="C400" s="8" t="inlineStr">
        <is>
          <t>Pace Accountancy</t>
        </is>
      </c>
      <c r="D400" s="48" t="inlineStr">
        <is>
          <t>not reported</t>
        </is>
      </c>
      <c r="E400" s="23" t="inlineStr">
        <is>
          <t>Form 990 Return Header, Paid Preparer block (return_header.preparer_person_name / preparer_firm_name); auditor: Part XII line 2 reports audited financial statements but does not name the firm.</t>
        </is>
      </c>
    </row>
    <row r="402" ht="42" customHeight="1">
      <c r="A40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402:K402"/>
    <mergeCell ref="A5:K5"/>
    <mergeCell ref="A1:K1"/>
  </mergeCells>
  <conditionalFormatting sqref="F349:F391">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