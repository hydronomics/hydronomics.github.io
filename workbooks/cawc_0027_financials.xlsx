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2.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Anomaly Flags" sheetId="21" state="visible" r:id="rId21"/>
    <sheet name="Sources &amp; audit" sheetId="22" state="visible" r:id="rId22"/>
    <sheet name="Provenance" sheetId="23" state="visible" r:id="rId23"/>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3">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b val="1"/>
      <color rgb="007F6000"/>
      <sz val="10"/>
    </font>
    <font>
      <name val="Calibri"/>
      <i val="1"/>
      <color rgb="007F4F00"/>
      <sz val="10"/>
    </font>
  </fonts>
  <fills count="9">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8" fillId="5" borderId="1" applyAlignment="1" pivotButton="0" quotePrefix="0" xfId="0">
      <alignment horizontal="right"/>
    </xf>
    <xf numFmtId="166" fontId="8" fillId="5" borderId="1" applyAlignment="1" pivotButton="0" quotePrefix="0" xfId="0">
      <alignment horizontal="right"/>
    </xf>
    <xf numFmtId="166" fontId="8" fillId="4" borderId="1" applyAlignment="1" pivotButton="0" quotePrefix="0" xfId="0">
      <alignment horizontal="right"/>
    </xf>
    <xf numFmtId="10" fontId="8" fillId="5" borderId="1" applyAlignment="1" pivotButton="0" quotePrefix="0" xfId="0">
      <alignment horizontal="right"/>
    </xf>
    <xf numFmtId="2" fontId="8" fillId="5" borderId="1" applyAlignment="1" pivotButton="0" quotePrefix="0" xfId="0">
      <alignment horizontal="right"/>
    </xf>
    <xf numFmtId="0" fontId="8"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12" fillId="8" borderId="1" applyAlignment="1" pivotButton="0" quotePrefix="0" xfId="0">
      <alignment horizontal="left" vertical="top" wrapText="1"/>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Hydronomics anomaly flagger</author>
  </authors>
  <commentList>
    <comment ref="F19" authorId="0" shapeId="0">
      <text>
        <t>Documented anomaly (auto-flagged): FY2024 total expenses swing. See the Anomaly Flags tab for the what, why, and source.</t>
      </text>
    </comment>
  </commentList>
</comments>
</file>

<file path=xl/comments/comment2.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Rubio Canon Land &amp; Water Association</t>
        </is>
      </c>
    </row>
    <row r="2">
      <c r="A2" s="2" t="inlineStr">
        <is>
          <t>Financial Summary - multi-year overview (USD)</t>
        </is>
      </c>
    </row>
    <row r="3">
      <c r="A3" s="2" t="inlineStr">
        <is>
          <t>Entity ID: cawc_0027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3011124</v>
      </c>
      <c r="C10" s="9" t="n">
        <v>1547156</v>
      </c>
      <c r="D10" s="9" t="n">
        <v>2569729</v>
      </c>
      <c r="E10" s="9" t="n">
        <v>2746190</v>
      </c>
      <c r="F10" s="9" t="n">
        <v>4989018</v>
      </c>
    </row>
    <row r="11">
      <c r="A11" s="8" t="inlineStr">
        <is>
          <t xml:space="preserve">    Total expenses</t>
        </is>
      </c>
      <c r="B11" s="9" t="n">
        <v>1559497</v>
      </c>
      <c r="C11" s="9" t="n">
        <v>1814745</v>
      </c>
      <c r="D11" s="9" t="n">
        <v>2224793</v>
      </c>
      <c r="E11" s="9" t="n">
        <v>1933240</v>
      </c>
      <c r="F11" s="9" t="n">
        <v>3333755</v>
      </c>
    </row>
    <row r="12">
      <c r="A12" s="10" t="inlineStr">
        <is>
          <t xml:space="preserve">    Net income</t>
        </is>
      </c>
      <c r="B12" s="11" t="n">
        <v>1451627</v>
      </c>
      <c r="C12" s="11" t="n">
        <v>-267589</v>
      </c>
      <c r="D12" s="11" t="n">
        <v>344936</v>
      </c>
      <c r="E12" s="11" t="n">
        <v>812950</v>
      </c>
      <c r="F12" s="11" t="n">
        <v>1655263</v>
      </c>
    </row>
    <row r="14">
      <c r="A14" s="6" t="inlineStr">
        <is>
          <t>Financial position (USD, end of year)</t>
        </is>
      </c>
      <c r="B14" s="7" t="n"/>
      <c r="C14" s="7" t="n"/>
      <c r="D14" s="7" t="n"/>
      <c r="E14" s="7" t="n"/>
      <c r="F14" s="7" t="n"/>
    </row>
    <row r="15">
      <c r="A15" s="8" t="inlineStr">
        <is>
          <t xml:space="preserve">    Total assets</t>
        </is>
      </c>
      <c r="B15" s="9" t="n">
        <v>15995830</v>
      </c>
      <c r="C15" s="9" t="n">
        <v>15860865</v>
      </c>
      <c r="D15" s="9" t="n">
        <v>16051755</v>
      </c>
      <c r="E15" s="9" t="n">
        <v>17189100</v>
      </c>
      <c r="F15" s="9" t="n">
        <v>18520127</v>
      </c>
    </row>
    <row r="16">
      <c r="A16" s="8" t="inlineStr">
        <is>
          <t xml:space="preserve">    Total liabilities</t>
        </is>
      </c>
      <c r="B16" s="9" t="n">
        <v>235037</v>
      </c>
      <c r="C16" s="9" t="n">
        <v>367661</v>
      </c>
      <c r="D16" s="9" t="n">
        <v>213615</v>
      </c>
      <c r="E16" s="9" t="n">
        <v>514773</v>
      </c>
      <c r="F16" s="9" t="n">
        <v>190537</v>
      </c>
    </row>
    <row r="17">
      <c r="A17" s="10" t="inlineStr">
        <is>
          <t xml:space="preserve">    Net assets</t>
        </is>
      </c>
      <c r="B17" s="11" t="n">
        <v>15760793</v>
      </c>
      <c r="C17" s="11" t="n">
        <v>15493204</v>
      </c>
      <c r="D17" s="11" t="n">
        <v>15838140</v>
      </c>
      <c r="E17" s="11" t="n">
        <v>16674327</v>
      </c>
      <c r="F17" s="11" t="n">
        <v>18329590</v>
      </c>
    </row>
    <row r="19">
      <c r="A19" s="6" t="inlineStr">
        <is>
          <t>Headline ratios</t>
        </is>
      </c>
      <c r="B19" s="7" t="n"/>
      <c r="C19" s="7" t="n"/>
      <c r="D19" s="7" t="n"/>
      <c r="E19" s="7" t="n"/>
      <c r="F19" s="7" t="n"/>
    </row>
    <row r="20">
      <c r="A20" s="8" t="inlineStr">
        <is>
          <t xml:space="preserve">    Operating margin</t>
        </is>
      </c>
      <c r="B20" s="12" t="n">
        <v>0.4820880840510056</v>
      </c>
      <c r="C20" s="12" t="n">
        <v>-0.1729554097970728</v>
      </c>
      <c r="D20" s="12" t="n">
        <v>0.1342304966788327</v>
      </c>
      <c r="E20" s="12" t="n">
        <v>0.2960283155936042</v>
      </c>
      <c r="F20" s="12" t="n">
        <v>0.3317813245011343</v>
      </c>
    </row>
    <row r="21">
      <c r="A21" s="8" t="inlineStr">
        <is>
          <t xml:space="preserve">    Revenue growth (YoY)</t>
        </is>
      </c>
      <c r="B21" s="12" t="n">
        <v>0.2235422425699587</v>
      </c>
      <c r="C21" s="12" t="n">
        <v>-0.4861865535926119</v>
      </c>
      <c r="D21" s="12" t="n">
        <v>0.6609372293420961</v>
      </c>
      <c r="E21" s="12" t="n">
        <v>0.06866910868811459</v>
      </c>
      <c r="F21" s="12" t="n">
        <v>0.8167053262884214</v>
      </c>
    </row>
    <row r="22">
      <c r="A22" s="8" t="inlineStr">
        <is>
          <t xml:space="preserve">    Return on assets</t>
        </is>
      </c>
      <c r="B22" s="12" t="n">
        <v>0.09075033930718193</v>
      </c>
      <c r="C22" s="12" t="n">
        <v>-0.0168710218515825</v>
      </c>
      <c r="D22" s="12" t="n">
        <v>0.02148898983319892</v>
      </c>
      <c r="E22" s="12" t="n">
        <v>0.04729450640231309</v>
      </c>
      <c r="F22" s="12" t="n">
        <v>0.08937643894126644</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Rubio Canon Land &amp; Water Association</t>
        </is>
      </c>
    </row>
    <row r="2">
      <c r="A2" s="2" t="inlineStr">
        <is>
          <t>Financial Statements - income statement, balance sheet, cash flow, member income test (USD)</t>
        </is>
      </c>
    </row>
    <row r="3">
      <c r="A3" s="2" t="inlineStr">
        <is>
          <t>Entity ID: cawc_0027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c r="C8" s="9" t="n"/>
      <c r="D8" s="9" t="n"/>
      <c r="E8" s="9" t="n"/>
      <c r="F8" s="9" t="n">
        <v>4662328</v>
      </c>
    </row>
    <row r="9">
      <c r="A9" s="8" t="inlineStr">
        <is>
          <t xml:space="preserve">    Investment income</t>
        </is>
      </c>
      <c r="B9" s="9" t="n">
        <v>238471</v>
      </c>
      <c r="C9" s="9" t="n">
        <v>103061</v>
      </c>
      <c r="D9" s="9" t="n">
        <v>37344</v>
      </c>
      <c r="E9" s="9" t="n">
        <v>100181</v>
      </c>
      <c r="F9" s="9" t="n">
        <v>236534</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v>759</v>
      </c>
      <c r="D12" s="9" t="n"/>
      <c r="E12" s="9" t="n">
        <v>93067</v>
      </c>
      <c r="F12" s="9" t="n">
        <v>90156</v>
      </c>
    </row>
    <row r="13">
      <c r="A13" s="8" t="inlineStr">
        <is>
          <t xml:space="preserve">    Contributions &amp; grants</t>
        </is>
      </c>
      <c r="B13" s="9" t="n"/>
      <c r="C13" s="9" t="n"/>
      <c r="D13" s="9" t="n"/>
      <c r="E13" s="9" t="n"/>
      <c r="F13" s="9" t="n"/>
    </row>
    <row r="14">
      <c r="A14" s="10" t="inlineStr">
        <is>
          <t>Total revenue</t>
        </is>
      </c>
      <c r="B14" s="11" t="n">
        <v>3011124</v>
      </c>
      <c r="C14" s="11" t="n">
        <v>1547156</v>
      </c>
      <c r="D14" s="11" t="n">
        <v>2569729</v>
      </c>
      <c r="E14" s="11" t="n">
        <v>2746190</v>
      </c>
      <c r="F14" s="11" t="n">
        <v>4989018</v>
      </c>
    </row>
    <row r="16">
      <c r="A16" s="6" t="inlineStr">
        <is>
          <t>Expenses</t>
        </is>
      </c>
      <c r="B16" s="7" t="n"/>
      <c r="C16" s="7" t="n"/>
      <c r="D16" s="7" t="n"/>
      <c r="E16" s="7" t="n"/>
      <c r="F16" s="7" t="n"/>
    </row>
    <row r="17">
      <c r="A17" s="8" t="inlineStr">
        <is>
          <t xml:space="preserve">    Depreciation</t>
        </is>
      </c>
      <c r="B17" s="9" t="n">
        <v>615300</v>
      </c>
      <c r="C17" s="9" t="n">
        <v>584742</v>
      </c>
      <c r="D17" s="9" t="n">
        <v>510970</v>
      </c>
      <c r="E17" s="9" t="n">
        <v>567376</v>
      </c>
      <c r="F17" s="9" t="n">
        <v>609330</v>
      </c>
    </row>
    <row r="18">
      <c r="A18" s="8" t="inlineStr">
        <is>
          <t xml:space="preserve">    Interest expense</t>
        </is>
      </c>
      <c r="B18" s="9" t="n">
        <v>942</v>
      </c>
      <c r="C18" s="9" t="n"/>
      <c r="D18" s="9" t="n"/>
      <c r="E18" s="9" t="n"/>
      <c r="F18" s="9" t="n"/>
    </row>
    <row r="19">
      <c r="A19" s="10" t="inlineStr">
        <is>
          <t>Total expenses</t>
        </is>
      </c>
      <c r="B19" s="11" t="n">
        <v>1559497</v>
      </c>
      <c r="C19" s="11" t="n">
        <v>1814745</v>
      </c>
      <c r="D19" s="11" t="n">
        <v>2224793</v>
      </c>
      <c r="E19" s="11" t="n">
        <v>1933240</v>
      </c>
      <c r="F19" s="11" t="n">
        <v>3333755</v>
      </c>
    </row>
    <row r="21">
      <c r="A21" s="10" t="inlineStr">
        <is>
          <t>Net income</t>
        </is>
      </c>
      <c r="B21" s="11" t="n">
        <v>1451627</v>
      </c>
      <c r="C21" s="11" t="n">
        <v>-267589</v>
      </c>
      <c r="D21" s="11" t="n">
        <v>344936</v>
      </c>
      <c r="E21" s="11" t="n">
        <v>812950</v>
      </c>
      <c r="F21" s="11" t="n">
        <v>1655263</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2757999</v>
      </c>
      <c r="C27" s="9" t="n">
        <v>2239130</v>
      </c>
      <c r="D27" s="9" t="n">
        <v>2577799</v>
      </c>
      <c r="E27" s="9" t="n">
        <v>3255089</v>
      </c>
      <c r="F27" s="9" t="n">
        <v>3999907</v>
      </c>
    </row>
    <row r="28">
      <c r="A28" s="8" t="inlineStr">
        <is>
          <t xml:space="preserve">    Savings &amp; temporary investments</t>
        </is>
      </c>
      <c r="B28" s="9" t="n">
        <v>2408723</v>
      </c>
      <c r="C28" s="9" t="n">
        <v>2511646</v>
      </c>
      <c r="D28" s="9" t="n">
        <v>2204125</v>
      </c>
      <c r="E28" s="9" t="n">
        <v>2383956</v>
      </c>
      <c r="F28" s="9" t="n">
        <v>2583076</v>
      </c>
    </row>
    <row r="29">
      <c r="A29" s="8" t="inlineStr">
        <is>
          <t xml:space="preserve">    Accounts receivable</t>
        </is>
      </c>
      <c r="B29" s="9" t="n">
        <v>337016</v>
      </c>
      <c r="C29" s="9" t="n">
        <v>210407</v>
      </c>
      <c r="D29" s="9" t="n">
        <v>148765</v>
      </c>
      <c r="E29" s="9" t="n">
        <v>237055</v>
      </c>
      <c r="F29" s="9" t="n">
        <v>311864</v>
      </c>
    </row>
    <row r="30">
      <c r="A30" s="8" t="inlineStr">
        <is>
          <t xml:space="preserve">    Inventories</t>
        </is>
      </c>
      <c r="B30" s="9" t="n">
        <v>84212</v>
      </c>
      <c r="C30" s="9" t="n">
        <v>90781</v>
      </c>
      <c r="D30" s="9" t="n">
        <v>102020</v>
      </c>
      <c r="E30" s="9" t="n">
        <v>128641</v>
      </c>
      <c r="F30" s="9" t="n">
        <v>175264</v>
      </c>
    </row>
    <row r="31">
      <c r="A31" s="8" t="inlineStr">
        <is>
          <t xml:space="preserve">    Prepaid expenses</t>
        </is>
      </c>
      <c r="B31" s="9" t="n">
        <v>40000</v>
      </c>
      <c r="C31" s="9" t="n">
        <v>21426</v>
      </c>
      <c r="D31" s="9" t="n">
        <v>31080</v>
      </c>
      <c r="E31" s="9" t="n">
        <v>26362</v>
      </c>
      <c r="F31" s="9" t="n">
        <v>75909</v>
      </c>
    </row>
    <row r="32">
      <c r="A32" s="8" t="inlineStr">
        <is>
          <t xml:space="preserve">    Property, plant &amp; equipment (gross)</t>
        </is>
      </c>
      <c r="B32" s="9" t="n">
        <v>20265940</v>
      </c>
      <c r="C32" s="9" t="n">
        <v>21270277</v>
      </c>
      <c r="D32" s="9" t="n">
        <v>21981738</v>
      </c>
      <c r="E32" s="9" t="n">
        <v>22719144</v>
      </c>
      <c r="F32" s="9" t="n">
        <v>23544584</v>
      </c>
    </row>
    <row r="33">
      <c r="A33" s="8" t="inlineStr">
        <is>
          <t xml:space="preserve">    Less: accumulated depreciation</t>
        </is>
      </c>
      <c r="B33" s="9" t="n">
        <v>-10264810</v>
      </c>
      <c r="C33" s="9" t="n">
        <v>-10849552</v>
      </c>
      <c r="D33" s="9" t="n">
        <v>-11360522</v>
      </c>
      <c r="E33" s="9" t="n">
        <v>-11927897</v>
      </c>
      <c r="F33" s="9" t="n">
        <v>-12537227</v>
      </c>
    </row>
    <row r="34">
      <c r="A34" s="10" t="inlineStr">
        <is>
          <t xml:space="preserve">    Net property, plant &amp; equipment</t>
        </is>
      </c>
      <c r="B34" s="11" t="n">
        <v>10001130</v>
      </c>
      <c r="C34" s="11" t="n">
        <v>10420725</v>
      </c>
      <c r="D34" s="11" t="n">
        <v>10621216</v>
      </c>
      <c r="E34" s="11" t="n">
        <v>10791247</v>
      </c>
      <c r="F34" s="11" t="n">
        <v>11007357</v>
      </c>
    </row>
    <row r="35">
      <c r="A35" s="10" t="inlineStr">
        <is>
          <t>Total assets</t>
        </is>
      </c>
      <c r="B35" s="11" t="n">
        <v>15995830</v>
      </c>
      <c r="C35" s="11" t="n">
        <v>15860865</v>
      </c>
      <c r="D35" s="11" t="n">
        <v>16051755</v>
      </c>
      <c r="E35" s="11" t="n">
        <v>17189100</v>
      </c>
      <c r="F35" s="11" t="n">
        <v>18520127</v>
      </c>
    </row>
    <row r="37">
      <c r="A37" s="6" t="inlineStr">
        <is>
          <t>Liabilities</t>
        </is>
      </c>
      <c r="B37" s="7" t="n"/>
      <c r="C37" s="7" t="n"/>
      <c r="D37" s="7" t="n"/>
      <c r="E37" s="7" t="n"/>
      <c r="F37" s="7" t="n"/>
    </row>
    <row r="38">
      <c r="A38" s="8" t="inlineStr">
        <is>
          <t xml:space="preserve">    Accounts payable</t>
        </is>
      </c>
      <c r="B38" s="9" t="n">
        <v>223146</v>
      </c>
      <c r="C38" s="9" t="n">
        <v>362752</v>
      </c>
      <c r="D38" s="9" t="n">
        <v>213615</v>
      </c>
      <c r="E38" s="9" t="n">
        <v>514773</v>
      </c>
      <c r="F38" s="9" t="n">
        <v>190537</v>
      </c>
    </row>
    <row r="39">
      <c r="A39" s="8" t="inlineStr">
        <is>
          <t xml:space="preserve">    Mortgages &amp; notes payable</t>
        </is>
      </c>
      <c r="B39" s="9" t="n">
        <v>11891</v>
      </c>
      <c r="C39" s="9" t="n">
        <v>4909</v>
      </c>
      <c r="D39" s="9" t="n"/>
      <c r="E39" s="9" t="n"/>
      <c r="F39" s="9" t="n"/>
    </row>
    <row r="40">
      <c r="A40" s="10" t="inlineStr">
        <is>
          <t>Total liabilities</t>
        </is>
      </c>
      <c r="B40" s="11" t="n">
        <v>235037</v>
      </c>
      <c r="C40" s="11" t="n">
        <v>367661</v>
      </c>
      <c r="D40" s="11" t="n">
        <v>213615</v>
      </c>
      <c r="E40" s="11" t="n">
        <v>514773</v>
      </c>
      <c r="F40" s="11" t="n">
        <v>190537</v>
      </c>
    </row>
    <row r="42">
      <c r="A42" s="6" t="inlineStr">
        <is>
          <t>Net Assets / Equity</t>
        </is>
      </c>
      <c r="B42" s="7" t="n"/>
      <c r="C42" s="7" t="n"/>
      <c r="D42" s="7" t="n"/>
      <c r="E42" s="7" t="n"/>
      <c r="F42" s="7" t="n"/>
    </row>
    <row r="43">
      <c r="A43" s="8" t="inlineStr">
        <is>
          <t xml:space="preserve">    Capital stock</t>
        </is>
      </c>
      <c r="B43" s="9" t="n">
        <v>233350</v>
      </c>
      <c r="C43" s="9" t="n">
        <v>233350</v>
      </c>
      <c r="D43" s="9" t="n">
        <v>233350</v>
      </c>
      <c r="E43" s="9" t="n">
        <v>233350</v>
      </c>
      <c r="F43" s="9" t="n">
        <v>233350</v>
      </c>
    </row>
    <row r="44">
      <c r="A44" s="8" t="inlineStr">
        <is>
          <t xml:space="preserve">    Paid-in capital</t>
        </is>
      </c>
      <c r="B44" s="9" t="n">
        <v>537305</v>
      </c>
      <c r="C44" s="9" t="n">
        <v>537305</v>
      </c>
      <c r="D44" s="9" t="n">
        <v>537305</v>
      </c>
      <c r="E44" s="9" t="n">
        <v>560542</v>
      </c>
      <c r="F44" s="9" t="n">
        <v>560542</v>
      </c>
    </row>
    <row r="45">
      <c r="A45" s="8" t="inlineStr">
        <is>
          <t xml:space="preserve">    Retained earnings</t>
        </is>
      </c>
      <c r="B45" s="9" t="n">
        <v>14990138</v>
      </c>
      <c r="C45" s="9" t="n">
        <v>14722549</v>
      </c>
      <c r="D45" s="9" t="n">
        <v>15067485</v>
      </c>
      <c r="E45" s="9" t="n">
        <v>15880435</v>
      </c>
      <c r="F45" s="9" t="n">
        <v>17535698</v>
      </c>
    </row>
    <row r="46">
      <c r="A46" s="10" t="inlineStr">
        <is>
          <t>Net assets</t>
        </is>
      </c>
      <c r="B46" s="11" t="n">
        <v>15760793</v>
      </c>
      <c r="C46" s="11" t="n">
        <v>15493204</v>
      </c>
      <c r="D46" s="11" t="n">
        <v>15838140</v>
      </c>
      <c r="E46" s="11" t="n">
        <v>16674327</v>
      </c>
      <c r="F46" s="11" t="n">
        <v>18329590</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1451627</v>
      </c>
      <c r="C52" s="9" t="n">
        <v>-267589</v>
      </c>
      <c r="D52" s="9" t="n">
        <v>344936</v>
      </c>
      <c r="E52" s="9" t="n">
        <v>812950</v>
      </c>
      <c r="F52" s="9" t="n">
        <v>1655263</v>
      </c>
    </row>
    <row r="53">
      <c r="A53" s="8" t="inlineStr">
        <is>
          <t xml:space="preserve">    + Depreciation (reported)</t>
        </is>
      </c>
      <c r="B53" s="9" t="n">
        <v>615300</v>
      </c>
      <c r="C53" s="9" t="n">
        <v>584742</v>
      </c>
      <c r="D53" s="9" t="n">
        <v>510970</v>
      </c>
      <c r="E53" s="9" t="n">
        <v>567376</v>
      </c>
      <c r="F53" s="9" t="n">
        <v>609330</v>
      </c>
    </row>
    <row r="54">
      <c r="A54" s="8" t="inlineStr">
        <is>
          <t xml:space="preserve">    − Δ Accounts receivable</t>
        </is>
      </c>
      <c r="B54" s="9" t="n"/>
      <c r="C54" s="9" t="n">
        <v>126609</v>
      </c>
      <c r="D54" s="9" t="n">
        <v>61642</v>
      </c>
      <c r="E54" s="9" t="n">
        <v>-88290</v>
      </c>
      <c r="F54" s="9" t="n">
        <v>-74809</v>
      </c>
    </row>
    <row r="55">
      <c r="A55" s="8" t="inlineStr">
        <is>
          <t xml:space="preserve">    − Δ Inventories</t>
        </is>
      </c>
      <c r="B55" s="9" t="n"/>
      <c r="C55" s="9" t="n">
        <v>-6569</v>
      </c>
      <c r="D55" s="9" t="n">
        <v>-11239</v>
      </c>
      <c r="E55" s="9" t="n">
        <v>-26621</v>
      </c>
      <c r="F55" s="9" t="n">
        <v>-46623</v>
      </c>
    </row>
    <row r="56">
      <c r="A56" s="8" t="inlineStr">
        <is>
          <t xml:space="preserve">    − Δ Prepaid expenses</t>
        </is>
      </c>
      <c r="B56" s="9" t="n"/>
      <c r="C56" s="9" t="n">
        <v>18574</v>
      </c>
      <c r="D56" s="9" t="n">
        <v>-9654</v>
      </c>
      <c r="E56" s="9" t="n">
        <v>4718</v>
      </c>
      <c r="F56" s="9" t="n">
        <v>-49547</v>
      </c>
    </row>
    <row r="57">
      <c r="A57" s="8" t="inlineStr">
        <is>
          <t xml:space="preserve">    + Δ Accounts payable</t>
        </is>
      </c>
      <c r="B57" s="9" t="n"/>
      <c r="C57" s="9" t="n">
        <v>139606</v>
      </c>
      <c r="D57" s="9" t="n">
        <v>-149137</v>
      </c>
      <c r="E57" s="9" t="n">
        <v>301158</v>
      </c>
      <c r="F57" s="9" t="n">
        <v>-324236</v>
      </c>
    </row>
    <row r="58">
      <c r="A58" s="10" t="inlineStr">
        <is>
          <t xml:space="preserve">    Operating cash flow proxy</t>
        </is>
      </c>
      <c r="B58" s="11" t="n"/>
      <c r="C58" s="11" t="n">
        <v>595373</v>
      </c>
      <c r="D58" s="11" t="n">
        <v>747518</v>
      </c>
      <c r="E58" s="11" t="n">
        <v>1571291</v>
      </c>
      <c r="F58" s="11" t="n">
        <v>1769378</v>
      </c>
    </row>
    <row r="60">
      <c r="A60" s="6" t="inlineStr">
        <is>
          <t>Investing</t>
        </is>
      </c>
      <c r="B60" s="7" t="n"/>
      <c r="C60" s="7" t="n"/>
      <c r="D60" s="7" t="n"/>
      <c r="E60" s="7" t="n"/>
      <c r="F60" s="7" t="n"/>
    </row>
    <row r="61">
      <c r="A61" s="8" t="inlineStr">
        <is>
          <t xml:space="preserve">    − Δ PP&amp;E gross (capex proxy)</t>
        </is>
      </c>
      <c r="B61" s="9" t="n"/>
      <c r="C61" s="9" t="n">
        <v>-1004337</v>
      </c>
      <c r="D61" s="9" t="n">
        <v>-711461</v>
      </c>
      <c r="E61" s="9" t="n">
        <v>-737406</v>
      </c>
      <c r="F61" s="9" t="n">
        <v>-825440</v>
      </c>
    </row>
    <row r="63">
      <c r="A63" s="6" t="inlineStr">
        <is>
          <t>Financing</t>
        </is>
      </c>
      <c r="B63" s="7" t="n"/>
      <c r="C63" s="7" t="n"/>
      <c r="D63" s="7" t="n"/>
      <c r="E63" s="7" t="n"/>
      <c r="F63" s="7" t="n"/>
    </row>
    <row r="64">
      <c r="A64" s="8" t="inlineStr">
        <is>
          <t xml:space="preserve">    Δ Mortgages &amp; notes payable</t>
        </is>
      </c>
      <c r="B64" s="9" t="n"/>
      <c r="C64" s="9" t="n">
        <v>-6982</v>
      </c>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-415946</v>
      </c>
      <c r="D67" s="11" t="n">
        <v>31148</v>
      </c>
      <c r="E67" s="11" t="n">
        <v>857121</v>
      </c>
      <c r="F67" s="11" t="n">
        <v>943938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4332482</v>
      </c>
      <c r="C73" s="9" t="n">
        <v>4254711</v>
      </c>
      <c r="D73" s="9" t="n">
        <v>4064425</v>
      </c>
      <c r="E73" s="9" t="n">
        <v>3997713</v>
      </c>
      <c r="F73" s="9" t="n">
        <v>4662328</v>
      </c>
    </row>
    <row r="74">
      <c r="A74" s="8" t="inlineStr">
        <is>
          <t xml:space="preserve">    11b. Gross income from other sources</t>
        </is>
      </c>
      <c r="B74" s="9" t="n">
        <v>238471</v>
      </c>
      <c r="C74" s="9" t="n">
        <v>103820</v>
      </c>
      <c r="D74" s="9" t="n">
        <v>37344</v>
      </c>
      <c r="E74" s="9" t="n">
        <v>193248</v>
      </c>
      <c r="F74" s="9" t="n">
        <v>326690</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Rubio Canon Land &amp; Water Association</t>
        </is>
      </c>
    </row>
    <row r="2">
      <c r="A2" s="2" t="inlineStr">
        <is>
          <t>Balance Sheet - as reported (USD, end of year)</t>
        </is>
      </c>
    </row>
    <row r="3">
      <c r="A3" s="2" t="inlineStr">
        <is>
          <t>Entity ID: cawc_0027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2757999</v>
      </c>
      <c r="C7" s="9" t="n">
        <v>2239130</v>
      </c>
      <c r="D7" s="9" t="n">
        <v>2577799</v>
      </c>
      <c r="E7" s="9" t="n">
        <v>3255089</v>
      </c>
      <c r="F7" s="9" t="n">
        <v>3999907</v>
      </c>
    </row>
    <row r="8">
      <c r="A8" s="8" t="inlineStr">
        <is>
          <t xml:space="preserve">    Savings &amp; temporary investments</t>
        </is>
      </c>
      <c r="B8" s="9" t="n">
        <v>2408723</v>
      </c>
      <c r="C8" s="9" t="n">
        <v>2511646</v>
      </c>
      <c r="D8" s="9" t="n">
        <v>2204125</v>
      </c>
      <c r="E8" s="9" t="n">
        <v>2383956</v>
      </c>
      <c r="F8" s="9" t="n">
        <v>2583076</v>
      </c>
    </row>
    <row r="9">
      <c r="A9" s="8" t="inlineStr">
        <is>
          <t xml:space="preserve">    Accounts receivable</t>
        </is>
      </c>
      <c r="B9" s="9" t="n">
        <v>337016</v>
      </c>
      <c r="C9" s="9" t="n">
        <v>210407</v>
      </c>
      <c r="D9" s="9" t="n">
        <v>148765</v>
      </c>
      <c r="E9" s="9" t="n">
        <v>237055</v>
      </c>
      <c r="F9" s="9" t="n">
        <v>311864</v>
      </c>
    </row>
    <row r="10">
      <c r="A10" s="8" t="inlineStr">
        <is>
          <t xml:space="preserve">    Inventories</t>
        </is>
      </c>
      <c r="B10" s="9" t="n">
        <v>84212</v>
      </c>
      <c r="C10" s="9" t="n">
        <v>90781</v>
      </c>
      <c r="D10" s="9" t="n">
        <v>102020</v>
      </c>
      <c r="E10" s="9" t="n">
        <v>128641</v>
      </c>
      <c r="F10" s="9" t="n">
        <v>175264</v>
      </c>
    </row>
    <row r="11">
      <c r="A11" s="8" t="inlineStr">
        <is>
          <t xml:space="preserve">    Prepaid expenses</t>
        </is>
      </c>
      <c r="B11" s="9" t="n">
        <v>40000</v>
      </c>
      <c r="C11" s="9" t="n">
        <v>21426</v>
      </c>
      <c r="D11" s="9" t="n">
        <v>31080</v>
      </c>
      <c r="E11" s="9" t="n">
        <v>26362</v>
      </c>
      <c r="F11" s="9" t="n">
        <v>75909</v>
      </c>
    </row>
    <row r="12">
      <c r="A12" s="8" t="inlineStr">
        <is>
          <t xml:space="preserve">    Property, plant &amp; equipment (gross)</t>
        </is>
      </c>
      <c r="B12" s="9" t="n">
        <v>20265940</v>
      </c>
      <c r="C12" s="9" t="n">
        <v>21270277</v>
      </c>
      <c r="D12" s="9" t="n">
        <v>21981738</v>
      </c>
      <c r="E12" s="9" t="n">
        <v>22719144</v>
      </c>
      <c r="F12" s="9" t="n">
        <v>23544584</v>
      </c>
    </row>
    <row r="13">
      <c r="A13" s="8" t="inlineStr">
        <is>
          <t xml:space="preserve">    Less: accumulated depreciation</t>
        </is>
      </c>
      <c r="B13" s="9" t="n">
        <v>-10264810</v>
      </c>
      <c r="C13" s="9" t="n">
        <v>-10849552</v>
      </c>
      <c r="D13" s="9" t="n">
        <v>-11360522</v>
      </c>
      <c r="E13" s="9" t="n">
        <v>-11927897</v>
      </c>
      <c r="F13" s="9" t="n">
        <v>-12537227</v>
      </c>
    </row>
    <row r="14">
      <c r="A14" s="10" t="inlineStr">
        <is>
          <t xml:space="preserve">    Net property, plant &amp; equipment</t>
        </is>
      </c>
      <c r="B14" s="11" t="n">
        <v>10001130</v>
      </c>
      <c r="C14" s="11" t="n">
        <v>10420725</v>
      </c>
      <c r="D14" s="11" t="n">
        <v>10621216</v>
      </c>
      <c r="E14" s="11" t="n">
        <v>10791247</v>
      </c>
      <c r="F14" s="11" t="n">
        <v>11007357</v>
      </c>
    </row>
    <row r="15">
      <c r="A15" s="10" t="inlineStr">
        <is>
          <t>Total assets</t>
        </is>
      </c>
      <c r="B15" s="11" t="n">
        <v>15995830</v>
      </c>
      <c r="C15" s="11" t="n">
        <v>15860865</v>
      </c>
      <c r="D15" s="11" t="n">
        <v>16051755</v>
      </c>
      <c r="E15" s="11" t="n">
        <v>17189100</v>
      </c>
      <c r="F15" s="11" t="n">
        <v>18520127</v>
      </c>
    </row>
    <row r="17">
      <c r="A17" s="6" t="inlineStr">
        <is>
          <t>Liabilities</t>
        </is>
      </c>
      <c r="B17" s="7" t="n"/>
      <c r="C17" s="7" t="n"/>
      <c r="D17" s="7" t="n"/>
      <c r="E17" s="7" t="n"/>
      <c r="F17" s="7" t="n"/>
    </row>
    <row r="18">
      <c r="A18" s="8" t="inlineStr">
        <is>
          <t xml:space="preserve">    Accounts payable</t>
        </is>
      </c>
      <c r="B18" s="9" t="n">
        <v>223146</v>
      </c>
      <c r="C18" s="9" t="n">
        <v>362752</v>
      </c>
      <c r="D18" s="9" t="n">
        <v>213615</v>
      </c>
      <c r="E18" s="9" t="n">
        <v>514773</v>
      </c>
      <c r="F18" s="9" t="n">
        <v>190537</v>
      </c>
    </row>
    <row r="19">
      <c r="A19" s="8" t="inlineStr">
        <is>
          <t xml:space="preserve">    Mortgages &amp; notes payable</t>
        </is>
      </c>
      <c r="B19" s="9" t="n">
        <v>11891</v>
      </c>
      <c r="C19" s="9" t="n">
        <v>4909</v>
      </c>
      <c r="D19" s="9" t="n"/>
      <c r="E19" s="9" t="n"/>
      <c r="F19" s="9" t="n"/>
    </row>
    <row r="20">
      <c r="A20" s="10" t="inlineStr">
        <is>
          <t>Total liabilities</t>
        </is>
      </c>
      <c r="B20" s="11" t="n">
        <v>235037</v>
      </c>
      <c r="C20" s="11" t="n">
        <v>367661</v>
      </c>
      <c r="D20" s="11" t="n">
        <v>213615</v>
      </c>
      <c r="E20" s="11" t="n">
        <v>514773</v>
      </c>
      <c r="F20" s="11" t="n">
        <v>190537</v>
      </c>
    </row>
    <row r="22">
      <c r="A22" s="6" t="inlineStr">
        <is>
          <t>Net Assets / Equity</t>
        </is>
      </c>
      <c r="B22" s="7" t="n"/>
      <c r="C22" s="7" t="n"/>
      <c r="D22" s="7" t="n"/>
      <c r="E22" s="7" t="n"/>
      <c r="F22" s="7" t="n"/>
    </row>
    <row r="23">
      <c r="A23" s="8" t="inlineStr">
        <is>
          <t xml:space="preserve">    Capital stock</t>
        </is>
      </c>
      <c r="B23" s="9" t="n">
        <v>233350</v>
      </c>
      <c r="C23" s="9" t="n">
        <v>233350</v>
      </c>
      <c r="D23" s="9" t="n">
        <v>233350</v>
      </c>
      <c r="E23" s="9" t="n">
        <v>233350</v>
      </c>
      <c r="F23" s="9" t="n">
        <v>233350</v>
      </c>
    </row>
    <row r="24">
      <c r="A24" s="8" t="inlineStr">
        <is>
          <t xml:space="preserve">    Paid-in capital</t>
        </is>
      </c>
      <c r="B24" s="9" t="n">
        <v>537305</v>
      </c>
      <c r="C24" s="9" t="n">
        <v>537305</v>
      </c>
      <c r="D24" s="9" t="n">
        <v>537305</v>
      </c>
      <c r="E24" s="9" t="n">
        <v>560542</v>
      </c>
      <c r="F24" s="9" t="n">
        <v>560542</v>
      </c>
    </row>
    <row r="25">
      <c r="A25" s="8" t="inlineStr">
        <is>
          <t xml:space="preserve">    Retained earnings</t>
        </is>
      </c>
      <c r="B25" s="9" t="n">
        <v>14990138</v>
      </c>
      <c r="C25" s="9" t="n">
        <v>14722549</v>
      </c>
      <c r="D25" s="9" t="n">
        <v>15067485</v>
      </c>
      <c r="E25" s="9" t="n">
        <v>15880435</v>
      </c>
      <c r="F25" s="9" t="n">
        <v>17535698</v>
      </c>
    </row>
    <row r="26">
      <c r="A26" s="10" t="inlineStr">
        <is>
          <t>Net assets</t>
        </is>
      </c>
      <c r="B26" s="11" t="n">
        <v>15760793</v>
      </c>
      <c r="C26" s="11" t="n">
        <v>15493204</v>
      </c>
      <c r="D26" s="11" t="n">
        <v>15838140</v>
      </c>
      <c r="E26" s="11" t="n">
        <v>16674327</v>
      </c>
      <c r="F26" s="11" t="n">
        <v>18329590</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Rubio Canon Land &amp; Water Association</t>
        </is>
      </c>
    </row>
    <row r="2">
      <c r="A2" s="2" t="inlineStr">
        <is>
          <t>Officers, Directors &amp; Contractors - Form 990 Part VII (FY2024; USD)</t>
        </is>
      </c>
    </row>
    <row r="3">
      <c r="A3" s="2" t="inlineStr">
        <is>
          <t>Entity ID: cawc_0027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 FAHEY</t>
        </is>
      </c>
      <c r="B7" s="8" t="inlineStr">
        <is>
          <t>PRES</t>
        </is>
      </c>
      <c r="C7" s="9" t="n">
        <v>3000</v>
      </c>
      <c r="D7" s="9" t="n">
        <v>0</v>
      </c>
      <c r="E7" s="9" t="n">
        <v>0</v>
      </c>
      <c r="F7" s="9" t="n">
        <v>3000</v>
      </c>
    </row>
    <row r="8">
      <c r="A8" s="8" t="inlineStr">
        <is>
          <t>J GRAUNKE</t>
        </is>
      </c>
      <c r="B8" s="8" t="inlineStr">
        <is>
          <t>VP</t>
        </is>
      </c>
      <c r="C8" s="9" t="n">
        <v>3300</v>
      </c>
      <c r="D8" s="9" t="n">
        <v>0</v>
      </c>
      <c r="E8" s="9" t="n">
        <v>0</v>
      </c>
      <c r="F8" s="9" t="n">
        <v>3300</v>
      </c>
    </row>
    <row r="9">
      <c r="A9" s="8" t="inlineStr">
        <is>
          <t>J VRSALOVICH</t>
        </is>
      </c>
      <c r="B9" s="8" t="inlineStr">
        <is>
          <t>SECR/TREAS</t>
        </is>
      </c>
      <c r="C9" s="9" t="n">
        <v>3000</v>
      </c>
      <c r="D9" s="9" t="n">
        <v>0</v>
      </c>
      <c r="E9" s="9" t="n">
        <v>0</v>
      </c>
      <c r="F9" s="9" t="n">
        <v>3000</v>
      </c>
    </row>
    <row r="10">
      <c r="A10" s="8" t="inlineStr">
        <is>
          <t>J MOHR</t>
        </is>
      </c>
      <c r="B10" s="8" t="inlineStr">
        <is>
          <t>DIR</t>
        </is>
      </c>
      <c r="C10" s="9" t="n">
        <v>2700</v>
      </c>
      <c r="D10" s="9" t="n">
        <v>0</v>
      </c>
      <c r="E10" s="9" t="n">
        <v>0</v>
      </c>
      <c r="F10" s="9" t="n">
        <v>2700</v>
      </c>
    </row>
    <row r="11">
      <c r="A11" s="17" t="inlineStr">
        <is>
          <t>L YAMASHITA-LOPEZ</t>
        </is>
      </c>
      <c r="B11" s="17" t="inlineStr">
        <is>
          <t>ASST SECR/GM</t>
        </is>
      </c>
      <c r="C11" s="18" t="n">
        <v>250508</v>
      </c>
      <c r="D11" s="18" t="n">
        <v>0</v>
      </c>
      <c r="E11" s="18" t="n">
        <v>0</v>
      </c>
      <c r="F11" s="18" t="n">
        <v>250508</v>
      </c>
    </row>
    <row r="12">
      <c r="A12" s="17" t="inlineStr">
        <is>
          <t>A DE LA PAZ</t>
        </is>
      </c>
      <c r="B12" s="17" t="inlineStr">
        <is>
          <t>ASST GM</t>
        </is>
      </c>
      <c r="C12" s="18" t="n">
        <v>198364</v>
      </c>
      <c r="D12" s="18" t="n">
        <v>0</v>
      </c>
      <c r="E12" s="18" t="n">
        <v>0</v>
      </c>
      <c r="F12" s="18" t="n">
        <v>198364</v>
      </c>
    </row>
    <row r="14">
      <c r="A14" s="6" t="inlineStr">
        <is>
          <t>Section B - Independent contractors (over $100,000)</t>
        </is>
      </c>
      <c r="B14" s="7" t="n"/>
      <c r="C14" s="7" t="n"/>
      <c r="D14" s="7" t="n"/>
      <c r="E14" s="7" t="n"/>
      <c r="F14" s="7" t="n"/>
    </row>
    <row r="15">
      <c r="A15" s="5" t="inlineStr">
        <is>
          <t>Contractor</t>
        </is>
      </c>
      <c r="B15" s="5" t="inlineStr">
        <is>
          <t>Services</t>
        </is>
      </c>
      <c r="C15" s="5" t="inlineStr">
        <is>
          <t>Compensation</t>
        </is>
      </c>
    </row>
    <row r="17" ht="42" customHeight="1">
      <c r="A17"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7:F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Rubio Canon Land &amp; Water Association</t>
        </is>
      </c>
    </row>
    <row r="2">
      <c r="A2" s="2" t="inlineStr">
        <is>
          <t>Revenue - Form 990 Part VIII (USD)</t>
        </is>
      </c>
    </row>
    <row r="3">
      <c r="A3" s="2" t="inlineStr">
        <is>
          <t>Entity ID: cawc_0027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row>
    <row r="8">
      <c r="A8" s="8" t="inlineStr">
        <is>
          <t xml:space="preserve">    2g. Total program service revenue</t>
        </is>
      </c>
      <c r="B8" s="19" t="inlineStr">
        <is>
          <t>not reported</t>
        </is>
      </c>
      <c r="C8" s="19" t="inlineStr">
        <is>
          <t>not reported</t>
        </is>
      </c>
      <c r="D8" s="19" t="inlineStr">
        <is>
          <t>not reported</t>
        </is>
      </c>
      <c r="E8" s="19" t="inlineStr">
        <is>
          <t>not reported</t>
        </is>
      </c>
      <c r="F8" s="9" t="n">
        <v>4662328</v>
      </c>
    </row>
    <row r="9">
      <c r="A9" s="8" t="inlineStr">
        <is>
          <t xml:space="preserve">    3. Investment income</t>
        </is>
      </c>
      <c r="B9" s="9" t="n">
        <v>238471</v>
      </c>
      <c r="C9" s="9" t="n">
        <v>103061</v>
      </c>
      <c r="D9" s="9" t="n">
        <v>37344</v>
      </c>
      <c r="E9" s="9" t="n">
        <v>100181</v>
      </c>
      <c r="F9" s="9" t="n">
        <v>236534</v>
      </c>
    </row>
    <row r="10">
      <c r="A10" s="8" t="inlineStr">
        <is>
          <t xml:space="preserve">    6d. Net rental income</t>
        </is>
      </c>
      <c r="B10" s="19" t="inlineStr">
        <is>
          <t>not reported</t>
        </is>
      </c>
      <c r="C10" s="19" t="inlineStr">
        <is>
          <t>not reported</t>
        </is>
      </c>
      <c r="D10" s="19" t="inlineStr">
        <is>
          <t>not reported</t>
        </is>
      </c>
      <c r="E10" s="19" t="inlineStr">
        <is>
          <t>not reported</t>
        </is>
      </c>
      <c r="F10" s="19" t="inlineStr">
        <is>
          <t>not reported</t>
        </is>
      </c>
    </row>
    <row r="11">
      <c r="A11" s="8" t="inlineStr">
        <is>
          <t xml:space="preserve">    7d. Net gain/(loss) from investment sales</t>
        </is>
      </c>
      <c r="B11" s="19" t="inlineStr">
        <is>
          <t>not reported</t>
        </is>
      </c>
      <c r="C11" s="19" t="inlineStr">
        <is>
          <t>not reported</t>
        </is>
      </c>
      <c r="D11" s="19" t="inlineStr">
        <is>
          <t>not reported</t>
        </is>
      </c>
      <c r="E11" s="19" t="inlineStr">
        <is>
          <t>not reported</t>
        </is>
      </c>
      <c r="F11" s="19" t="inlineStr">
        <is>
          <t>not reported</t>
        </is>
      </c>
    </row>
    <row r="12">
      <c r="A12" s="8" t="inlineStr">
        <is>
          <t xml:space="preserve">    11e. Other revenue</t>
        </is>
      </c>
      <c r="B12" s="19" t="inlineStr">
        <is>
          <t>not reported</t>
        </is>
      </c>
      <c r="C12" s="9" t="n">
        <v>759</v>
      </c>
      <c r="D12" s="19" t="inlineStr">
        <is>
          <t>not reported</t>
        </is>
      </c>
      <c r="E12" s="9" t="n">
        <v>93067</v>
      </c>
      <c r="F12" s="9" t="n">
        <v>90156</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POTABLE WATER</t>
        </is>
      </c>
      <c r="B17" s="8" t="inlineStr">
        <is>
          <t>221000</t>
        </is>
      </c>
      <c r="C17" s="9" t="n">
        <v>4613595</v>
      </c>
    </row>
    <row r="18">
      <c r="A18" s="8" t="inlineStr">
        <is>
          <t>OTHER MEMBER SERVICES</t>
        </is>
      </c>
      <c r="B18" s="8" t="inlineStr">
        <is>
          <t>221000</t>
        </is>
      </c>
      <c r="C18" s="9" t="n">
        <v>48733</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Rubio Canon Land &amp; Water Association</t>
        </is>
      </c>
    </row>
    <row r="2">
      <c r="A2" s="2" t="inlineStr">
        <is>
          <t>Statement of Functional Expenses - Form 990 Part IX (USD)</t>
        </is>
      </c>
    </row>
    <row r="3">
      <c r="A3" s="2" t="inlineStr">
        <is>
          <t>Entity ID: cawc_0027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5. Compensation of current officers, directors, trustees</t>
        </is>
      </c>
      <c r="B7" s="19" t="inlineStr">
        <is>
          <t>not reported</t>
        </is>
      </c>
      <c r="C7" s="9" t="n">
        <v>348653</v>
      </c>
      <c r="D7" s="9" t="n">
        <v>379348</v>
      </c>
      <c r="E7" s="19" t="inlineStr">
        <is>
          <t>not reported</t>
        </is>
      </c>
      <c r="F7" s="9" t="n">
        <v>460872</v>
      </c>
    </row>
    <row r="8">
      <c r="A8" s="8" t="inlineStr">
        <is>
          <t xml:space="preserve">    7. Other salaries and wages</t>
        </is>
      </c>
      <c r="B8" s="9" t="n">
        <v>274941</v>
      </c>
      <c r="C8" s="9" t="n">
        <v>75975</v>
      </c>
      <c r="D8" s="9" t="n">
        <v>76067</v>
      </c>
      <c r="E8" s="9" t="n">
        <v>242358</v>
      </c>
      <c r="F8" s="9" t="n">
        <v>374907</v>
      </c>
    </row>
    <row r="9">
      <c r="A9" s="8" t="inlineStr">
        <is>
          <t xml:space="preserve">    8. Pension plan accruals and contributions</t>
        </is>
      </c>
      <c r="B9" s="9" t="n">
        <v>65321</v>
      </c>
      <c r="C9" s="9" t="n">
        <v>68898</v>
      </c>
      <c r="D9" s="9" t="n">
        <v>55827</v>
      </c>
      <c r="E9" s="9" t="n">
        <v>75483</v>
      </c>
      <c r="F9" s="9" t="n">
        <v>79244</v>
      </c>
    </row>
    <row r="10">
      <c r="A10" s="8" t="inlineStr">
        <is>
          <t xml:space="preserve">    9. Other employee benefits</t>
        </is>
      </c>
      <c r="B10" s="9" t="n">
        <v>96692</v>
      </c>
      <c r="C10" s="9" t="n">
        <v>193053</v>
      </c>
      <c r="D10" s="9" t="n">
        <v>217824</v>
      </c>
      <c r="E10" s="9" t="n">
        <v>285286</v>
      </c>
      <c r="F10" s="9" t="n">
        <v>147486</v>
      </c>
    </row>
    <row r="11">
      <c r="A11" s="8" t="inlineStr">
        <is>
          <t xml:space="preserve">    10. Payroll taxes</t>
        </is>
      </c>
      <c r="B11" s="9" t="n">
        <v>60041</v>
      </c>
      <c r="C11" s="9" t="n">
        <v>64238</v>
      </c>
      <c r="D11" s="9" t="n">
        <v>76290</v>
      </c>
      <c r="E11" s="9" t="n">
        <v>70113</v>
      </c>
      <c r="F11" s="9" t="n">
        <v>63409</v>
      </c>
    </row>
    <row r="12">
      <c r="A12" s="8" t="inlineStr">
        <is>
          <t xml:space="preserve">    11g. Fees for services: other</t>
        </is>
      </c>
      <c r="B12" s="9" t="n">
        <v>91293</v>
      </c>
      <c r="C12" s="9" t="n">
        <v>79644</v>
      </c>
      <c r="D12" s="9" t="n">
        <v>125716</v>
      </c>
      <c r="E12" s="9" t="n">
        <v>109828</v>
      </c>
      <c r="F12" s="9" t="n">
        <v>224640</v>
      </c>
    </row>
    <row r="13">
      <c r="A13" s="8" t="inlineStr">
        <is>
          <t xml:space="preserve">    13. Office expenses</t>
        </is>
      </c>
      <c r="B13" s="9" t="n">
        <v>87842</v>
      </c>
      <c r="C13" s="9" t="n">
        <v>86519</v>
      </c>
      <c r="D13" s="9" t="n">
        <v>95900</v>
      </c>
      <c r="E13" s="9" t="n">
        <v>103148</v>
      </c>
      <c r="F13" s="9" t="n">
        <v>149800</v>
      </c>
    </row>
    <row r="14">
      <c r="A14" s="8" t="inlineStr">
        <is>
          <t xml:space="preserve">    14. Information technology</t>
        </is>
      </c>
      <c r="B14" s="19" t="inlineStr">
        <is>
          <t>not reported</t>
        </is>
      </c>
      <c r="C14" s="9" t="n">
        <v>15836</v>
      </c>
      <c r="D14" s="9" t="n">
        <v>14381</v>
      </c>
      <c r="E14" s="9" t="n">
        <v>13836</v>
      </c>
      <c r="F14" s="19" t="inlineStr">
        <is>
          <t>not reported</t>
        </is>
      </c>
    </row>
    <row r="15">
      <c r="A15" s="8" t="inlineStr">
        <is>
          <t xml:space="preserve">    16. Occupancy</t>
        </is>
      </c>
      <c r="B15" s="9" t="n">
        <v>37294</v>
      </c>
      <c r="C15" s="19" t="inlineStr">
        <is>
          <t>not reported</t>
        </is>
      </c>
      <c r="D15" s="19" t="inlineStr">
        <is>
          <t>not reported</t>
        </is>
      </c>
      <c r="E15" s="19" t="inlineStr">
        <is>
          <t>not reported</t>
        </is>
      </c>
      <c r="F15" s="19" t="inlineStr">
        <is>
          <t>not reported</t>
        </is>
      </c>
    </row>
    <row r="16">
      <c r="A16" s="8" t="inlineStr">
        <is>
          <t xml:space="preserve">    20. Interest</t>
        </is>
      </c>
      <c r="B16" s="9" t="n">
        <v>942</v>
      </c>
      <c r="C16" s="19" t="inlineStr">
        <is>
          <t>not reported</t>
        </is>
      </c>
      <c r="D16" s="19" t="inlineStr">
        <is>
          <t>not reported</t>
        </is>
      </c>
      <c r="E16" s="19" t="inlineStr">
        <is>
          <t>not reported</t>
        </is>
      </c>
      <c r="F16" s="19" t="inlineStr">
        <is>
          <t>not reported</t>
        </is>
      </c>
    </row>
    <row r="17">
      <c r="A17" s="8" t="inlineStr">
        <is>
          <t xml:space="preserve">    22. Depreciation, depletion, and amortization</t>
        </is>
      </c>
      <c r="B17" s="9" t="n">
        <v>615300</v>
      </c>
      <c r="C17" s="9" t="n">
        <v>584742</v>
      </c>
      <c r="D17" s="9" t="n">
        <v>510970</v>
      </c>
      <c r="E17" s="9" t="n">
        <v>567376</v>
      </c>
      <c r="F17" s="9" t="n">
        <v>609330</v>
      </c>
    </row>
    <row r="18">
      <c r="A18" s="8" t="inlineStr">
        <is>
          <t xml:space="preserve">    23. Insurance</t>
        </is>
      </c>
      <c r="B18" s="9" t="n">
        <v>100191</v>
      </c>
      <c r="C18" s="9" t="n">
        <v>121300</v>
      </c>
      <c r="D18" s="9" t="n">
        <v>137038</v>
      </c>
      <c r="E18" s="9" t="n">
        <v>145045</v>
      </c>
      <c r="F18" s="9" t="n">
        <v>162984</v>
      </c>
    </row>
    <row r="19">
      <c r="A19" s="8" t="inlineStr">
        <is>
          <t xml:space="preserve">    24. VEHICLES</t>
        </is>
      </c>
      <c r="B19" s="9" t="n">
        <v>57549</v>
      </c>
      <c r="C19" s="9" t="n">
        <v>62934</v>
      </c>
      <c r="D19" s="9" t="n">
        <v>84088</v>
      </c>
      <c r="E19" s="9" t="n">
        <v>175998</v>
      </c>
      <c r="F19" s="19" t="inlineStr">
        <is>
          <t>not reported</t>
        </is>
      </c>
    </row>
    <row r="20">
      <c r="A20" s="8" t="inlineStr">
        <is>
          <t xml:space="preserve">    24. ALL OTHER</t>
        </is>
      </c>
      <c r="B20" s="9" t="n">
        <v>51812</v>
      </c>
      <c r="C20" s="9" t="n">
        <v>81045</v>
      </c>
      <c r="D20" s="9" t="n">
        <v>81727</v>
      </c>
      <c r="E20" s="9" t="n">
        <v>117910</v>
      </c>
      <c r="F20" s="19" t="inlineStr">
        <is>
          <t>not reported</t>
        </is>
      </c>
    </row>
    <row r="21">
      <c r="A21" s="8" t="inlineStr">
        <is>
          <t xml:space="preserve">    24. PRINTING AND POSTAGE</t>
        </is>
      </c>
      <c r="B21" s="9" t="n">
        <v>20279</v>
      </c>
      <c r="C21" s="9" t="n">
        <v>31908</v>
      </c>
      <c r="D21" s="9" t="n">
        <v>25415</v>
      </c>
      <c r="E21" s="9" t="n">
        <v>26059</v>
      </c>
      <c r="F21" s="19" t="inlineStr">
        <is>
          <t>not reported</t>
        </is>
      </c>
    </row>
    <row r="22">
      <c r="A22" s="8" t="inlineStr">
        <is>
          <t xml:space="preserve">    24. UNREALIZED LOSS ON INVE</t>
        </is>
      </c>
      <c r="B22" s="19" t="inlineStr">
        <is>
          <t>not reported</t>
        </is>
      </c>
      <c r="C22" s="19" t="inlineStr">
        <is>
          <t>not reported</t>
        </is>
      </c>
      <c r="D22" s="9" t="n">
        <v>344202</v>
      </c>
      <c r="E22" s="19" t="inlineStr">
        <is>
          <t>not reported</t>
        </is>
      </c>
      <c r="F22" s="19" t="inlineStr">
        <is>
          <t>not reported</t>
        </is>
      </c>
    </row>
    <row r="23">
      <c r="A23" s="8" t="inlineStr">
        <is>
          <t xml:space="preserve">    24. STATE TAX</t>
        </is>
      </c>
      <c r="B23" s="19" t="inlineStr">
        <is>
          <t>not reported</t>
        </is>
      </c>
      <c r="C23" s="19" t="inlineStr">
        <is>
          <t>not reported</t>
        </is>
      </c>
      <c r="D23" s="19" t="inlineStr">
        <is>
          <t>not reported</t>
        </is>
      </c>
      <c r="E23" s="9" t="n">
        <v>800</v>
      </c>
      <c r="F23" s="19" t="inlineStr">
        <is>
          <t>not reported</t>
        </is>
      </c>
    </row>
    <row r="24">
      <c r="A24" s="8" t="inlineStr">
        <is>
          <t xml:space="preserve">    24. POWER</t>
        </is>
      </c>
      <c r="B24" s="19" t="inlineStr">
        <is>
          <t>not reported</t>
        </is>
      </c>
      <c r="C24" s="19" t="inlineStr">
        <is>
          <t>not reported</t>
        </is>
      </c>
      <c r="D24" s="19" t="inlineStr">
        <is>
          <t>not reported</t>
        </is>
      </c>
      <c r="E24" s="19" t="inlineStr">
        <is>
          <t>not reported</t>
        </is>
      </c>
      <c r="F24" s="9" t="n">
        <v>372033</v>
      </c>
    </row>
    <row r="25">
      <c r="A25" s="8" t="inlineStr">
        <is>
          <t xml:space="preserve">    24. PUCHASED WATER</t>
        </is>
      </c>
      <c r="B25" s="19" t="inlineStr">
        <is>
          <t>not reported</t>
        </is>
      </c>
      <c r="C25" s="19" t="inlineStr">
        <is>
          <t>not reported</t>
        </is>
      </c>
      <c r="D25" s="19" t="inlineStr">
        <is>
          <t>not reported</t>
        </is>
      </c>
      <c r="E25" s="19" t="inlineStr">
        <is>
          <t>not reported</t>
        </is>
      </c>
      <c r="F25" s="9" t="n">
        <v>315525</v>
      </c>
    </row>
    <row r="26">
      <c r="A26" s="8" t="inlineStr">
        <is>
          <t xml:space="preserve">    24. DISTRIBUTION COSTS</t>
        </is>
      </c>
      <c r="B26" s="19" t="inlineStr">
        <is>
          <t>not reported</t>
        </is>
      </c>
      <c r="C26" s="19" t="inlineStr">
        <is>
          <t>not reported</t>
        </is>
      </c>
      <c r="D26" s="19" t="inlineStr">
        <is>
          <t>not reported</t>
        </is>
      </c>
      <c r="E26" s="19" t="inlineStr">
        <is>
          <t>not reported</t>
        </is>
      </c>
      <c r="F26" s="9" t="n">
        <v>196366</v>
      </c>
    </row>
    <row r="27">
      <c r="A27" s="8" t="inlineStr">
        <is>
          <t xml:space="preserve">    24. VEHICLE MAINTENANCE, FU</t>
        </is>
      </c>
      <c r="B27" s="19" t="inlineStr">
        <is>
          <t>not reported</t>
        </is>
      </c>
      <c r="C27" s="19" t="inlineStr">
        <is>
          <t>not reported</t>
        </is>
      </c>
      <c r="D27" s="19" t="inlineStr">
        <is>
          <t>not reported</t>
        </is>
      </c>
      <c r="E27" s="19" t="inlineStr">
        <is>
          <t>not reported</t>
        </is>
      </c>
      <c r="F27" s="9" t="n">
        <v>112138</v>
      </c>
    </row>
    <row r="28">
      <c r="A28" s="8" t="inlineStr">
        <is>
          <t xml:space="preserve">    24e. All other expenses</t>
        </is>
      </c>
      <c r="B28" s="19" t="inlineStr">
        <is>
          <t>not reported</t>
        </is>
      </c>
      <c r="C28" s="19" t="inlineStr">
        <is>
          <t>not reported</t>
        </is>
      </c>
      <c r="D28" s="19" t="inlineStr">
        <is>
          <t>not reported</t>
        </is>
      </c>
      <c r="E28" s="19" t="inlineStr">
        <is>
          <t>not reported</t>
        </is>
      </c>
      <c r="F28" s="9" t="n">
        <v>65021</v>
      </c>
    </row>
    <row r="29">
      <c r="A29" s="10" t="inlineStr">
        <is>
          <t>25. Total functional expenses</t>
        </is>
      </c>
      <c r="B29" s="11">
        <f>SUM(B7:B28)</f>
        <v/>
      </c>
      <c r="C29" s="11">
        <f>SUM(C7:C28)</f>
        <v/>
      </c>
      <c r="D29" s="11">
        <f>SUM(D7:D28)</f>
        <v/>
      </c>
      <c r="E29" s="11">
        <f>SUM(E7:E28)</f>
        <v/>
      </c>
      <c r="F29" s="11">
        <f>SUM(F7:F28)</f>
        <v/>
      </c>
    </row>
    <row r="31">
      <c r="A31" s="6" t="inlineStr">
        <is>
          <t>Functional column split - FY2024 (col A = B + C + D)</t>
        </is>
      </c>
      <c r="B31" s="7" t="n"/>
      <c r="C31" s="7" t="n"/>
      <c r="D31" s="7" t="n"/>
      <c r="E31" s="7" t="n"/>
      <c r="F31" s="7" t="n"/>
    </row>
    <row r="32">
      <c r="A32" s="5" t="inlineStr">
        <is>
          <t>Part IX line</t>
        </is>
      </c>
      <c r="B32" s="5" t="inlineStr">
        <is>
          <t>A. Total</t>
        </is>
      </c>
      <c r="C32" s="5" t="inlineStr">
        <is>
          <t>B. Program services</t>
        </is>
      </c>
      <c r="D32" s="5" t="inlineStr">
        <is>
          <t>C. Management &amp; general</t>
        </is>
      </c>
      <c r="E32" s="5" t="inlineStr">
        <is>
          <t>D. Fundraising</t>
        </is>
      </c>
    </row>
    <row r="33">
      <c r="A33" s="20" t="inlineStr">
        <is>
          <t>5. Compensation of current officers, directors, trustees</t>
        </is>
      </c>
      <c r="B33" s="9" t="n">
        <v>460872</v>
      </c>
      <c r="C33" s="9" t="n">
        <v>460872</v>
      </c>
      <c r="D33" s="9" t="n"/>
      <c r="E33" s="9" t="n"/>
    </row>
    <row r="34">
      <c r="A34" s="20" t="inlineStr">
        <is>
          <t>7. Other salaries and wages</t>
        </is>
      </c>
      <c r="B34" s="9" t="n">
        <v>374907</v>
      </c>
      <c r="C34" s="9" t="n">
        <v>374907</v>
      </c>
      <c r="D34" s="9" t="n"/>
      <c r="E34" s="9" t="n"/>
    </row>
    <row r="35">
      <c r="A35" s="20" t="inlineStr">
        <is>
          <t>8. Pension plan accruals and contributions</t>
        </is>
      </c>
      <c r="B35" s="9" t="n">
        <v>79244</v>
      </c>
      <c r="C35" s="9" t="n">
        <v>79244</v>
      </c>
      <c r="D35" s="9" t="n"/>
      <c r="E35" s="9" t="n"/>
    </row>
    <row r="36">
      <c r="A36" s="20" t="inlineStr">
        <is>
          <t>9. Other employee benefits</t>
        </is>
      </c>
      <c r="B36" s="9" t="n">
        <v>147486</v>
      </c>
      <c r="C36" s="9" t="n">
        <v>147486</v>
      </c>
      <c r="D36" s="9" t="n"/>
      <c r="E36" s="9" t="n"/>
    </row>
    <row r="37">
      <c r="A37" s="20" t="inlineStr">
        <is>
          <t>10. Payroll taxes</t>
        </is>
      </c>
      <c r="B37" s="9" t="n">
        <v>63409</v>
      </c>
      <c r="C37" s="9" t="n">
        <v>63409</v>
      </c>
      <c r="D37" s="9" t="n"/>
      <c r="E37" s="9" t="n"/>
    </row>
    <row r="38">
      <c r="A38" s="20" t="inlineStr">
        <is>
          <t>11g. Fees for services: other</t>
        </is>
      </c>
      <c r="B38" s="9" t="n">
        <v>224640</v>
      </c>
      <c r="C38" s="9" t="n">
        <v>224640</v>
      </c>
      <c r="D38" s="9" t="n"/>
      <c r="E38" s="9" t="n"/>
    </row>
    <row r="39">
      <c r="A39" s="20" t="inlineStr">
        <is>
          <t>13. Office expenses</t>
        </is>
      </c>
      <c r="B39" s="9" t="n">
        <v>149800</v>
      </c>
      <c r="C39" s="9" t="n">
        <v>149800</v>
      </c>
      <c r="D39" s="9" t="n"/>
      <c r="E39" s="9" t="n"/>
    </row>
    <row r="40">
      <c r="A40" s="20" t="inlineStr">
        <is>
          <t>22. Depreciation, depletion, and amortization</t>
        </is>
      </c>
      <c r="B40" s="9" t="n">
        <v>609330</v>
      </c>
      <c r="C40" s="9" t="n">
        <v>609330</v>
      </c>
      <c r="D40" s="9" t="n"/>
      <c r="E40" s="9" t="n"/>
    </row>
    <row r="41">
      <c r="A41" s="20" t="inlineStr">
        <is>
          <t>23. Insurance</t>
        </is>
      </c>
      <c r="B41" s="9" t="n">
        <v>162984</v>
      </c>
      <c r="C41" s="9" t="n">
        <v>162984</v>
      </c>
      <c r="D41" s="9" t="n"/>
      <c r="E41" s="9" t="n"/>
    </row>
    <row r="42">
      <c r="A42" s="10" t="inlineStr">
        <is>
          <t>25. Total (filed col A / B / C / D)</t>
        </is>
      </c>
      <c r="B42" s="11" t="n">
        <v>3333755</v>
      </c>
      <c r="C42" s="11" t="n">
        <v>3333755</v>
      </c>
      <c r="D42" s="11" t="n">
        <v>0</v>
      </c>
      <c r="E42" s="11" t="n">
        <v>0</v>
      </c>
    </row>
    <row r="44" ht="42" customHeight="1">
      <c r="A44"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44:F44"/>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Rubio Canon Land &amp; Water Association</t>
        </is>
      </c>
    </row>
    <row r="2">
      <c r="A2" s="2" t="inlineStr">
        <is>
          <t>Balance Sheet - Form 990 Part X (end of year, USD)</t>
        </is>
      </c>
    </row>
    <row r="3">
      <c r="A3" s="2" t="inlineStr">
        <is>
          <t>Entity ID: cawc_0027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2757999</v>
      </c>
      <c r="C7" s="9" t="n">
        <v>2239130</v>
      </c>
      <c r="D7" s="9" t="n">
        <v>2577799</v>
      </c>
      <c r="E7" s="9" t="n">
        <v>3255089</v>
      </c>
      <c r="F7" s="9" t="n">
        <v>3999907</v>
      </c>
    </row>
    <row r="8">
      <c r="A8" s="8" t="inlineStr">
        <is>
          <t xml:space="preserve">    2. Savings and temporary cash investments</t>
        </is>
      </c>
      <c r="B8" s="9" t="n">
        <v>2408723</v>
      </c>
      <c r="C8" s="9" t="n">
        <v>2511646</v>
      </c>
      <c r="D8" s="9" t="n">
        <v>2204125</v>
      </c>
      <c r="E8" s="9" t="n">
        <v>2383956</v>
      </c>
      <c r="F8" s="9" t="n">
        <v>2583076</v>
      </c>
    </row>
    <row r="9">
      <c r="A9" s="8" t="inlineStr">
        <is>
          <t xml:space="preserve">    4. Accounts receivable, net</t>
        </is>
      </c>
      <c r="B9" s="9" t="n">
        <v>337016</v>
      </c>
      <c r="C9" s="9" t="n">
        <v>210407</v>
      </c>
      <c r="D9" s="9" t="n">
        <v>148765</v>
      </c>
      <c r="E9" s="9" t="n">
        <v>237055</v>
      </c>
      <c r="F9" s="9" t="n">
        <v>311864</v>
      </c>
    </row>
    <row r="10">
      <c r="A10" s="8" t="inlineStr">
        <is>
          <t xml:space="preserve">    8. Inventories for sale or use</t>
        </is>
      </c>
      <c r="B10" s="9" t="n">
        <v>84212</v>
      </c>
      <c r="C10" s="9" t="n">
        <v>90781</v>
      </c>
      <c r="D10" s="9" t="n">
        <v>102020</v>
      </c>
      <c r="E10" s="9" t="n">
        <v>128641</v>
      </c>
      <c r="F10" s="9" t="n">
        <v>175264</v>
      </c>
    </row>
    <row r="11">
      <c r="A11" s="8" t="inlineStr">
        <is>
          <t xml:space="preserve">    9. Prepaid expenses and deferred charges</t>
        </is>
      </c>
      <c r="B11" s="9" t="n">
        <v>40000</v>
      </c>
      <c r="C11" s="9" t="n">
        <v>21426</v>
      </c>
      <c r="D11" s="9" t="n">
        <v>31080</v>
      </c>
      <c r="E11" s="9" t="n">
        <v>26362</v>
      </c>
      <c r="F11" s="9" t="n">
        <v>75909</v>
      </c>
    </row>
    <row r="12">
      <c r="A12" s="8" t="inlineStr">
        <is>
          <t xml:space="preserve">    10c. Land, buildings, and equipment, net</t>
        </is>
      </c>
      <c r="B12" s="9" t="n">
        <v>10001130</v>
      </c>
      <c r="C12" s="9" t="n">
        <v>10420725</v>
      </c>
      <c r="D12" s="9" t="n">
        <v>10621216</v>
      </c>
      <c r="E12" s="9" t="n">
        <v>10791247</v>
      </c>
      <c r="F12" s="9" t="n">
        <v>11007357</v>
      </c>
    </row>
    <row r="13">
      <c r="A13" s="8" t="inlineStr">
        <is>
          <t xml:space="preserve">    15. Other assets</t>
        </is>
      </c>
      <c r="B13" s="9" t="n">
        <v>366750</v>
      </c>
      <c r="C13" s="9" t="n">
        <v>366750</v>
      </c>
      <c r="D13" s="9" t="n">
        <v>366750</v>
      </c>
      <c r="E13" s="9" t="n">
        <v>366750</v>
      </c>
      <c r="F13" s="9" t="n">
        <v>366750</v>
      </c>
    </row>
    <row r="14">
      <c r="A14" s="10" t="inlineStr">
        <is>
          <t>16. Total assets</t>
        </is>
      </c>
      <c r="B14" s="11">
        <f>SUM(B7:B13)</f>
        <v/>
      </c>
      <c r="C14" s="11">
        <f>SUM(C7:C13)</f>
        <v/>
      </c>
      <c r="D14" s="11">
        <f>SUM(D7:D13)</f>
        <v/>
      </c>
      <c r="E14" s="11">
        <f>SUM(E7:E13)</f>
        <v/>
      </c>
      <c r="F14" s="11">
        <f>SUM(F7:F13)</f>
        <v/>
      </c>
    </row>
    <row r="16">
      <c r="A16" s="6" t="inlineStr">
        <is>
          <t>Liabilities</t>
        </is>
      </c>
      <c r="B16" s="7" t="n"/>
      <c r="C16" s="7" t="n"/>
      <c r="D16" s="7" t="n"/>
      <c r="E16" s="7" t="n"/>
      <c r="F16" s="7" t="n"/>
    </row>
    <row r="17">
      <c r="A17" s="8" t="inlineStr">
        <is>
          <t xml:space="preserve">    17. Accounts payable and accrued expenses</t>
        </is>
      </c>
      <c r="B17" s="9" t="n">
        <v>223146</v>
      </c>
      <c r="C17" s="9" t="n">
        <v>362752</v>
      </c>
      <c r="D17" s="9" t="n">
        <v>213615</v>
      </c>
      <c r="E17" s="9" t="n">
        <v>514773</v>
      </c>
      <c r="F17" s="9" t="n">
        <v>190537</v>
      </c>
    </row>
    <row r="18">
      <c r="A18" s="8" t="inlineStr">
        <is>
          <t xml:space="preserve">    23. Secured mortgages and notes payable</t>
        </is>
      </c>
      <c r="B18" s="9" t="n">
        <v>11891</v>
      </c>
      <c r="C18" s="9" t="n">
        <v>4909</v>
      </c>
      <c r="D18" s="19" t="inlineStr">
        <is>
          <t>not reported</t>
        </is>
      </c>
      <c r="E18" s="19" t="inlineStr">
        <is>
          <t>not reported</t>
        </is>
      </c>
      <c r="F18" s="19" t="inlineStr">
        <is>
          <t>not reported</t>
        </is>
      </c>
    </row>
    <row r="19">
      <c r="A19" s="10" t="inlineStr">
        <is>
          <t>26. Total liabilities</t>
        </is>
      </c>
      <c r="B19" s="11">
        <f>SUM(B17:B18)</f>
        <v/>
      </c>
      <c r="C19" s="11">
        <f>SUM(C17:C18)</f>
        <v/>
      </c>
      <c r="D19" s="11">
        <f>SUM(D17:D18)</f>
        <v/>
      </c>
      <c r="E19" s="11">
        <f>SUM(E17:E18)</f>
        <v/>
      </c>
      <c r="F19" s="11">
        <f>SUM(F17:F18)</f>
        <v/>
      </c>
    </row>
    <row r="21">
      <c r="A21" s="6" t="inlineStr">
        <is>
          <t>Net assets / fund balances</t>
        </is>
      </c>
      <c r="B21" s="7" t="n"/>
      <c r="C21" s="7" t="n"/>
      <c r="D21" s="7" t="n"/>
      <c r="E21" s="7" t="n"/>
      <c r="F21" s="7" t="n"/>
    </row>
    <row r="22">
      <c r="A22" s="8" t="inlineStr">
        <is>
          <t xml:space="preserve">    29. Capital stock or trust principal</t>
        </is>
      </c>
      <c r="B22" s="9" t="n">
        <v>233350</v>
      </c>
      <c r="C22" s="9" t="n">
        <v>233350</v>
      </c>
      <c r="D22" s="9" t="n">
        <v>233350</v>
      </c>
      <c r="E22" s="9" t="n">
        <v>233350</v>
      </c>
      <c r="F22" s="9" t="n">
        <v>233350</v>
      </c>
    </row>
    <row r="23">
      <c r="A23" s="8" t="inlineStr">
        <is>
          <t xml:space="preserve">    30. Paid-in or capital surplus</t>
        </is>
      </c>
      <c r="B23" s="9" t="n">
        <v>537305</v>
      </c>
      <c r="C23" s="9" t="n">
        <v>537305</v>
      </c>
      <c r="D23" s="9" t="n">
        <v>537305</v>
      </c>
      <c r="E23" s="9" t="n">
        <v>560542</v>
      </c>
      <c r="F23" s="9" t="n">
        <v>560542</v>
      </c>
    </row>
    <row r="24">
      <c r="A24" s="8" t="inlineStr">
        <is>
          <t xml:space="preserve">    31. Retained earnings / accumulated funds</t>
        </is>
      </c>
      <c r="B24" s="9" t="n">
        <v>14990138</v>
      </c>
      <c r="C24" s="9" t="n">
        <v>14722549</v>
      </c>
      <c r="D24" s="9" t="n">
        <v>15067485</v>
      </c>
      <c r="E24" s="9" t="n">
        <v>15880435</v>
      </c>
      <c r="F24" s="9" t="n">
        <v>17535698</v>
      </c>
    </row>
    <row r="25">
      <c r="A25" s="10" t="inlineStr">
        <is>
          <t>32. Total net assets / fund balances</t>
        </is>
      </c>
      <c r="B25" s="11">
        <f>SUM(B22:B24)</f>
        <v/>
      </c>
      <c r="C25" s="11">
        <f>SUM(C22:C24)</f>
        <v/>
      </c>
      <c r="D25" s="11">
        <f>SUM(D22:D24)</f>
        <v/>
      </c>
      <c r="E25" s="11">
        <f>SUM(E22:E24)</f>
        <v/>
      </c>
      <c r="F25" s="11">
        <f>SUM(F22:F24)</f>
        <v/>
      </c>
    </row>
    <row r="27" ht="42" customHeight="1">
      <c r="A2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7:F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Rubio Canon Land &amp; Water Association</t>
        </is>
      </c>
    </row>
    <row r="2">
      <c r="A2" s="2" t="inlineStr">
        <is>
          <t>Reconciliation of Net Assets - Form 990 Part XI (USD)</t>
        </is>
      </c>
    </row>
    <row r="3">
      <c r="A3" s="2" t="inlineStr">
        <is>
          <t>Entity ID: cawc_0027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14309166</v>
      </c>
      <c r="C7" s="9" t="n">
        <v>15760793</v>
      </c>
      <c r="D7" s="9" t="n">
        <v>15493204</v>
      </c>
      <c r="E7" s="9" t="n">
        <v>15838140</v>
      </c>
      <c r="F7" s="9" t="n">
        <v>16674327</v>
      </c>
    </row>
    <row r="8">
      <c r="A8" s="8" t="inlineStr">
        <is>
          <t xml:space="preserve">    3. Revenue less expenses</t>
        </is>
      </c>
      <c r="B8" s="9" t="n">
        <v>1451627</v>
      </c>
      <c r="C8" s="9" t="n">
        <v>-267589</v>
      </c>
      <c r="D8" s="9" t="n">
        <v>344936</v>
      </c>
      <c r="E8" s="9" t="n">
        <v>812950</v>
      </c>
      <c r="F8" s="9" t="n">
        <v>1655263</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row>
    <row r="10">
      <c r="A10" s="8" t="inlineStr">
        <is>
          <t xml:space="preserve">    9. Other changes in net assets</t>
        </is>
      </c>
      <c r="B10" s="9" t="n">
        <v>0</v>
      </c>
      <c r="C10" s="9" t="n">
        <v>0</v>
      </c>
      <c r="D10" s="9" t="n">
        <v>0</v>
      </c>
      <c r="E10" s="9" t="n">
        <v>23237</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Rubio Canon Land &amp; Water Association</t>
        </is>
      </c>
    </row>
    <row r="2">
      <c r="A2" s="2" t="inlineStr">
        <is>
          <t>Cash Flow Proxies - derived (USD)</t>
        </is>
      </c>
    </row>
    <row r="3">
      <c r="A3" s="2" t="inlineStr">
        <is>
          <t>Entity ID: cawc_0027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1451627</v>
      </c>
      <c r="C9" s="9" t="n">
        <v>-267589</v>
      </c>
      <c r="D9" s="9" t="n">
        <v>344936</v>
      </c>
      <c r="E9" s="9" t="n">
        <v>812950</v>
      </c>
      <c r="F9" s="9" t="n">
        <v>1655263</v>
      </c>
    </row>
    <row r="10">
      <c r="A10" s="8" t="inlineStr">
        <is>
          <t xml:space="preserve">    + Depreciation (reported)</t>
        </is>
      </c>
      <c r="B10" s="9" t="n">
        <v>615300</v>
      </c>
      <c r="C10" s="9" t="n">
        <v>584742</v>
      </c>
      <c r="D10" s="9" t="n">
        <v>510970</v>
      </c>
      <c r="E10" s="9" t="n">
        <v>567376</v>
      </c>
      <c r="F10" s="9" t="n">
        <v>609330</v>
      </c>
    </row>
    <row r="11">
      <c r="A11" s="8" t="inlineStr">
        <is>
          <t xml:space="preserve">    − Δ Accounts receivable</t>
        </is>
      </c>
      <c r="B11" s="9" t="n"/>
      <c r="C11" s="9" t="n">
        <v>126609</v>
      </c>
      <c r="D11" s="9" t="n">
        <v>61642</v>
      </c>
      <c r="E11" s="9" t="n">
        <v>-88290</v>
      </c>
      <c r="F11" s="9" t="n">
        <v>-74809</v>
      </c>
    </row>
    <row r="12">
      <c r="A12" s="8" t="inlineStr">
        <is>
          <t xml:space="preserve">    − Δ Inventories</t>
        </is>
      </c>
      <c r="B12" s="9" t="n"/>
      <c r="C12" s="9" t="n">
        <v>-6569</v>
      </c>
      <c r="D12" s="9" t="n">
        <v>-11239</v>
      </c>
      <c r="E12" s="9" t="n">
        <v>-26621</v>
      </c>
      <c r="F12" s="9" t="n">
        <v>-46623</v>
      </c>
    </row>
    <row r="13">
      <c r="A13" s="8" t="inlineStr">
        <is>
          <t xml:space="preserve">    − Δ Prepaid expenses</t>
        </is>
      </c>
      <c r="B13" s="9" t="n"/>
      <c r="C13" s="9" t="n">
        <v>18574</v>
      </c>
      <c r="D13" s="9" t="n">
        <v>-9654</v>
      </c>
      <c r="E13" s="9" t="n">
        <v>4718</v>
      </c>
      <c r="F13" s="9" t="n">
        <v>-49547</v>
      </c>
    </row>
    <row r="14">
      <c r="A14" s="8" t="inlineStr">
        <is>
          <t xml:space="preserve">    + Δ Accounts payable</t>
        </is>
      </c>
      <c r="B14" s="9" t="n"/>
      <c r="C14" s="9" t="n">
        <v>139606</v>
      </c>
      <c r="D14" s="9" t="n">
        <v>-149137</v>
      </c>
      <c r="E14" s="9" t="n">
        <v>301158</v>
      </c>
      <c r="F14" s="9" t="n">
        <v>-324236</v>
      </c>
    </row>
    <row r="15">
      <c r="A15" s="10" t="inlineStr">
        <is>
          <t xml:space="preserve">    Operating cash flow proxy</t>
        </is>
      </c>
      <c r="B15" s="11" t="n"/>
      <c r="C15" s="11" t="n">
        <v>595373</v>
      </c>
      <c r="D15" s="11" t="n">
        <v>747518</v>
      </c>
      <c r="E15" s="11" t="n">
        <v>1571291</v>
      </c>
      <c r="F15" s="11" t="n">
        <v>1769378</v>
      </c>
    </row>
    <row r="17">
      <c r="A17" s="6" t="inlineStr">
        <is>
          <t>Investing</t>
        </is>
      </c>
      <c r="B17" s="7" t="n"/>
      <c r="C17" s="7" t="n"/>
      <c r="D17" s="7" t="n"/>
      <c r="E17" s="7" t="n"/>
      <c r="F17" s="7" t="n"/>
    </row>
    <row r="18">
      <c r="A18" s="8" t="inlineStr">
        <is>
          <t xml:space="preserve">    − Δ PP&amp;E gross (capex proxy)</t>
        </is>
      </c>
      <c r="B18" s="9" t="n"/>
      <c r="C18" s="9" t="n">
        <v>-1004337</v>
      </c>
      <c r="D18" s="9" t="n">
        <v>-711461</v>
      </c>
      <c r="E18" s="9" t="n">
        <v>-737406</v>
      </c>
      <c r="F18" s="9" t="n">
        <v>-825440</v>
      </c>
    </row>
    <row r="20">
      <c r="A20" s="6" t="inlineStr">
        <is>
          <t>Financing</t>
        </is>
      </c>
      <c r="B20" s="7" t="n"/>
      <c r="C20" s="7" t="n"/>
      <c r="D20" s="7" t="n"/>
      <c r="E20" s="7" t="n"/>
      <c r="F20" s="7" t="n"/>
    </row>
    <row r="21">
      <c r="A21" s="8" t="inlineStr">
        <is>
          <t xml:space="preserve">    Δ Mortgages &amp; notes payable</t>
        </is>
      </c>
      <c r="B21" s="9" t="n"/>
      <c r="C21" s="9" t="n">
        <v>-6982</v>
      </c>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-415946</v>
      </c>
      <c r="D24" s="11" t="n">
        <v>31148</v>
      </c>
      <c r="E24" s="11" t="n">
        <v>857121</v>
      </c>
      <c r="F24" s="11" t="n">
        <v>943938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Rubio Canon Land &amp; Water Association</t>
        </is>
      </c>
    </row>
    <row r="2">
      <c r="A2" s="2" t="inlineStr">
        <is>
          <t>Financial Ratios</t>
        </is>
      </c>
    </row>
    <row r="3">
      <c r="A3" s="2" t="inlineStr">
        <is>
          <t>Entity ID: cawc_0027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0.4820880840510056</v>
      </c>
      <c r="C7" s="12" t="n">
        <v>-0.1729554097970728</v>
      </c>
      <c r="D7" s="12" t="n">
        <v>0.1342304966788327</v>
      </c>
      <c r="E7" s="12" t="n">
        <v>0.2960283155936042</v>
      </c>
      <c r="F7" s="12" t="n">
        <v>0.3317813245011343</v>
      </c>
    </row>
    <row r="8">
      <c r="A8" s="8" t="inlineStr">
        <is>
          <t xml:space="preserve">    Expense ratio (expenses / revenue)</t>
        </is>
      </c>
      <c r="B8" s="12" t="n">
        <v>0.5179119159489944</v>
      </c>
      <c r="C8" s="12" t="n">
        <v>1.172955409797073</v>
      </c>
      <c r="D8" s="12" t="n">
        <v>0.8657695033211673</v>
      </c>
      <c r="E8" s="12" t="n">
        <v>0.7039716844063958</v>
      </c>
      <c r="F8" s="12" t="n">
        <v>0.6682186754988657</v>
      </c>
    </row>
    <row r="9">
      <c r="A9" s="8" t="inlineStr">
        <is>
          <t xml:space="preserve">    Return on assets (NI / assets)</t>
        </is>
      </c>
      <c r="B9" s="12" t="n">
        <v>0.09075033930718193</v>
      </c>
      <c r="C9" s="12" t="n">
        <v>-0.0168710218515825</v>
      </c>
      <c r="D9" s="12" t="n">
        <v>0.02148898983319892</v>
      </c>
      <c r="E9" s="12" t="n">
        <v>0.04729450640231309</v>
      </c>
      <c r="F9" s="12" t="n">
        <v>0.08937643894126644</v>
      </c>
    </row>
    <row r="10">
      <c r="A10" s="8" t="inlineStr">
        <is>
          <t xml:space="preserve">    Revenue growth (YoY)</t>
        </is>
      </c>
      <c r="B10" s="12" t="n">
        <v>0.2235422425699587</v>
      </c>
      <c r="C10" s="12" t="n">
        <v>-0.4861865535926119</v>
      </c>
      <c r="D10" s="12" t="n">
        <v>0.6609372293420961</v>
      </c>
      <c r="E10" s="12" t="n">
        <v>0.06866910868811459</v>
      </c>
      <c r="F10" s="12" t="n">
        <v>0.8167053262884214</v>
      </c>
    </row>
    <row r="12">
      <c r="A12" s="6" t="inlineStr">
        <is>
          <t>Leverage &amp; solvency</t>
        </is>
      </c>
      <c r="B12" s="7" t="n"/>
      <c r="C12" s="7" t="n"/>
      <c r="D12" s="7" t="n"/>
      <c r="E12" s="7" t="n"/>
      <c r="F12" s="7" t="n"/>
    </row>
    <row r="13">
      <c r="A13" s="8" t="inlineStr">
        <is>
          <t xml:space="preserve">    Debt-to-assets (liab. / assets)</t>
        </is>
      </c>
      <c r="B13" s="12" t="n">
        <v>0.01469364203045419</v>
      </c>
      <c r="C13" s="12" t="n">
        <v>0.02318038770268835</v>
      </c>
      <c r="D13" s="12" t="n">
        <v>0.01330789063251962</v>
      </c>
      <c r="E13" s="12" t="n">
        <v>0.02994764123776114</v>
      </c>
      <c r="F13" s="12" t="n">
        <v>0.01028810439582839</v>
      </c>
    </row>
    <row r="14">
      <c r="A14" s="8" t="inlineStr">
        <is>
          <t xml:space="preserve">    Equity ratio (net assets / assets)</t>
        </is>
      </c>
      <c r="B14" s="12" t="n">
        <v>0.9853063579695458</v>
      </c>
      <c r="C14" s="12" t="n">
        <v>0.9768196122973116</v>
      </c>
      <c r="D14" s="12" t="n">
        <v>0.9866921093674804</v>
      </c>
      <c r="E14" s="12" t="n">
        <v>0.9700523587622388</v>
      </c>
      <c r="F14" s="12" t="n">
        <v>0.9897118956041716</v>
      </c>
    </row>
    <row r="16">
      <c r="A16" s="6" t="inlineStr">
        <is>
          <t>Liquidity &amp; asset profile (derived here)</t>
        </is>
      </c>
      <c r="B16" s="7" t="n"/>
      <c r="C16" s="7" t="n"/>
      <c r="D16" s="7" t="n"/>
      <c r="E16" s="7" t="n"/>
      <c r="F16" s="7" t="n"/>
    </row>
    <row r="17">
      <c r="A17" s="8" t="inlineStr">
        <is>
          <t xml:space="preserve">    Current ratio (current assets / AP)</t>
        </is>
      </c>
      <c r="B17" s="21" t="n">
        <v>25.22093158739121</v>
      </c>
      <c r="C17" s="21" t="n">
        <v>13.98583605328158</v>
      </c>
      <c r="D17" s="21" t="n">
        <v>23.70521264892447</v>
      </c>
      <c r="E17" s="21" t="n">
        <v>11.71604377074944</v>
      </c>
      <c r="F17" s="21" t="n">
        <v>37.5046316463469</v>
      </c>
    </row>
    <row r="18">
      <c r="A18" s="8" t="inlineStr">
        <is>
          <t xml:space="preserve">    Cash ratio ((cash+temp inv.) / total liab.)</t>
        </is>
      </c>
      <c r="B18" s="21" t="n">
        <v>21.9825899751954</v>
      </c>
      <c r="C18" s="21" t="n">
        <v>12.92162073214184</v>
      </c>
      <c r="D18" s="21" t="n">
        <v>22.38571261381457</v>
      </c>
      <c r="E18" s="21" t="n">
        <v>10.95443039941877</v>
      </c>
      <c r="F18" s="21" t="n">
        <v>34.54963078037336</v>
      </c>
    </row>
    <row r="19">
      <c r="A19" s="8" t="inlineStr">
        <is>
          <t xml:space="preserve">    Asset age proxy (accum. deprec. / gross PP&amp;E)</t>
        </is>
      </c>
      <c r="B19" s="12" t="n">
        <v>0.5065054964141806</v>
      </c>
      <c r="C19" s="12" t="n">
        <v>0.5100804281956459</v>
      </c>
      <c r="D19" s="12" t="n">
        <v>0.5168163682052802</v>
      </c>
      <c r="E19" s="12" t="n">
        <v>0.525015247053322</v>
      </c>
      <c r="F19" s="12" t="n">
        <v>0.5324887880796705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Rubio Canon Land &amp; Water Association</t>
        </is>
      </c>
    </row>
    <row r="2">
      <c r="A2" s="2" t="inlineStr">
        <is>
          <t>Unit economics - per-customer revenue by category (USD)</t>
        </is>
      </c>
    </row>
    <row r="3">
      <c r="A3" s="2" t="inlineStr">
        <is>
          <t>Entity ID: cawc_0027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v>3128</v>
      </c>
      <c r="C6" s="24" t="inlineStr">
        <is>
          <t>State Water Board eAR Section 4 (CurTotalConnections), reporting year 2023</t>
        </is>
      </c>
    </row>
    <row r="7">
      <c r="A7" s="22" t="inlineStr">
        <is>
          <t>Total annual revenue (eAR Section 8b B1.8)</t>
        </is>
      </c>
      <c r="B7" s="9" t="n">
        <v>3994188</v>
      </c>
      <c r="C7" s="24" t="inlineStr">
        <is>
          <t>State Water Board eAR Section 8b, question B1.8 (total annual revenue), reporting year 2023</t>
        </is>
      </c>
    </row>
    <row r="8">
      <c r="A8" s="22" t="inlineStr">
        <is>
          <t>Primary source</t>
        </is>
      </c>
      <c r="B8" s="25" t="inlineStr"/>
      <c r="C8" s="24"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6" t="inlineStr">
        <is>
          <t>DIRECT</t>
        </is>
      </c>
      <c r="C12" s="9" t="n">
        <v>3945052</v>
      </c>
      <c r="D12" s="27" t="n">
        <v>1261.21</v>
      </c>
      <c r="E12" s="28" t="n">
        <v>0.9877</v>
      </c>
    </row>
    <row r="13">
      <c r="A13" s="8" t="inlineStr">
        <is>
          <t>Assessment revenue (990 program-service revenue not matched to eAR water-rate revenue)</t>
        </is>
      </c>
      <c r="B13" s="26" t="inlineStr">
        <is>
          <t>DERIVED</t>
        </is>
      </c>
      <c r="C13" s="9" t="n">
        <v>-3851985</v>
      </c>
      <c r="D13" s="27" t="n">
        <v>-1231.45</v>
      </c>
      <c r="E13" s="28" t="n">
        <v>-41.3894</v>
      </c>
    </row>
    <row r="14">
      <c r="A14" s="8" t="inlineStr">
        <is>
          <t>Meter revenue</t>
        </is>
      </c>
      <c r="B14" s="26" t="inlineStr">
        <is>
          <t>not reported</t>
        </is>
      </c>
      <c r="C14" s="29" t="inlineStr">
        <is>
          <t>not reported</t>
        </is>
      </c>
      <c r="D14" s="29" t="inlineStr">
        <is>
          <t>not reported</t>
        </is>
      </c>
      <c r="E14" s="29" t="inlineStr">
        <is>
          <t>not reported</t>
        </is>
      </c>
    </row>
    <row r="15">
      <c r="A15" s="8" t="inlineStr">
        <is>
          <t>Overage or tiered penalty revenue</t>
        </is>
      </c>
      <c r="B15" s="26" t="inlineStr">
        <is>
          <t>not reported</t>
        </is>
      </c>
      <c r="C15" s="29" t="inlineStr">
        <is>
          <t>not reported</t>
        </is>
      </c>
      <c r="D15" s="29" t="inlineStr">
        <is>
          <t>not reported</t>
        </is>
      </c>
      <c r="E15" s="29"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2" t="inlineStr">
        <is>
          <t>Numerator: Water rate revenue</t>
        </is>
      </c>
      <c r="B19" s="9" t="n">
        <v>3945052</v>
      </c>
      <c r="C19" s="24" t="inlineStr">
        <is>
          <t>eAR Section 8b field B1.1 (residential water rates) + B1.2 (non-residential water rates). State Water Board eAR Section 8b, question B1.1 + B1.2 (revenue from water rates), reporting year 2023</t>
        </is>
      </c>
    </row>
    <row r="20">
      <c r="A20" s="22" t="inlineStr">
        <is>
          <t>Denominator: Total service connections</t>
        </is>
      </c>
      <c r="B20" s="23" t="n">
        <v>3128</v>
      </c>
      <c r="C20" s="24" t="inlineStr">
        <is>
          <t>eAR Section 4 CurTotalConnections, reporting year 2023. State Water Board eAR Section 4 (CurTotalConnections), reporting year 2023</t>
        </is>
      </c>
    </row>
    <row r="21" ht="36" customHeight="1">
      <c r="A21" s="3" t="inlineStr">
        <is>
          <t>Per customer: water rate revenue $3,945,052 / 3,128 connections = $1,261.21 per connection</t>
        </is>
      </c>
    </row>
    <row r="22" ht="36" customHeight="1">
      <c r="A22" s="3" t="inlineStr">
        <is>
          <t>Share of revenue: water rate revenue $3,945,052 / total annual revenue (eAR Section 8b B1.8) $3,994,188 = 98.77%</t>
        </is>
      </c>
    </row>
    <row r="23" ht="66" customHeight="1">
      <c r="A23" s="3" t="inlineStr">
        <is>
          <t>Period treatment: Numerator (eAR Section 8b, the calendar year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2" t="inlineStr">
        <is>
          <t>Input A: Form 990 program-service revenue</t>
        </is>
      </c>
      <c r="B28" s="9" t="n">
        <v>93067</v>
      </c>
      <c r="C28" s="24" t="inlineStr">
        <is>
          <t>Form 990 Part VIII line 2 (total program-service revenue), fiscal year 2023 ending December 31, 2023</t>
        </is>
      </c>
    </row>
    <row r="29">
      <c r="A29" s="22" t="inlineStr">
        <is>
          <t>Input B: eAR water-rate revenue</t>
        </is>
      </c>
      <c r="B29" s="9" t="n">
        <v>3945052</v>
      </c>
      <c r="C29" s="24" t="inlineStr">
        <is>
          <t>State Water Board eAR Section 8b, question B1.1 + B1.2 (revenue from water rates), reporting year 2023</t>
        </is>
      </c>
    </row>
    <row r="30">
      <c r="A30" s="14" t="inlineStr">
        <is>
          <t>Residual (A minus B) = assessment revenue</t>
        </is>
      </c>
      <c r="B30" s="15">
        <f>B28-B29</f>
        <v/>
      </c>
      <c r="C30" s="24" t="inlineStr">
        <is>
          <t>$93,067 (990 program-service revenue) minus $3,945,052 (eAR water-rate revenue) = $-3,851,985</t>
        </is>
      </c>
    </row>
    <row r="31" ht="66" customHeight="1">
      <c r="A31" s="3" t="inlineStr">
        <is>
          <t>Period alignment: Both inputs cover the same period: the eAR Section 8b is the calendar year 2023 and the Form 990 fiscal year 2023 ends December 31, 2023,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2" t="inlineStr">
        <is>
          <t>Denominator: Total service connections</t>
        </is>
      </c>
      <c r="B34" s="23" t="n">
        <v>3128</v>
      </c>
      <c r="C34" s="24" t="inlineStr">
        <is>
          <t>eAR Section 4 CurTotalConnections, reporting year 2023. State Water Board eAR Section 4 (CurTotalConnections), reporting year 2023</t>
        </is>
      </c>
    </row>
    <row r="35" ht="36" customHeight="1">
      <c r="A35" s="3" t="inlineStr">
        <is>
          <t>Per customer: residual $-3,851,985 / 3,128 connections = $-1,231.45 per connection</t>
        </is>
      </c>
    </row>
    <row r="36" ht="36" customHeight="1">
      <c r="A36" s="3" t="inlineStr">
        <is>
          <t>Share of revenue: residual $-3,851,985 / 990 program-service revenue $93,067 = -4138.94%</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0"/>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Rubio Canon Land &amp; Water Association</t>
        </is>
      </c>
    </row>
    <row r="2">
      <c r="A2" s="2" t="inlineStr">
        <is>
          <t>Rate structure and representative bill - eAR Section 8a (RY2024)</t>
        </is>
      </c>
    </row>
    <row r="3">
      <c r="A3" s="2" t="inlineStr">
        <is>
          <t>Entity ID: cawc_0027   |   Fiscal year ends December 31.</t>
        </is>
      </c>
    </row>
    <row r="5" ht="81" customHeight="1">
      <c r="A5" s="30" t="inlineStr">
        <is>
          <t>This block is a rate-schedule illustration at defined usage levels. It is NOT billed revenue and not a claim about any real customer's usage. The revenue side of unit economics is the separate Unit Economics block.</t>
        </is>
      </c>
    </row>
    <row r="6" ht="51" customHeight="1">
      <c r="A6" s="31" t="inlineStr">
        <is>
          <t>Structure: Tiered increasing-block with a fixed base, billed monthly, priced per HCF. Rate schedule last updated 03/01/2024.</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2" t="inlineStr"/>
      <c r="B10" s="5" t="inlineStr">
        <is>
          <t>Low</t>
        </is>
      </c>
      <c r="C10" s="5" t="inlineStr">
        <is>
          <t>Median</t>
        </is>
      </c>
      <c r="D10" s="5" t="inlineStr">
        <is>
          <t>High</t>
        </is>
      </c>
    </row>
    <row r="11">
      <c r="A11" s="8" t="inlineStr">
        <is>
          <t>Monthly usage (HCF)</t>
        </is>
      </c>
      <c r="B11" s="33" t="n">
        <v>5</v>
      </c>
      <c r="C11" s="33" t="n">
        <v>10</v>
      </c>
      <c r="D11" s="33" t="n">
        <v>25</v>
      </c>
    </row>
    <row r="12">
      <c r="A12" s="8" t="inlineStr">
        <is>
          <t>Months per bill (from filed billing frequency)</t>
        </is>
      </c>
      <c r="B12" s="34" t="n">
        <v>1</v>
      </c>
      <c r="C12" s="13" t="inlineStr">
        <is>
          <t>monthly biller</t>
        </is>
      </c>
    </row>
    <row r="14">
      <c r="A14" s="6" t="inlineStr">
        <is>
          <t>Filed rate table - single-family residential (as filed, eAR Section 8a)</t>
        </is>
      </c>
      <c r="B14" s="7" t="n"/>
      <c r="C14" s="7" t="n"/>
      <c r="D14" s="7" t="n"/>
    </row>
    <row r="15">
      <c r="A15" s="8" t="inlineStr">
        <is>
          <t>Base / fixed charge per monthly bill ($)</t>
        </is>
      </c>
      <c r="B15" s="27" t="n">
        <v>31.5</v>
      </c>
    </row>
    <row r="16">
      <c r="A16" s="4" t="inlineStr">
        <is>
          <t>Tier</t>
        </is>
      </c>
      <c r="B16" s="4" t="inlineStr">
        <is>
          <t>Range (HCF)</t>
        </is>
      </c>
      <c r="C16" s="35" t="inlineStr">
        <is>
          <t>Price ($/HCF)</t>
        </is>
      </c>
      <c r="D16" s="35" t="inlineStr">
        <is>
          <t>Upper limit (HCF)</t>
        </is>
      </c>
    </row>
    <row r="17">
      <c r="A17" s="8" t="inlineStr">
        <is>
          <t>Tier 1</t>
        </is>
      </c>
      <c r="B17" s="8" t="inlineStr">
        <is>
          <t>0 to 12 HCF</t>
        </is>
      </c>
      <c r="C17" s="36" t="n">
        <v>3.75</v>
      </c>
      <c r="D17" s="37" t="n">
        <v>12</v>
      </c>
    </row>
    <row r="18">
      <c r="A18" s="8" t="inlineStr">
        <is>
          <t>Tier 2</t>
        </is>
      </c>
      <c r="B18" s="8" t="inlineStr">
        <is>
          <t>12 to 14 HCF</t>
        </is>
      </c>
      <c r="C18" s="36" t="n">
        <v>4.75</v>
      </c>
      <c r="D18" s="37" t="n">
        <v>14</v>
      </c>
    </row>
    <row r="19">
      <c r="A19" s="8" t="inlineStr">
        <is>
          <t>Tier 3</t>
        </is>
      </c>
      <c r="B19" s="8" t="inlineStr">
        <is>
          <t>over 14 HCF</t>
        </is>
      </c>
      <c r="C19" s="36" t="n">
        <v>5.15</v>
      </c>
      <c r="D19" s="37" t="inlineStr">
        <is>
          <t>no limit</t>
        </is>
      </c>
    </row>
    <row r="21">
      <c r="A21" s="6" t="inlineStr">
        <is>
          <t>Representative monthly bill - LIVE (edit a yellow usage cell to recompute)</t>
        </is>
      </c>
      <c r="B21" s="7" t="n"/>
      <c r="C21" s="7" t="n"/>
      <c r="D21" s="7" t="n"/>
    </row>
    <row r="22">
      <c r="A22" s="32" t="inlineStr"/>
      <c r="B22" s="5" t="inlineStr">
        <is>
          <t>Low</t>
        </is>
      </c>
      <c r="C22" s="5" t="inlineStr">
        <is>
          <t>Median</t>
        </is>
      </c>
      <c r="D22" s="5" t="inlineStr">
        <is>
          <t>High</t>
        </is>
      </c>
    </row>
    <row r="23">
      <c r="A23" s="8" t="inlineStr">
        <is>
          <t>Usage per bill (HCF)</t>
        </is>
      </c>
      <c r="B23" s="38">
        <f>B11*$B$12</f>
        <v/>
      </c>
      <c r="C23" s="38">
        <f>C11*$B$12</f>
        <v/>
      </c>
      <c r="D23" s="38">
        <f>D11*$B$12</f>
        <v/>
      </c>
    </row>
    <row r="24">
      <c r="A24" s="8" t="inlineStr">
        <is>
          <t xml:space="preserve">    Tier 1 charge per bill ($)</t>
        </is>
      </c>
      <c r="B24" s="39">
        <f>$C$17*MAX(0,MIN(B23,$D$17)-0)</f>
        <v/>
      </c>
      <c r="C24" s="39">
        <f>$C$17*MAX(0,MIN(C23,$D$17)-0)</f>
        <v/>
      </c>
      <c r="D24" s="39">
        <f>$C$17*MAX(0,MIN(D23,$D$17)-0)</f>
        <v/>
      </c>
    </row>
    <row r="25">
      <c r="A25" s="8" t="inlineStr">
        <is>
          <t xml:space="preserve">    Tier 2 charge per bill ($)</t>
        </is>
      </c>
      <c r="B25" s="39">
        <f>$C$18*MAX(0,MIN(B23,$D$18)-$D$17)</f>
        <v/>
      </c>
      <c r="C25" s="39">
        <f>$C$18*MAX(0,MIN(C23,$D$18)-$D$17)</f>
        <v/>
      </c>
      <c r="D25" s="39">
        <f>$C$18*MAX(0,MIN(D23,$D$18)-$D$17)</f>
        <v/>
      </c>
    </row>
    <row r="26">
      <c r="A26" s="8" t="inlineStr">
        <is>
          <t xml:space="preserve">    Tier 3 charge per bill ($)</t>
        </is>
      </c>
      <c r="B26" s="39">
        <f>$C$19*MAX(0,B23-$D$18)</f>
        <v/>
      </c>
      <c r="C26" s="39">
        <f>$C$19*MAX(0,C23-$D$18)</f>
        <v/>
      </c>
      <c r="D26" s="39">
        <f>$C$19*MAX(0,D23-$D$18)</f>
        <v/>
      </c>
    </row>
    <row r="27">
      <c r="A27" s="8" t="inlineStr">
        <is>
          <t>Volumetric charge per bill ($)</t>
        </is>
      </c>
      <c r="B27" s="39">
        <f>SUM(B24,B25,B26)</f>
        <v/>
      </c>
      <c r="C27" s="39">
        <f>SUM(C24,C25,C26)</f>
        <v/>
      </c>
      <c r="D27" s="39">
        <f>SUM(D24,D25,D26)</f>
        <v/>
      </c>
    </row>
    <row r="28">
      <c r="A28" s="8" t="inlineStr">
        <is>
          <t>Base charge per bill ($)</t>
        </is>
      </c>
      <c r="B28" s="39">
        <f>$B$15</f>
        <v/>
      </c>
      <c r="C28" s="39">
        <f>$B$15</f>
        <v/>
      </c>
      <c r="D28" s="39">
        <f>$B$15</f>
        <v/>
      </c>
    </row>
    <row r="29">
      <c r="A29" s="8" t="inlineStr">
        <is>
          <t>Total per bill ($)</t>
        </is>
      </c>
      <c r="B29" s="39">
        <f>B28+B27</f>
        <v/>
      </c>
      <c r="C29" s="39">
        <f>C28+C27</f>
        <v/>
      </c>
      <c r="D29" s="39">
        <f>D28+D27</f>
        <v/>
      </c>
    </row>
    <row r="30">
      <c r="A30" s="10" t="inlineStr">
        <is>
          <t>Total per MONTH ($)</t>
        </is>
      </c>
      <c r="B30" s="40">
        <f>B29/$B$12</f>
        <v/>
      </c>
      <c r="C30" s="40">
        <f>C29/$B$12</f>
        <v/>
      </c>
      <c r="D30" s="40">
        <f>D29/$B$12</f>
        <v/>
      </c>
    </row>
    <row r="31">
      <c r="A31" s="8" t="inlineStr">
        <is>
          <t xml:space="preserve">    Fixed per month ($)</t>
        </is>
      </c>
      <c r="B31" s="39">
        <f>$B$15/$B$12</f>
        <v/>
      </c>
      <c r="C31" s="39">
        <f>$B$15/$B$12</f>
        <v/>
      </c>
      <c r="D31" s="39">
        <f>$B$15/$B$12</f>
        <v/>
      </c>
    </row>
    <row r="32">
      <c r="A32" s="8" t="inlineStr">
        <is>
          <t xml:space="preserve">    Volumetric per month ($)</t>
        </is>
      </c>
      <c r="B32" s="39">
        <f>B27/$B$12</f>
        <v/>
      </c>
      <c r="C32" s="39">
        <f>C27/$B$12</f>
        <v/>
      </c>
      <c r="D32" s="39">
        <f>D27/$B$12</f>
        <v/>
      </c>
    </row>
    <row r="33">
      <c r="A33" s="8" t="inlineStr">
        <is>
          <t>Effective price ($/HCF)</t>
        </is>
      </c>
      <c r="B33" s="39">
        <f>IF(B11=0,"",B30/B11)</f>
        <v/>
      </c>
      <c r="C33" s="39">
        <f>IF(C11=0,"",C30/C11)</f>
        <v/>
      </c>
      <c r="D33" s="39">
        <f>IF(D11=0,"",D30/D11)</f>
        <v/>
      </c>
    </row>
    <row r="35">
      <c r="A35" s="6" t="inlineStr">
        <is>
          <t>Rate-structure comparison metrics</t>
        </is>
      </c>
      <c r="B35" s="7" t="n"/>
      <c r="C35" s="7" t="n"/>
      <c r="D35" s="7" t="n"/>
    </row>
    <row r="36">
      <c r="A36" s="8" t="inlineStr">
        <is>
          <t>Fixed share of the bill at median usage</t>
        </is>
      </c>
      <c r="B36" s="41">
        <f>C31/C30</f>
        <v/>
      </c>
      <c r="C36" s="13" t="inlineStr">
        <is>
          <t>fixed / total at 10 HCF/month</t>
        </is>
      </c>
    </row>
    <row r="37">
      <c r="A37" s="8" t="inlineStr">
        <is>
          <t>Tier price ratio (highest to lowest positive tier)</t>
        </is>
      </c>
      <c r="B37" s="42">
        <f>$C$19/$C$17</f>
        <v/>
      </c>
      <c r="C37" s="13" t="inlineStr">
        <is>
          <t>highest filed tier price divided by lowest filed tier price.</t>
        </is>
      </c>
    </row>
    <row r="38">
      <c r="A38" s="8" t="inlineStr">
        <is>
          <t>Rate structure (as filed)</t>
        </is>
      </c>
      <c r="B38" s="43" t="inlineStr">
        <is>
          <t>tiered (Variable Base)</t>
        </is>
      </c>
    </row>
    <row r="40" ht="66" customHeight="1">
      <c r="A40" s="3" t="inlineStr">
        <is>
          <t>State Water Board eAR Section 8a (Customer Charges), single- and multi-family residential charges grid, reporting year 2024. Rate structure only; no revenue.</t>
        </is>
      </c>
    </row>
  </sheetData>
  <mergeCells count="7">
    <mergeCell ref="A1:D1"/>
    <mergeCell ref="A5:D5"/>
    <mergeCell ref="A40:D40"/>
    <mergeCell ref="A6:D6"/>
    <mergeCell ref="A3:D3"/>
    <mergeCell ref="A7:D7"/>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Rubio Canon Land &amp; Water Association</t>
        </is>
      </c>
    </row>
    <row r="2">
      <c r="A2" s="2" t="inlineStr">
        <is>
          <t>eAR annual revenue and expenses - State Water Board eAR Section 8b (USD)</t>
        </is>
      </c>
    </row>
    <row r="3">
      <c r="A3" s="2" t="inlineStr">
        <is>
          <t>Entity ID: cawc_0027   |   Fiscal year ends December 31.</t>
        </is>
      </c>
    </row>
    <row r="5" ht="141" customHeight="1">
      <c r="A5" s="3" t="inlineStr">
        <is>
          <t>The water system's own annual figures from the public eAR Section 8b, on the calendar year 2023 the filer self-reported (B0.1/B0.2). Shown beside the period-aligned Form 990 with the variance flagged: a different source (a State Water Board self-report vs an IRS filing). Preserved as filed, never reconciled.</t>
        </is>
      </c>
    </row>
    <row r="6">
      <c r="A6" s="22" t="inlineStr">
        <is>
          <t>Reporting period basis (self-reported)</t>
        </is>
      </c>
      <c r="B6" s="25" t="inlineStr">
        <is>
          <t>calendar year 2023</t>
        </is>
      </c>
      <c r="C6" s="24"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2" t="inlineStr">
        <is>
          <t>Water rate revenue</t>
        </is>
      </c>
      <c r="B10" s="9" t="n">
        <v>3945052</v>
      </c>
      <c r="C10" s="24" t="inlineStr">
        <is>
          <t>State Water Board eAR Section 8b, question B1.1 + B1.2 (revenue from water rates), reporting year 2023</t>
        </is>
      </c>
    </row>
    <row r="11">
      <c r="A11" s="22" t="inlineStr">
        <is>
          <t>Other fees and charges</t>
        </is>
      </c>
      <c r="B11" s="9" t="n">
        <v>49136</v>
      </c>
      <c r="C11" s="24" t="inlineStr">
        <is>
          <t>State Water Board eAR Section 8b, question B1.3 + B1.4 (revenue from other fees), reporting year 2023</t>
        </is>
      </c>
    </row>
    <row r="12">
      <c r="A12" s="22" t="inlineStr">
        <is>
          <t>Non-customer revenue</t>
        </is>
      </c>
      <c r="B12" s="9" t="n">
        <v>0</v>
      </c>
      <c r="C12" s="24" t="inlineStr">
        <is>
          <t>State Water Board eAR Section 8b, question B1.7 (grants, interest, and other non-customer), reporting year 2023</t>
        </is>
      </c>
    </row>
    <row r="13">
      <c r="A13" s="22" t="inlineStr">
        <is>
          <t>Total annual revenue</t>
        </is>
      </c>
      <c r="B13" s="44" t="n">
        <v>3994188</v>
      </c>
      <c r="C13" s="24"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2" t="inlineStr">
        <is>
          <t>Operations and maintenance</t>
        </is>
      </c>
      <c r="B17" s="9" t="n">
        <v>3377211</v>
      </c>
      <c r="C17" s="24" t="inlineStr">
        <is>
          <t>State Water Board eAR Section 8b, question B2.1 (annual O and M expense), reporting year 2023</t>
        </is>
      </c>
    </row>
    <row r="18">
      <c r="A18" s="22" t="inlineStr">
        <is>
          <t>Capital</t>
        </is>
      </c>
      <c r="B18" s="9" t="n">
        <v>925508</v>
      </c>
      <c r="C18" s="24" t="inlineStr">
        <is>
          <t>State Water Board eAR Section 8b, question B2.2 (annual expenses from investing or capital), reporting year 2023</t>
        </is>
      </c>
    </row>
    <row r="19">
      <c r="A19" s="22" t="inlineStr">
        <is>
          <t>Financing</t>
        </is>
      </c>
      <c r="B19" s="9" t="n">
        <v>0</v>
      </c>
      <c r="C19" s="24" t="inlineStr">
        <is>
          <t>State Water Board eAR Section 8b, question B2.3 (annual expenses from financing), reporting year 2023</t>
        </is>
      </c>
    </row>
    <row r="20">
      <c r="A20" s="22" t="inlineStr">
        <is>
          <t>Other</t>
        </is>
      </c>
      <c r="B20" s="9" t="n">
        <v>0</v>
      </c>
      <c r="C20" s="24" t="inlineStr">
        <is>
          <t>State Water Board eAR Section 8b, question B2.4 (total other annual expenses), reporting year 2023</t>
        </is>
      </c>
    </row>
    <row r="21">
      <c r="A21" s="22" t="inlineStr">
        <is>
          <t>Total annual expenses</t>
        </is>
      </c>
      <c r="B21" s="44" t="n">
        <v>4302719</v>
      </c>
      <c r="C21" s="24"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3994188</v>
      </c>
      <c r="C25" s="9" t="n">
        <v>2746190</v>
      </c>
    </row>
    <row r="26">
      <c r="A26" s="14" t="inlineStr">
        <is>
          <t>Variance (eAR minus Form 990)</t>
        </is>
      </c>
      <c r="B26" s="15">
        <f>B25-C25</f>
        <v/>
      </c>
      <c r="C26" s="45" t="n"/>
    </row>
    <row r="27" ht="126" customHeight="1">
      <c r="A27" s="3" t="inlineStr">
        <is>
          <t>The eAR Section 8b total revenue (State Water Board self-report, calendar year 2023) and the Form 990 total revenue (IRS filing) are a different source and cover the same calendar year 2023. Both are carried as filed; the variance is surfaced, never reconciled.</t>
        </is>
      </c>
    </row>
    <row r="28">
      <c r="A28" s="8" t="inlineStr">
        <is>
          <t>total expenses</t>
        </is>
      </c>
      <c r="B28" s="9" t="n">
        <v>4302719</v>
      </c>
      <c r="C28" s="9" t="n">
        <v>1933240</v>
      </c>
    </row>
    <row r="29">
      <c r="A29" s="14" t="inlineStr">
        <is>
          <t>Variance (eAR minus Form 990)</t>
        </is>
      </c>
      <c r="B29" s="15">
        <f>B28-C28</f>
        <v/>
      </c>
      <c r="C29" s="45" t="n"/>
    </row>
    <row r="30" ht="126" customHeight="1">
      <c r="A30" s="3" t="inlineStr">
        <is>
          <t>The eAR Section 8b total expenses (State Water Board self-report, calendar year 2023) and the Form 990 total expenses (IRS filing) are a different source and cover the same calendar year 2023.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Rubio Canon Land &amp; Water Association</t>
        </is>
      </c>
    </row>
    <row r="2">
      <c r="A2" s="2" t="inlineStr">
        <is>
          <t>Denominators and calendar alignment</t>
        </is>
      </c>
    </row>
    <row r="3">
      <c r="A3" s="2" t="inlineStr">
        <is>
          <t>Entity ID: cawc_0027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2" t="inlineStr">
        <is>
          <t>Customer (service connection)</t>
        </is>
      </c>
      <c r="B7" s="23" t="n">
        <v>3136</v>
      </c>
      <c r="C7" s="24" t="inlineStr">
        <is>
          <t>State Water Board eAR Section 4 (CurTotalConnections), reporting year 2024</t>
        </is>
      </c>
    </row>
    <row r="8">
      <c r="A8" s="22" t="inlineStr">
        <is>
          <t>SDWIS service-connection count (different registry)</t>
        </is>
      </c>
      <c r="B8" s="23" t="n">
        <v>3128</v>
      </c>
      <c r="C8" s="24" t="inlineStr">
        <is>
          <t>SDWIS reports 3,128 service connections for the same system; the eAR and SDWIS use different registries, so the two counts differ and are both preserved, not reconciled.</t>
        </is>
      </c>
    </row>
    <row r="9">
      <c r="A9" s="22" t="inlineStr">
        <is>
          <t>Member (shareholder)</t>
        </is>
      </c>
      <c r="B9" s="25" t="n"/>
      <c r="C9" s="24"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FY2020 (2020-12-31)</t>
        </is>
      </c>
      <c r="B14" s="23" t="n">
        <v>3128</v>
      </c>
      <c r="C14" s="19" t="inlineStr">
        <is>
          <t>not reported</t>
        </is>
      </c>
      <c r="D14" s="23" t="n">
        <v>1337.2</v>
      </c>
      <c r="E14" s="19" t="inlineStr">
        <is>
          <t>not reported</t>
        </is>
      </c>
      <c r="F14" s="19" t="inlineStr">
        <is>
          <t>not reported</t>
        </is>
      </c>
      <c r="G14" s="25" t="inlineStr">
        <is>
          <t>eAR annual total, calendar filer, equals fiscal year (not a monthly recast)</t>
        </is>
      </c>
    </row>
    <row r="15" ht="40" customHeight="1">
      <c r="A15" s="8" t="inlineStr">
        <is>
          <t>FY2021 (2021-12-31)</t>
        </is>
      </c>
      <c r="B15" s="23" t="n">
        <v>3128</v>
      </c>
      <c r="C15" s="19" t="inlineStr">
        <is>
          <t>not reported</t>
        </is>
      </c>
      <c r="D15" s="23" t="n">
        <v>1337.2</v>
      </c>
      <c r="E15" s="19" t="inlineStr">
        <is>
          <t>not reported</t>
        </is>
      </c>
      <c r="F15" s="19" t="inlineStr">
        <is>
          <t>not reported</t>
        </is>
      </c>
      <c r="G15" s="25" t="inlineStr">
        <is>
          <t>eAR annual total, calendar filer, equals fiscal year (not a monthly recast)</t>
        </is>
      </c>
    </row>
    <row r="16" ht="40" customHeight="1">
      <c r="A16" s="8" t="inlineStr">
        <is>
          <t>FY2022 (2022-12-31)</t>
        </is>
      </c>
      <c r="B16" s="23" t="n">
        <v>3128</v>
      </c>
      <c r="C16" s="19" t="inlineStr">
        <is>
          <t>not reported</t>
        </is>
      </c>
      <c r="D16" s="23" t="n">
        <v>1337.2</v>
      </c>
      <c r="E16" s="19" t="inlineStr">
        <is>
          <t>not reported</t>
        </is>
      </c>
      <c r="F16" s="19" t="inlineStr">
        <is>
          <t>not reported</t>
        </is>
      </c>
      <c r="G16" s="25" t="inlineStr">
        <is>
          <t>eAR annual total, calendar filer, equals fiscal year (not a monthly recast)</t>
        </is>
      </c>
    </row>
    <row r="17" ht="40" customHeight="1">
      <c r="A17" s="8" t="inlineStr">
        <is>
          <t>FY2023 (2023-12-31)</t>
        </is>
      </c>
      <c r="B17" s="23" t="n">
        <v>3128</v>
      </c>
      <c r="C17" s="23" t="n">
        <v>9600</v>
      </c>
      <c r="D17" s="23" t="n">
        <v>1337.2</v>
      </c>
      <c r="E17" s="19" t="inlineStr">
        <is>
          <t>not reported</t>
        </is>
      </c>
      <c r="F17" s="19" t="inlineStr">
        <is>
          <t>not reported</t>
        </is>
      </c>
      <c r="G17" s="25" t="inlineStr">
        <is>
          <t>eAR annual total, calendar filer, equals fiscal year (not a monthly recast)</t>
        </is>
      </c>
    </row>
    <row r="18" ht="40" customHeight="1">
      <c r="A18" s="8" t="inlineStr">
        <is>
          <t>FY2024 (2024-12-31)</t>
        </is>
      </c>
      <c r="B18" s="23" t="n">
        <v>3136</v>
      </c>
      <c r="C18" s="23" t="n">
        <v>9600</v>
      </c>
      <c r="D18" s="23" t="n">
        <v>1337.2</v>
      </c>
      <c r="E18" s="19" t="inlineStr">
        <is>
          <t>not reported</t>
        </is>
      </c>
      <c r="F18" s="19" t="inlineStr">
        <is>
          <t>not reported</t>
        </is>
      </c>
      <c r="G18" s="25" t="inlineStr">
        <is>
          <t>eAR annual total, calendar filer, equals fiscal year (not a monthly recast)</t>
        </is>
      </c>
    </row>
    <row r="20">
      <c r="A20" s="6" t="inlineStr">
        <is>
          <t>Connections by class - FY2024 (eAR Section 4)</t>
        </is>
      </c>
      <c r="B20" s="7" t="n"/>
      <c r="C20" s="7" t="n"/>
      <c r="D20" s="7" t="n"/>
      <c r="E20" s="7" t="n"/>
      <c r="F20" s="7" t="n"/>
      <c r="G20" s="7" t="n"/>
    </row>
    <row r="21">
      <c r="A21" s="22" t="inlineStr">
        <is>
          <t>Single-family residential</t>
        </is>
      </c>
      <c r="B21" s="23" t="n">
        <v>2810</v>
      </c>
      <c r="C21" s="24" t="inlineStr"/>
    </row>
    <row r="22">
      <c r="A22" s="22" t="inlineStr">
        <is>
          <t>Multi-family residential</t>
        </is>
      </c>
      <c r="B22" s="23" t="n">
        <v>211</v>
      </c>
      <c r="C22" s="24" t="inlineStr"/>
    </row>
    <row r="23">
      <c r="A23" s="22" t="inlineStr">
        <is>
          <t>Commercial and institutional</t>
        </is>
      </c>
      <c r="B23" s="23" t="n">
        <v>117</v>
      </c>
      <c r="C23" s="24" t="inlineStr"/>
    </row>
    <row r="24">
      <c r="A24" s="22" t="inlineStr">
        <is>
          <t>Industrial</t>
        </is>
      </c>
      <c r="B24" s="23" t="n">
        <v>0</v>
      </c>
      <c r="C24" s="24" t="inlineStr"/>
    </row>
    <row r="25">
      <c r="A25" s="22" t="inlineStr">
        <is>
          <t>Landscape irrigation</t>
        </is>
      </c>
      <c r="B25" s="23" t="n">
        <v>20</v>
      </c>
      <c r="C25" s="24" t="inlineStr"/>
    </row>
    <row r="26" ht="81" customHeight="1">
      <c r="A26"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6:G26"/>
    <mergeCell ref="A2:G2"/>
    <mergeCell ref="A10:G10"/>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Rubio Canon Land &amp; Water Association</t>
        </is>
      </c>
    </row>
    <row r="2">
      <c r="A2" s="2" t="inlineStr">
        <is>
          <t>Governance evidence status - Ostrom's eight design principles</t>
        </is>
      </c>
    </row>
    <row r="3">
      <c r="A3" s="2" t="inlineStr">
        <is>
          <t>Entity ID: cawc_0027   |   Fiscal year ends December 31.</t>
        </is>
      </c>
    </row>
    <row r="5">
      <c r="A5" s="46" t="inlineStr">
        <is>
          <t>Evidence summary: 4 documented, 2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6" t="inlineStr">
        <is>
          <t>DOCUMENTED</t>
        </is>
      </c>
      <c r="C10" s="25" t="inlineStr">
        <is>
          <t>The system is a defined public water system: about 3,128 service connections over a State-published and field-verified service-area boundary of roughly 1,337.2 acres.</t>
        </is>
      </c>
      <c r="D10" s="25" t="inlineStr">
        <is>
          <t>SDWIS Community water system; SABL service-area boundary (Verified); connections defined.</t>
        </is>
      </c>
      <c r="E10" s="47" t="inlineStr">
        <is>
          <t>[C][G]</t>
        </is>
      </c>
    </row>
    <row r="11" ht="96" customHeight="1">
      <c r="A11" s="3" t="inlineStr">
        <is>
          <t>What the record shows: SDWIS defines the membership as a fixed set of service connections and the State Water Board publishes a SABL service-area polygon for it, so who is inside and outside the system is documented. The boundary here is FIELD-VERIFIED by the Water Board rather than merely carried, which is stronger than most of this cohort.</t>
        </is>
      </c>
    </row>
    <row r="12" ht="46" customHeight="1">
      <c r="A12" s="8" t="inlineStr">
        <is>
          <t>Rules fit local conditions</t>
        </is>
      </c>
      <c r="B12" s="26" t="inlineStr">
        <is>
          <t>DOCUMENTED</t>
        </is>
      </c>
      <c r="C12" s="25" t="inlineStr">
        <is>
          <t>Charges are tied to metered use under a filed rate schedule: a variable base residential structure billed monthly and priced per hundred cubic feet.</t>
        </is>
      </c>
      <c r="D12" s="25" t="inlineStr">
        <is>
          <t>eAR Section 8a customer charges; metered service; variable base residential rate structure priced per hundred cubic feet.</t>
        </is>
      </c>
      <c r="E12" s="47" t="inlineStr">
        <is>
          <t>[E]</t>
        </is>
      </c>
    </row>
    <row r="13" ht="81" customHeight="1">
      <c r="A13" s="3" t="inlineStr">
        <is>
          <t>What the record shows: The record documents how charges are set: the filer reports metered service, monthly billing, a variable base residential rate structure and a filed rate schedule, so cost tracks service. Whether every tier scales precisely with use is not visible in the filing and is not claimed here.</t>
        </is>
      </c>
    </row>
    <row r="14" ht="46" customHeight="1">
      <c r="A14" s="8" t="inlineStr">
        <is>
          <t>Collective-choice arrangements</t>
        </is>
      </c>
      <c r="B14" s="26" t="inlineStr">
        <is>
          <t>PARTIAL</t>
        </is>
      </c>
      <c r="C14" s="25" t="inlineStr">
        <is>
          <t>The company is owned by its customer-shareholders and states that a five member Board of Directors governs it, but the specific board, the election procedure and member votes are not in a source this project holds.</t>
        </is>
      </c>
      <c r="D14" s="25" t="inlineStr">
        <is>
          <t>Mutual ownership; a five member Board of Directors stated by the company; Form 990 governance section.</t>
        </is>
      </c>
      <c r="E14" s="47" t="inlineStr">
        <is>
          <t>[990][1]</t>
        </is>
      </c>
    </row>
    <row r="15" ht="111" customHeight="1">
      <c r="A15" s="3" t="inlineStr">
        <is>
          <t>What the record shows: A collective-choice mechanism is documented in outline: customers are shareholders and the company states a five member board governs it. Three gaps keep this at PARTIAL rather than met, and the corporate registration that would close the first is NOT YET CHECKED for this company: the specific board membership, the election procedure, and any record of member votes. A stated board size is not a filed roster.</t>
        </is>
      </c>
    </row>
    <row r="16" ht="46" customHeight="1">
      <c r="A16" s="8" t="inlineStr">
        <is>
          <t>Monitoring</t>
        </is>
      </c>
      <c r="B16" s="26" t="inlineStr">
        <is>
          <t>DOCUMENTED</t>
        </is>
      </c>
      <c r="C16" s="25" t="inlineStr">
        <is>
          <t>The system is metered and monitored: it files an annual eAR, publishes an annual Consumer Confidence Report that states its supply volumes, and holds a dated emergency response plan.</t>
        </is>
      </c>
      <c r="D16" s="25" t="inlineStr">
        <is>
          <t>Annual eAR reporting; metered connections; 2024 Consumer Confidence Report with stated volumes; emergency response plan dated 10/24/2023.</t>
        </is>
      </c>
      <c r="E16" s="47" t="inlineStr">
        <is>
          <t>[E][CCR][S]</t>
        </is>
      </c>
    </row>
    <row r="17" ht="96" customHeight="1">
      <c r="A17" s="3" t="inlineStr">
        <is>
          <t>What the record shows: Operational monitoring is documented from more than one filing: the system reports metered service and files an annual eAR, its own Consumer Confidence Report states what it pumped, treated and imported for the year, and it holds a dated emergency response plan. The federal SDWIS violation check returned no violation records.</t>
        </is>
      </c>
    </row>
    <row r="18" ht="46" customHeight="1">
      <c r="A18" s="8" t="inlineStr">
        <is>
          <t>Graduated sanctions</t>
        </is>
      </c>
      <c r="B18" s="26" t="inlineStr">
        <is>
          <t>NOT DOCUMENTED</t>
        </is>
      </c>
      <c r="C18" s="25" t="inlineStr">
        <is>
          <t>No published shut-off, penalty, or delinquency policy was found for this system.</t>
        </is>
      </c>
      <c r="D18" s="25" t="inlineStr">
        <is>
          <t>No sourced sanctions policy.</t>
        </is>
      </c>
      <c r="E18" s="47" t="inlineStr">
        <is>
          <t>not reported</t>
        </is>
      </c>
    </row>
    <row r="19" ht="81" customHeight="1">
      <c r="A19" s="3" t="inlineStr">
        <is>
          <t>What the record shows: No public record of a graduated shut-off or penalty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6" t="inlineStr">
        <is>
          <t>NOT DOCUMENTED</t>
        </is>
      </c>
      <c r="C20" s="25" t="inlineStr">
        <is>
          <t>No published bylaws, dispute procedure, or grievance mechanism was found for this system.</t>
        </is>
      </c>
      <c r="D20" s="25" t="inlineStr">
        <is>
          <t>No sourced conflict-resolution record.</t>
        </is>
      </c>
      <c r="E20" s="47" t="inlineStr">
        <is>
          <t>not reported</t>
        </is>
      </c>
    </row>
    <row r="21" ht="81" customHeight="1">
      <c r="A21" s="3" t="inlineStr">
        <is>
          <t>What the record shows: No public record of a member dispute or conflict-resolution procedure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6" t="inlineStr">
        <is>
          <t>DOCUMENTED</t>
        </is>
      </c>
      <c r="C22" s="25" t="inlineStr">
        <is>
          <t>An incorporated California mutual water company recognized by the IRS as a 501(c)(12) exempt filer and by the State Water Board as a Community public water system.</t>
        </is>
      </c>
      <c r="D22" s="25" t="inlineStr">
        <is>
          <t>IRS 501(c)(12) exempt filer (Form 990); SDWIS Community public water system; eAR ownership type 'Privately owned Mutual Water Company or Association'.</t>
        </is>
      </c>
      <c r="E22" s="47" t="inlineStr">
        <is>
          <t>[990][C][E]</t>
        </is>
      </c>
    </row>
    <row r="23" ht="126" customHeight="1">
      <c r="A23" s="3" t="inlineStr">
        <is>
          <t>What the record shows: Baseline legal standing is documented by two independent regulators: the IRS accepts it as a tax-exempt 501(c)(12) filer and the State Water Board holds it as a Community public water system with a mutual ownership type. Unlike the 22 mutuals covered by the 2026-08-21 Secretary of State pull, this status does NOT yet rest on a filed corporate record, because that check has not been run; the tier stands on the tax and drinking-water records alone.</t>
        </is>
      </c>
    </row>
    <row r="24" ht="46" customHeight="1">
      <c r="A24" s="8" t="inlineStr">
        <is>
          <t>Nested enterprises</t>
        </is>
      </c>
      <c r="B24" s="26" t="inlineStr">
        <is>
          <t>PARTIAL</t>
        </is>
      </c>
      <c r="C24" s="25" t="inlineStr">
        <is>
          <t>The system buys imported water through Foothill Municipal Water District, a member agency of the Metropolitan Water District of Southern California, and pumps from a shared local groundwater basin, so it sits inside two larger systems; its role in governing either is not documented.</t>
        </is>
      </c>
      <c r="D24" s="25" t="inlineStr">
        <is>
          <t>eAR one approved purchased surface water source and three approved emergency interties; Consumer Confidence Report naming Foothill MWD and MWD of Southern California; own groundwater wells.</t>
        </is>
      </c>
      <c r="E24" s="47" t="inlineStr">
        <is>
          <t>[CCR][E]</t>
        </is>
      </c>
    </row>
    <row r="25" ht="111" customHeight="1">
      <c r="A25" s="3" t="inlineStr">
        <is>
          <t>What the record shows: Physical nesting is documented twice over: the company holds a purchased connection to a regional wholesaler through Foothill MWD and pumps groundwater from a basin it shares with neighbors, and it holds three approved emergency interties with other systems. What is not documented is any governance role in the wholesaler or in a groundwater sustainability agency,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Rubio Canon Land &amp; Water Association</t>
        </is>
      </c>
    </row>
    <row r="2">
      <c r="A2" s="2" t="inlineStr">
        <is>
          <t>Operational metrics - plant per acre, density, terrain</t>
        </is>
      </c>
    </row>
    <row r="3">
      <c r="A3" s="2" t="inlineStr">
        <is>
          <t>Entity ID: cawc_0027   |   Fiscal year ends December 31.</t>
        </is>
      </c>
    </row>
    <row r="5">
      <c r="A5" s="6" t="inlineStr">
        <is>
          <t>Plant assets per acre</t>
        </is>
      </c>
      <c r="B5" s="7" t="n"/>
      <c r="C5" s="7" t="n"/>
    </row>
    <row r="6">
      <c r="A6" s="22" t="inlineStr">
        <is>
          <t>Service-area acres</t>
        </is>
      </c>
      <c r="B6" s="48" t="n">
        <v>1337.2</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15155.504</v>
      </c>
      <c r="C8" s="9" t="n">
        <v>7479.1579</v>
      </c>
    </row>
    <row r="9">
      <c r="A9" s="20" t="inlineStr">
        <is>
          <t>FY2021</t>
        </is>
      </c>
      <c r="B9" s="9" t="n">
        <v>15906.5787</v>
      </c>
      <c r="C9" s="9" t="n">
        <v>7792.9442</v>
      </c>
    </row>
    <row r="10">
      <c r="A10" s="20" t="inlineStr">
        <is>
          <t>FY2022</t>
        </is>
      </c>
      <c r="B10" s="9" t="n">
        <v>16438.6315</v>
      </c>
      <c r="C10" s="9" t="n">
        <v>7942.8777</v>
      </c>
    </row>
    <row r="11">
      <c r="A11" s="20" t="inlineStr">
        <is>
          <t>FY2023</t>
        </is>
      </c>
      <c r="B11" s="9" t="n">
        <v>16990.0867</v>
      </c>
      <c r="C11" s="9" t="n">
        <v>8070.0322</v>
      </c>
    </row>
    <row r="12">
      <c r="A12" s="20" t="inlineStr">
        <is>
          <t>FY2024</t>
        </is>
      </c>
      <c r="B12" s="9" t="n">
        <v>17607.3766</v>
      </c>
      <c r="C12" s="9" t="n">
        <v>8231.646000000001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1.51</v>
      </c>
      <c r="C19" s="24" t="inlineStr">
        <is>
          <t>2,014 connections / 1,337.2 acres. CA State Water Board SABL SERVICE_CONNECTIONS; Geodesic area (WGS84 spherical excess) of the SABL service-area polygon.</t>
        </is>
      </c>
    </row>
    <row r="21">
      <c r="A21" s="6" t="inlineStr">
        <is>
          <t>Where the water comes from</t>
        </is>
      </c>
      <c r="B21" s="7" t="n"/>
      <c r="C21" s="7" t="n"/>
    </row>
    <row r="22">
      <c r="A22" s="22" t="inlineStr">
        <is>
          <t>Terrain class</t>
        </is>
      </c>
      <c r="B22" s="25" t="inlineStr">
        <is>
          <t>canyon</t>
        </is>
      </c>
      <c r="C22" s="24" t="inlineStr">
        <is>
          <t>Company context page (BLUEPRINT 5B)</t>
        </is>
      </c>
    </row>
    <row r="23" ht="126" customHeight="1">
      <c r="A23" s="3" t="inlineStr">
        <is>
          <t>Three channels: groundwater from the company's own wells, local canyon surface water treated at the company's own conventional treatment plant, and imported water bought from Foothill Municipal Water District, a member agency of the Metropolitan Water District of Southern California.</t>
        </is>
      </c>
    </row>
  </sheetData>
  <mergeCells count="8">
    <mergeCell ref="A13:C13"/>
    <mergeCell ref="A1:C1"/>
    <mergeCell ref="A16:C16"/>
    <mergeCell ref="A23:C23"/>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Rubio Canon Land &amp; Water Association</t>
        </is>
      </c>
    </row>
    <row r="2">
      <c r="A2" s="2" t="inlineStr">
        <is>
          <t>Supply and weather indicators (DWR water year)</t>
        </is>
      </c>
    </row>
    <row r="3">
      <c r="A3" s="2" t="inlineStr">
        <is>
          <t>Entity ID: cawc_0027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47" t="inlineStr">
        <is>
          <t>Dry</t>
        </is>
      </c>
      <c r="C8" s="47" t="inlineStr">
        <is>
          <t>Critical</t>
        </is>
      </c>
      <c r="D8" s="47" t="inlineStr">
        <is>
          <t>Critical</t>
        </is>
      </c>
      <c r="E8" s="47" t="inlineStr">
        <is>
          <t>Wet</t>
        </is>
      </c>
      <c r="F8" s="47" t="inlineStr">
        <is>
          <t>Above Normal</t>
        </is>
      </c>
    </row>
    <row r="9">
      <c r="A9" s="8" t="inlineStr">
        <is>
          <t>Peak drought, Los Angeles County</t>
        </is>
      </c>
      <c r="B9" s="47" t="inlineStr">
        <is>
          <t>D1</t>
        </is>
      </c>
      <c r="C9" s="47" t="inlineStr">
        <is>
          <t>D4</t>
        </is>
      </c>
      <c r="D9" s="47" t="inlineStr">
        <is>
          <t>D4</t>
        </is>
      </c>
      <c r="E9" s="47" t="inlineStr">
        <is>
          <t>D4</t>
        </is>
      </c>
      <c r="F9" s="47" t="inlineStr">
        <is>
          <t>None (no D0-D4 during the fiscal year)</t>
        </is>
      </c>
    </row>
    <row r="10">
      <c r="A10" s="8" t="inlineStr">
        <is>
          <t>Precip, percent of normal (8-Station Index)</t>
        </is>
      </c>
      <c r="B10" s="47" t="inlineStr">
        <is>
          <t>63</t>
        </is>
      </c>
      <c r="C10" s="47" t="inlineStr">
        <is>
          <t>48</t>
        </is>
      </c>
      <c r="D10" s="47" t="inlineStr">
        <is>
          <t>86</t>
        </is>
      </c>
      <c r="E10" s="47" t="inlineStr">
        <is>
          <t>133</t>
        </is>
      </c>
      <c r="F10" s="47" t="inlineStr">
        <is>
          <t>96</t>
        </is>
      </c>
    </row>
    <row r="11">
      <c r="A11" s="8" t="inlineStr">
        <is>
          <t>Snowpack, April 1 percent of average</t>
        </is>
      </c>
      <c r="B11" s="47" t="inlineStr">
        <is>
          <t>53%</t>
        </is>
      </c>
      <c r="C11" s="47" t="inlineStr">
        <is>
          <t>59%</t>
        </is>
      </c>
      <c r="D11" s="47" t="inlineStr">
        <is>
          <t>38%</t>
        </is>
      </c>
      <c r="E11" s="47" t="inlineStr">
        <is>
          <t>237%</t>
        </is>
      </c>
      <c r="F11" s="47" t="inlineStr">
        <is>
          <t>110%</t>
        </is>
      </c>
    </row>
    <row r="12">
      <c r="A12" s="8" t="inlineStr">
        <is>
          <t>State Water Project allocation</t>
        </is>
      </c>
      <c r="B12" s="47" t="inlineStr">
        <is>
          <t>20%</t>
        </is>
      </c>
      <c r="C12" s="47" t="inlineStr">
        <is>
          <t>5%</t>
        </is>
      </c>
      <c r="D12" s="47" t="inlineStr">
        <is>
          <t>5%</t>
        </is>
      </c>
      <c r="E12" s="47" t="inlineStr">
        <is>
          <t>100%</t>
        </is>
      </c>
      <c r="F12" s="4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Rubio Canon Land &amp; Water Association</t>
        </is>
      </c>
    </row>
    <row r="2">
      <c r="A2" s="2" t="inlineStr">
        <is>
          <t>How this was built - forensic lineage</t>
        </is>
      </c>
    </row>
    <row r="3">
      <c r="A3" s="2" t="inlineStr">
        <is>
          <t>Entity ID: cawc_0027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2" t="inlineStr">
        <is>
          <t>Sources checked</t>
        </is>
      </c>
      <c r="B12" s="24" t="inlineStr">
        <is>
          <t>Form 990 Part VIII line 2 (program-service revenue); State Water Board eAR Section 8b (water-rate revenue B1.1/B1.2)</t>
        </is>
      </c>
    </row>
    <row r="13" ht="72" customHeight="1">
      <c r="A13" s="22" t="inlineStr">
        <is>
          <t>What was found</t>
        </is>
      </c>
      <c r="B13" s="24" t="inlineStr">
        <is>
          <t>No source separately reports a member assessment, so it is DERIVED as a residual: $93,067 (990 program-service revenue) minus $3,945,052 (eAR water-rate revenue) = $-3,851,985. Period-aligned; medium confidence.</t>
        </is>
      </c>
    </row>
    <row r="14" ht="72" customHeight="1">
      <c r="A14" s="22" t="inlineStr">
        <is>
          <t>Caveat</t>
        </is>
      </c>
      <c r="B14" s="24"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Rubio Canon Land &amp; Water Association</t>
        </is>
      </c>
    </row>
    <row r="2">
      <c r="A2" s="2" t="inlineStr">
        <is>
          <t>Water Operations (sourced outside the financial filings)</t>
        </is>
      </c>
    </row>
    <row r="3">
      <c r="A3" s="2" t="inlineStr">
        <is>
          <t>Entity ID: cawc_0027   |   Fiscal year ends December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25" t="inlineStr">
        <is>
          <t>Potable (community drinking water)</t>
        </is>
      </c>
      <c r="C8" s="8" t="inlineStr">
        <is>
          <t>SDWIS Drinking Water Watch (State Water Board)</t>
        </is>
      </c>
      <c r="D8" s="47" t="n">
        <v>2024</v>
      </c>
      <c r="E8" s="8" t="inlineStr">
        <is>
          <t>high</t>
        </is>
      </c>
      <c r="F8" s="25" t="inlineStr">
        <is>
          <t>RUBIO CANON LAND &amp; WATER ASSOCIATION: State Water System Type = Community.</t>
        </is>
      </c>
    </row>
    <row r="9" ht="42" customHeight="1">
      <c r="A9" s="8" t="inlineStr">
        <is>
          <t>Source mix</t>
        </is>
      </c>
      <c r="B9" s="25" t="inlineStr">
        <is>
          <t>Primary source: surface water (SDWIS Primary Water Source Type: Surface Water). SDWIS classifies the primary supply type and states no acre-foot volume by source. The company's own 2024 Consumer Confidence Report does state volumes and is carried separately in ccr_source_mix: 1,696 acre-feet pumped from its own wells, 194 acre-feet of surface water treated, and no water imported that year. The two records are both kept and neither is reconciled into the other.</t>
        </is>
      </c>
      <c r="C9" s="8" t="inlineStr">
        <is>
          <t>SDWIS Drinking Water Watch (State Water Board)</t>
        </is>
      </c>
      <c r="D9" s="47" t="n">
        <v>2024</v>
      </c>
      <c r="E9" s="8" t="inlineStr">
        <is>
          <t>high</t>
        </is>
      </c>
      <c r="F9" s="25" t="inlineStr">
        <is>
          <t>RUBIO CANON LAND &amp; WATER ASSOCIATION: Primary Water Source Type = Surface Water.  [cross-source: SDWIS classifies the primary source as Surface Water, while the company's own 2024 report describes wells supplying the larger share of the year's volume. Both are as published; neither is picked.]</t>
        </is>
      </c>
    </row>
    <row r="10" ht="42" customHeight="1">
      <c r="A10" s="8" t="inlineStr">
        <is>
          <t>Service connections (total)</t>
        </is>
      </c>
      <c r="B10" s="25" t="inlineStr">
        <is>
          <t>3,128 connections</t>
        </is>
      </c>
      <c r="C10" s="8" t="inlineStr">
        <is>
          <t>SDWIS Drinking Water Watch (State Water Board)</t>
        </is>
      </c>
      <c r="D10" s="47" t="n">
        <v>2024</v>
      </c>
      <c r="E10" s="8" t="inlineStr">
        <is>
          <t>high</t>
        </is>
      </c>
      <c r="F10" s="25" t="inlineStr">
        <is>
          <t>RUBIO CANON LAND &amp; WATER ASSOCIATION: Total Number of Service Connections = 3,128.  [cross-source: Three sources count this system's connections and they do not agree: SDWIS 3,128; eAR reporting year 2024 3,136 active and 3,158 total potable; the company's own site more than 3,140. All three are preserved as filed and none is reconciled.]</t>
        </is>
      </c>
    </row>
    <row r="11" ht="42" customHeight="1">
      <c r="A11" s="8" t="inlineStr">
        <is>
          <t>Connections by class</t>
        </is>
      </c>
      <c r="B11" s="25" t="inlineStr">
        <is>
          <t>Service connections by class (eAR Section 4, reporting year 2024): Single family 2,810; Multi family 211; Commercial and institutional 117; Landscape irrigation 20; Industrial 0; Active total 3,136.</t>
        </is>
      </c>
      <c r="C11" s="8" t="inlineStr">
        <is>
          <t>ear</t>
        </is>
      </c>
      <c r="D11" s="47" t="n">
        <v>2024</v>
      </c>
      <c r="E11" s="8" t="inlineStr">
        <is>
          <t>high</t>
        </is>
      </c>
      <c r="F11" s="25" t="inlineStr">
        <is>
          <t>eAR Section 4: single family 2,810; multi family 211; commercial or institutional 117; landscape irrigation 20; industrial 0.  [cross-source: Not comparable line for line with the SDWIS by-type snapshot carried for companies onboarded before 2026-08-26, which uses a coarser Residential and Commercial split.]</t>
        </is>
      </c>
    </row>
    <row r="12" ht="42" customHeight="1">
      <c r="A12" s="8" t="inlineStr">
        <is>
          <t>Population served</t>
        </is>
      </c>
      <c r="B12" s="25" t="inlineStr">
        <is>
          <t>9,600 residents</t>
        </is>
      </c>
      <c r="C12" s="8" t="inlineStr">
        <is>
          <t>SDWIS Drinking Water Watch (State Water Board)</t>
        </is>
      </c>
      <c r="D12" s="47" t="n">
        <v>2024</v>
      </c>
      <c r="E12" s="8" t="inlineStr">
        <is>
          <t>high</t>
        </is>
      </c>
      <c r="F12" s="25" t="inlineStr">
        <is>
          <t>RUBIO CANON LAND &amp; WATER ASSOCIATION: Total Population = 9,600.</t>
        </is>
      </c>
    </row>
    <row r="13" ht="42" customHeight="1">
      <c r="A13" s="8" t="inlineStr">
        <is>
          <t>Treatment and water quality</t>
        </is>
      </c>
      <c r="B13" s="25" t="inlineStr">
        <is>
          <t>The company operates its own conventional treatment plant, which treats surface water acquired from the local foothill area, and separately obtains treated imported water from Foothill Municipal Water District. Process detail beyond this is not stated in the report.</t>
        </is>
      </c>
      <c r="C13" s="8" t="inlineStr">
        <is>
          <t>ccr</t>
        </is>
      </c>
      <c r="D13" s="47" t="n">
        <v>2024</v>
      </c>
      <c r="E13" s="8" t="inlineStr">
        <is>
          <t>high</t>
        </is>
      </c>
      <c r="F13" s="25" t="inlineStr">
        <is>
          <t>RCLWA provides potable drinking water via groundwater wells, a conventional treatment plant, and from an imported source.  [cross-source: Describes the treatment process, not the operator-certification grades carried for companies onboarded before 2026-08-26. The two are different facts and are not interchangeable.]</t>
        </is>
      </c>
    </row>
    <row r="15">
      <c r="A15" s="6" t="inlineStr">
        <is>
          <t>Not reported (source still needed)</t>
        </is>
      </c>
      <c r="B15" s="7" t="n"/>
      <c r="C15" s="7" t="n"/>
      <c r="D15" s="7" t="n"/>
      <c r="E15" s="7" t="n"/>
      <c r="F15" s="7" t="n"/>
    </row>
    <row r="16" ht="30" customHeight="1">
      <c r="A16" s="8" t="inlineStr">
        <is>
          <t>Annual volume delivered (acre-feet)</t>
        </is>
      </c>
      <c r="B16" s="24" t="inlineStr">
        <is>
          <t>not reported - needs annual volume in acre-feet (State Water Board eAR Section 6 or company production records); the CCR states only a percentage mix</t>
        </is>
      </c>
      <c r="C16" s="45" t="n"/>
      <c r="D16" s="45" t="n"/>
      <c r="E16" s="45" t="n"/>
      <c r="F16" s="45" t="n"/>
    </row>
    <row r="17" ht="30" customHeight="1">
      <c r="A17" s="8" t="inlineStr">
        <is>
          <t>Customer classes served</t>
        </is>
      </c>
      <c r="B17" s="24" t="inlineStr">
        <is>
          <t>not reported - needs the State Water Board eAR or the system CCR</t>
        </is>
      </c>
      <c r="C17" s="45" t="n"/>
      <c r="D17" s="45" t="n"/>
      <c r="E17" s="45" t="n"/>
      <c r="F17" s="45" t="n"/>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3"/>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Rubio Canon Land &amp; Water Association</t>
        </is>
      </c>
    </row>
    <row r="2">
      <c r="A2" s="2" t="inlineStr">
        <is>
          <t>Anomaly Flags (automated; kept separate from the clean statements)</t>
        </is>
      </c>
    </row>
    <row r="3">
      <c r="A3" s="2" t="inlineStr">
        <is>
          <t>Entity ID: cawc_0027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total expenses swing</t>
        </is>
      </c>
      <c r="B7" s="7" t="n"/>
    </row>
    <row r="8">
      <c r="A8" s="22" t="inlineStr">
        <is>
          <t>Affected figure</t>
        </is>
      </c>
      <c r="B8" s="24" t="inlineStr">
        <is>
          <t>Total expenses FY2024</t>
        </is>
      </c>
    </row>
    <row r="9">
      <c r="A9" s="22" t="inlineStr">
        <is>
          <t>Confidence</t>
        </is>
      </c>
      <c r="B9" s="24" t="inlineStr">
        <is>
          <t>high</t>
        </is>
      </c>
    </row>
    <row r="10" ht="72" customHeight="1">
      <c r="A10" s="22" t="inlineStr">
        <is>
          <t>What happened (filed, sourced)</t>
        </is>
      </c>
      <c r="B10" s="24" t="inlineStr">
        <is>
          <t>FY2024 total expenses rose to $3,333,755 from $1,933,240 in FY2023, a 72 percent move ($1,400,515 in absolute terms). Carried as filed and flagged as a documented anomaly, not smoothed.</t>
        </is>
      </c>
    </row>
    <row r="11" ht="22" customHeight="1">
      <c r="A11" s="22" t="inlineStr">
        <is>
          <t>Source lines</t>
        </is>
      </c>
      <c r="B11" s="24" t="inlineStr">
        <is>
          <t>- total expenses: $1,933,240 FY2023, $3,333,755 FY2024</t>
        </is>
      </c>
    </row>
    <row r="12" ht="72" customHeight="1">
      <c r="A12" s="22" t="inlineStr">
        <is>
          <t>Confidence reasoning</t>
        </is>
      </c>
      <c r="B12" s="24" t="inlineStr">
        <is>
          <t>A year-over-year move in a filed headline total that exceeds both the percentage and the dollar threshold; carried as filed.</t>
        </is>
      </c>
    </row>
    <row r="13">
      <c r="A13" s="22" t="inlineStr">
        <is>
          <t>Why (not stated in the filing)</t>
        </is>
      </c>
      <c r="B13" s="24" t="inlineStr">
        <is>
          <t>The filing does not state a reason.</t>
        </is>
      </c>
    </row>
    <row r="14" ht="60" customHeight="1">
      <c r="A14" s="22" t="inlineStr">
        <is>
          <t>Possible explanation (guess)</t>
        </is>
      </c>
      <c r="B14" s="49" t="inlineStr">
        <is>
          <t>Possible explanation, not stated in filing: a large one-year move in total expenses may reflect a one-time item or a change in how it was recorded. This is an educated guess, not something the filing actually says.</t>
        </is>
      </c>
    </row>
    <row r="16">
      <c r="A16" s="6" t="inlineStr">
        <is>
          <t>Flag: FY2024 total revenue swing</t>
        </is>
      </c>
      <c r="B16" s="7" t="n"/>
    </row>
    <row r="17">
      <c r="A17" s="22" t="inlineStr">
        <is>
          <t>Affected figure</t>
        </is>
      </c>
      <c r="B17" s="24" t="inlineStr">
        <is>
          <t>Operating revenue FY2024</t>
        </is>
      </c>
    </row>
    <row r="18">
      <c r="A18" s="22" t="inlineStr">
        <is>
          <t>Confidence</t>
        </is>
      </c>
      <c r="B18" s="24" t="inlineStr">
        <is>
          <t>high</t>
        </is>
      </c>
    </row>
    <row r="19" ht="72" customHeight="1">
      <c r="A19" s="22" t="inlineStr">
        <is>
          <t>What happened (filed, sourced)</t>
        </is>
      </c>
      <c r="B19" s="24" t="inlineStr">
        <is>
          <t>FY2024 total revenue rose to $4,989,018 from $2,746,190 in FY2023, a 82 percent move ($2,242,828 in absolute terms). Carried as filed and flagged as a documented anomaly, not smoothed.</t>
        </is>
      </c>
    </row>
    <row r="20" ht="22" customHeight="1">
      <c r="A20" s="22" t="inlineStr">
        <is>
          <t>Source lines</t>
        </is>
      </c>
      <c r="B20" s="24" t="inlineStr">
        <is>
          <t>- total revenue: $2,746,190 FY2023, $4,989,018 FY2024</t>
        </is>
      </c>
    </row>
    <row r="21" ht="72" customHeight="1">
      <c r="A21" s="22" t="inlineStr">
        <is>
          <t>Confidence reasoning</t>
        </is>
      </c>
      <c r="B21" s="24" t="inlineStr">
        <is>
          <t>A year-over-year move in a filed headline total that exceeds both the percentage and the dollar threshold; carried as filed.</t>
        </is>
      </c>
    </row>
    <row r="22">
      <c r="A22" s="22" t="inlineStr">
        <is>
          <t>Why (not stated in the filing)</t>
        </is>
      </c>
      <c r="B22" s="24" t="inlineStr">
        <is>
          <t>The filing does not state a reason.</t>
        </is>
      </c>
    </row>
    <row r="23" ht="60" customHeight="1">
      <c r="A23" s="22" t="inlineStr">
        <is>
          <t>Possible explanation (guess)</t>
        </is>
      </c>
      <c r="B23" s="49" t="inlineStr">
        <is>
          <t>Possible explanation, not stated in filing: a large one-year move in total revenue may reflect a one-time item or a change in how it was recorded.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20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Rubio Canon Land &amp; Water Association</t>
        </is>
      </c>
    </row>
    <row r="2">
      <c r="A2" s="2" t="inlineStr">
        <is>
          <t>Sources &amp; audit - full provenance and tie-outs (kept off the statements so they read clean)</t>
        </is>
      </c>
    </row>
    <row r="3">
      <c r="A3" s="2" t="inlineStr">
        <is>
          <t>Entity ID: cawc_0027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6"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7" t="inlineStr">
        <is>
          <t>FY2020</t>
        </is>
      </c>
      <c r="B10" s="8" t="inlineStr">
        <is>
          <t>2020-12-31</t>
        </is>
      </c>
      <c r="C10" s="8" t="inlineStr">
        <is>
          <t>990</t>
        </is>
      </c>
      <c r="D10" s="8" t="inlineStr">
        <is>
          <t>high</t>
        </is>
      </c>
      <c r="E10" s="8" t="inlineStr">
        <is>
          <t>ae3f7492-c22f-4be2-9396-d7c579bee61a</t>
        </is>
      </c>
      <c r="F10" s="8" t="inlineStr">
        <is>
          <t>202101319349304135</t>
        </is>
      </c>
      <c r="G10" s="8" t="inlineStr">
        <is>
          <t>claude-opus-5</t>
        </is>
      </c>
      <c r="H10" s="8" t="inlineStr">
        <is>
          <t>2026-09-14T20:40:24+00:00</t>
        </is>
      </c>
      <c r="I10" s="8" t="inlineStr">
        <is>
          <t>https://apps.irs.gov/pub/epostcard/990/xml/2021/2021_TEOS_XML_01A.zip#202101319349304135_public.xml</t>
        </is>
      </c>
    </row>
    <row r="11">
      <c r="A11" s="47" t="inlineStr">
        <is>
          <t>FY2021</t>
        </is>
      </c>
      <c r="B11" s="8" t="inlineStr">
        <is>
          <t>2021-12-31</t>
        </is>
      </c>
      <c r="C11" s="8" t="inlineStr">
        <is>
          <t>990</t>
        </is>
      </c>
      <c r="D11" s="8" t="inlineStr">
        <is>
          <t>high</t>
        </is>
      </c>
      <c r="E11" s="8" t="inlineStr">
        <is>
          <t>6cfe7a26-0564-4452-a83b-c828ea4c0a9e</t>
        </is>
      </c>
      <c r="F11" s="8" t="inlineStr">
        <is>
          <t>202232119349300108</t>
        </is>
      </c>
      <c r="G11" s="8" t="inlineStr">
        <is>
          <t>claude-opus-5</t>
        </is>
      </c>
      <c r="H11" s="8" t="inlineStr">
        <is>
          <t>2026-09-14T20:40:24+00:00</t>
        </is>
      </c>
      <c r="I11" s="8" t="inlineStr">
        <is>
          <t>https://apps.irs.gov/pub/epostcard/990/xml/2022/2022_TEOS_XML_01A.zip#202232119349300108_public.xml</t>
        </is>
      </c>
    </row>
    <row r="12">
      <c r="A12" s="47" t="inlineStr">
        <is>
          <t>FY2022</t>
        </is>
      </c>
      <c r="B12" s="8" t="inlineStr">
        <is>
          <t>2022-12-31</t>
        </is>
      </c>
      <c r="C12" s="8" t="inlineStr">
        <is>
          <t>990</t>
        </is>
      </c>
      <c r="D12" s="8" t="inlineStr">
        <is>
          <t>high</t>
        </is>
      </c>
      <c r="E12" s="8" t="inlineStr">
        <is>
          <t>05defe89-d360-4673-9033-da3da0c65399</t>
        </is>
      </c>
      <c r="F12" s="8" t="inlineStr">
        <is>
          <t>202322689349301617</t>
        </is>
      </c>
      <c r="G12" s="8" t="inlineStr">
        <is>
          <t>claude-opus-5</t>
        </is>
      </c>
      <c r="H12" s="8" t="inlineStr">
        <is>
          <t>2026-09-14T20:40:24+00:00</t>
        </is>
      </c>
      <c r="I12" s="8" t="inlineStr">
        <is>
          <t>https://apps.irs.gov/pub/epostcard/990/xml/2023/2023_TEOS_XML_10A.zip#202322689349301617_public.xml</t>
        </is>
      </c>
    </row>
    <row r="13">
      <c r="A13" s="47" t="inlineStr">
        <is>
          <t>FY2023</t>
        </is>
      </c>
      <c r="B13" s="8" t="inlineStr">
        <is>
          <t>2023-12-31</t>
        </is>
      </c>
      <c r="C13" s="8" t="inlineStr">
        <is>
          <t>990</t>
        </is>
      </c>
      <c r="D13" s="8" t="inlineStr">
        <is>
          <t>high</t>
        </is>
      </c>
      <c r="E13" s="8" t="inlineStr">
        <is>
          <t>fad9ba6e-4671-49fb-88cc-16c27211e266</t>
        </is>
      </c>
      <c r="F13" s="8" t="inlineStr">
        <is>
          <t>202421709349301237</t>
        </is>
      </c>
      <c r="G13" s="8" t="inlineStr">
        <is>
          <t>claude-opus-5</t>
        </is>
      </c>
      <c r="H13" s="8" t="inlineStr">
        <is>
          <t>2026-09-14T20:40:24+00:00</t>
        </is>
      </c>
      <c r="I13" s="8" t="inlineStr">
        <is>
          <t>https://apps.irs.gov/pub/epostcard/990/xml/2024/2024_TEOS_XML_06A.zip#202421709349301237_public.xml</t>
        </is>
      </c>
    </row>
    <row r="14">
      <c r="A14" s="47" t="inlineStr">
        <is>
          <t>FY2024</t>
        </is>
      </c>
      <c r="B14" s="8" t="inlineStr">
        <is>
          <t>2024-12-31</t>
        </is>
      </c>
      <c r="C14" s="8" t="inlineStr">
        <is>
          <t>990</t>
        </is>
      </c>
      <c r="D14" s="8" t="inlineStr">
        <is>
          <t>high</t>
        </is>
      </c>
      <c r="E14" s="8" t="inlineStr">
        <is>
          <t>3cd79a51-91dc-422e-8065-ff9c6cdcc770</t>
        </is>
      </c>
      <c r="F14" s="8" t="inlineStr">
        <is>
          <t>202502669349300735</t>
        </is>
      </c>
      <c r="G14" s="8" t="inlineStr">
        <is>
          <t>claude-opus-5</t>
        </is>
      </c>
      <c r="H14" s="8" t="inlineStr">
        <is>
          <t>2026-09-14T20:40:24+00:00</t>
        </is>
      </c>
      <c r="I14" s="8" t="inlineStr">
        <is>
          <t>https://apps.irs.gov/pub/epostcard/990/xml/2025/2025_TEOS_XML_09A.zip#202502669349300735_public.xml</t>
        </is>
      </c>
    </row>
    <row r="16">
      <c r="A16" s="46"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4332482</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4254711</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4064425</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3997713</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4662328</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238471</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103820</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37344</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193248</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326690</v>
      </c>
    </row>
    <row r="28">
      <c r="A28" s="8" t="inlineStr">
        <is>
          <t>Revenue (detail)</t>
        </is>
      </c>
      <c r="B28" s="8" t="inlineStr">
        <is>
          <t>F8</t>
        </is>
      </c>
      <c r="C28" s="8" t="inlineStr">
        <is>
          <t>2g. Total program service revenue</t>
        </is>
      </c>
      <c r="D28" s="8" t="inlineStr">
        <is>
          <t>2g</t>
        </is>
      </c>
      <c r="E28" s="8" t="inlineStr">
        <is>
          <t>part_viii_revenue.total_program_service_revenue</t>
        </is>
      </c>
      <c r="F28" s="8" t="inlineStr">
        <is>
          <t>high</t>
        </is>
      </c>
      <c r="G28" s="9" t="n">
        <v>4662328</v>
      </c>
    </row>
    <row r="29">
      <c r="A29" s="8" t="inlineStr">
        <is>
          <t>Revenue (detail)</t>
        </is>
      </c>
      <c r="B29" s="8" t="inlineStr">
        <is>
          <t>B9</t>
        </is>
      </c>
      <c r="C29" s="8" t="inlineStr">
        <is>
          <t>3. Investment income</t>
        </is>
      </c>
      <c r="D29" s="8" t="inlineStr">
        <is>
          <t>3</t>
        </is>
      </c>
      <c r="E29" s="8" t="inlineStr">
        <is>
          <t>part_viii_revenue.investment_income</t>
        </is>
      </c>
      <c r="F29" s="8" t="inlineStr">
        <is>
          <t>high</t>
        </is>
      </c>
      <c r="G29" s="9" t="n">
        <v>238471</v>
      </c>
    </row>
    <row r="30">
      <c r="A30" s="8" t="inlineStr">
        <is>
          <t>Revenue (detail)</t>
        </is>
      </c>
      <c r="B30" s="8" t="inlineStr">
        <is>
          <t>C9</t>
        </is>
      </c>
      <c r="C30" s="8" t="inlineStr">
        <is>
          <t>3. Investment income</t>
        </is>
      </c>
      <c r="D30" s="8" t="inlineStr">
        <is>
          <t>3</t>
        </is>
      </c>
      <c r="E30" s="8" t="inlineStr">
        <is>
          <t>part_viii_revenue.investment_income</t>
        </is>
      </c>
      <c r="F30" s="8" t="inlineStr">
        <is>
          <t>high</t>
        </is>
      </c>
      <c r="G30" s="9" t="n">
        <v>103061</v>
      </c>
    </row>
    <row r="31">
      <c r="A31" s="8" t="inlineStr">
        <is>
          <t>Revenue (detail)</t>
        </is>
      </c>
      <c r="B31" s="8" t="inlineStr">
        <is>
          <t>D9</t>
        </is>
      </c>
      <c r="C31" s="8" t="inlineStr">
        <is>
          <t>3. Investment income</t>
        </is>
      </c>
      <c r="D31" s="8" t="inlineStr">
        <is>
          <t>3</t>
        </is>
      </c>
      <c r="E31" s="8" t="inlineStr">
        <is>
          <t>part_viii_revenue.investment_income</t>
        </is>
      </c>
      <c r="F31" s="8" t="inlineStr">
        <is>
          <t>high</t>
        </is>
      </c>
      <c r="G31" s="9" t="n">
        <v>37344</v>
      </c>
    </row>
    <row r="32">
      <c r="A32" s="8" t="inlineStr">
        <is>
          <t>Revenue (detail)</t>
        </is>
      </c>
      <c r="B32" s="8" t="inlineStr">
        <is>
          <t>E9</t>
        </is>
      </c>
      <c r="C32" s="8" t="inlineStr">
        <is>
          <t>3. Investment income</t>
        </is>
      </c>
      <c r="D32" s="8" t="inlineStr">
        <is>
          <t>3</t>
        </is>
      </c>
      <c r="E32" s="8" t="inlineStr">
        <is>
          <t>part_viii_revenue.investment_income</t>
        </is>
      </c>
      <c r="F32" s="8" t="inlineStr">
        <is>
          <t>high</t>
        </is>
      </c>
      <c r="G32" s="9" t="n">
        <v>100181</v>
      </c>
    </row>
    <row r="33">
      <c r="A33" s="8" t="inlineStr">
        <is>
          <t>Revenue (detail)</t>
        </is>
      </c>
      <c r="B33" s="8" t="inlineStr">
        <is>
          <t>F9</t>
        </is>
      </c>
      <c r="C33" s="8" t="inlineStr">
        <is>
          <t>3. Investment income</t>
        </is>
      </c>
      <c r="D33" s="8" t="inlineStr">
        <is>
          <t>3</t>
        </is>
      </c>
      <c r="E33" s="8" t="inlineStr">
        <is>
          <t>part_viii_revenue.investment_income</t>
        </is>
      </c>
      <c r="F33" s="8" t="inlineStr">
        <is>
          <t>high</t>
        </is>
      </c>
      <c r="G33" s="9" t="n">
        <v>236534</v>
      </c>
    </row>
    <row r="34">
      <c r="A34" s="8" t="inlineStr">
        <is>
          <t>Revenue (detail)</t>
        </is>
      </c>
      <c r="B34" s="8" t="inlineStr">
        <is>
          <t>C12</t>
        </is>
      </c>
      <c r="C34" s="8" t="inlineStr">
        <is>
          <t>11e. Other revenue</t>
        </is>
      </c>
      <c r="D34" s="8" t="inlineStr">
        <is>
          <t>11e</t>
        </is>
      </c>
      <c r="E34" s="8" t="inlineStr">
        <is>
          <t>part_viii_revenue.other_revenue_total</t>
        </is>
      </c>
      <c r="F34" s="8" t="inlineStr">
        <is>
          <t>high</t>
        </is>
      </c>
      <c r="G34" s="9" t="n">
        <v>759</v>
      </c>
    </row>
    <row r="35">
      <c r="A35" s="8" t="inlineStr">
        <is>
          <t>Revenue (detail)</t>
        </is>
      </c>
      <c r="B35" s="8" t="inlineStr">
        <is>
          <t>E12</t>
        </is>
      </c>
      <c r="C35" s="8" t="inlineStr">
        <is>
          <t>11e. Other revenue</t>
        </is>
      </c>
      <c r="D35" s="8" t="inlineStr">
        <is>
          <t>11e</t>
        </is>
      </c>
      <c r="E35" s="8" t="inlineStr">
        <is>
          <t>part_viii_revenue.other_revenue_total</t>
        </is>
      </c>
      <c r="F35" s="8" t="inlineStr">
        <is>
          <t>high</t>
        </is>
      </c>
      <c r="G35" s="9" t="n">
        <v>93067</v>
      </c>
    </row>
    <row r="36">
      <c r="A36" s="8" t="inlineStr">
        <is>
          <t>Revenue (detail)</t>
        </is>
      </c>
      <c r="B36" s="8" t="inlineStr">
        <is>
          <t>F12</t>
        </is>
      </c>
      <c r="C36" s="8" t="inlineStr">
        <is>
          <t>11e. Other revenue</t>
        </is>
      </c>
      <c r="D36" s="8" t="inlineStr">
        <is>
          <t>11e</t>
        </is>
      </c>
      <c r="E36" s="8" t="inlineStr">
        <is>
          <t>part_viii_revenue.other_revenue_total</t>
        </is>
      </c>
      <c r="F36" s="8" t="inlineStr">
        <is>
          <t>high</t>
        </is>
      </c>
      <c r="G36" s="9" t="n">
        <v>90156</v>
      </c>
    </row>
    <row r="37">
      <c r="A37" s="8" t="inlineStr">
        <is>
          <t>Operating expenses (detail)</t>
        </is>
      </c>
      <c r="B37" s="8" t="inlineStr">
        <is>
          <t>C7</t>
        </is>
      </c>
      <c r="C37" s="8" t="inlineStr">
        <is>
          <t>5. Compensation of current officers, directors, trustees</t>
        </is>
      </c>
      <c r="D37" s="8" t="inlineStr">
        <is>
          <t>5</t>
        </is>
      </c>
      <c r="E37" s="8" t="inlineStr">
        <is>
          <t>part_ix_expenses.comp_current_officers</t>
        </is>
      </c>
      <c r="F37" s="8" t="inlineStr">
        <is>
          <t>high</t>
        </is>
      </c>
      <c r="G37" s="9" t="n">
        <v>348653</v>
      </c>
    </row>
    <row r="38">
      <c r="A38" s="8" t="inlineStr">
        <is>
          <t>Operating expenses (detail)</t>
        </is>
      </c>
      <c r="B38" s="8" t="inlineStr">
        <is>
          <t>D7</t>
        </is>
      </c>
      <c r="C38" s="8" t="inlineStr">
        <is>
          <t>5. Compensation of current officers, directors, trustees</t>
        </is>
      </c>
      <c r="D38" s="8" t="inlineStr">
        <is>
          <t>5</t>
        </is>
      </c>
      <c r="E38" s="8" t="inlineStr">
        <is>
          <t>part_ix_expenses.comp_current_officers</t>
        </is>
      </c>
      <c r="F38" s="8" t="inlineStr">
        <is>
          <t>high</t>
        </is>
      </c>
      <c r="G38" s="9" t="n">
        <v>379348</v>
      </c>
    </row>
    <row r="39">
      <c r="A39" s="8" t="inlineStr">
        <is>
          <t>Operating expenses (detail)</t>
        </is>
      </c>
      <c r="B39" s="8" t="inlineStr">
        <is>
          <t>F7</t>
        </is>
      </c>
      <c r="C39" s="8" t="inlineStr">
        <is>
          <t>5. Compensation of current officers, directors, trustees</t>
        </is>
      </c>
      <c r="D39" s="8" t="inlineStr">
        <is>
          <t>5</t>
        </is>
      </c>
      <c r="E39" s="8" t="inlineStr">
        <is>
          <t>part_ix_expenses.comp_current_officers</t>
        </is>
      </c>
      <c r="F39" s="8" t="inlineStr">
        <is>
          <t>high</t>
        </is>
      </c>
      <c r="G39" s="9" t="n">
        <v>460872</v>
      </c>
    </row>
    <row r="40">
      <c r="A40" s="8" t="inlineStr">
        <is>
          <t>Operating expenses (detail)</t>
        </is>
      </c>
      <c r="B40" s="8" t="inlineStr">
        <is>
          <t>B8</t>
        </is>
      </c>
      <c r="C40" s="8" t="inlineStr">
        <is>
          <t>7. Other salaries and wages</t>
        </is>
      </c>
      <c r="D40" s="8" t="inlineStr">
        <is>
          <t>7</t>
        </is>
      </c>
      <c r="E40" s="8" t="inlineStr">
        <is>
          <t>part_ix_expenses.other_salaries_and_wages</t>
        </is>
      </c>
      <c r="F40" s="8" t="inlineStr">
        <is>
          <t>high</t>
        </is>
      </c>
      <c r="G40" s="9" t="n">
        <v>274941</v>
      </c>
    </row>
    <row r="41">
      <c r="A41" s="8" t="inlineStr">
        <is>
          <t>Operating expenses (detail)</t>
        </is>
      </c>
      <c r="B41" s="8" t="inlineStr">
        <is>
          <t>C8</t>
        </is>
      </c>
      <c r="C41" s="8" t="inlineStr">
        <is>
          <t>7. Other salaries and wages</t>
        </is>
      </c>
      <c r="D41" s="8" t="inlineStr">
        <is>
          <t>7</t>
        </is>
      </c>
      <c r="E41" s="8" t="inlineStr">
        <is>
          <t>part_ix_expenses.other_salaries_and_wages</t>
        </is>
      </c>
      <c r="F41" s="8" t="inlineStr">
        <is>
          <t>high</t>
        </is>
      </c>
      <c r="G41" s="9" t="n">
        <v>75975</v>
      </c>
    </row>
    <row r="42">
      <c r="A42" s="8" t="inlineStr">
        <is>
          <t>Operating expenses (detail)</t>
        </is>
      </c>
      <c r="B42" s="8" t="inlineStr">
        <is>
          <t>D8</t>
        </is>
      </c>
      <c r="C42" s="8" t="inlineStr">
        <is>
          <t>7. Other salaries and wages</t>
        </is>
      </c>
      <c r="D42" s="8" t="inlineStr">
        <is>
          <t>7</t>
        </is>
      </c>
      <c r="E42" s="8" t="inlineStr">
        <is>
          <t>part_ix_expenses.other_salaries_and_wages</t>
        </is>
      </c>
      <c r="F42" s="8" t="inlineStr">
        <is>
          <t>high</t>
        </is>
      </c>
      <c r="G42" s="9" t="n">
        <v>76067</v>
      </c>
    </row>
    <row r="43">
      <c r="A43" s="8" t="inlineStr">
        <is>
          <t>Operating expenses (detail)</t>
        </is>
      </c>
      <c r="B43" s="8" t="inlineStr">
        <is>
          <t>E8</t>
        </is>
      </c>
      <c r="C43" s="8" t="inlineStr">
        <is>
          <t>7. Other salaries and wages</t>
        </is>
      </c>
      <c r="D43" s="8" t="inlineStr">
        <is>
          <t>7</t>
        </is>
      </c>
      <c r="E43" s="8" t="inlineStr">
        <is>
          <t>part_ix_expenses.other_salaries_and_wages</t>
        </is>
      </c>
      <c r="F43" s="8" t="inlineStr">
        <is>
          <t>high</t>
        </is>
      </c>
      <c r="G43" s="9" t="n">
        <v>242358</v>
      </c>
    </row>
    <row r="44">
      <c r="A44" s="8" t="inlineStr">
        <is>
          <t>Operating expenses (detail)</t>
        </is>
      </c>
      <c r="B44" s="8" t="inlineStr">
        <is>
          <t>F8</t>
        </is>
      </c>
      <c r="C44" s="8" t="inlineStr">
        <is>
          <t>7. Other salaries and wages</t>
        </is>
      </c>
      <c r="D44" s="8" t="inlineStr">
        <is>
          <t>7</t>
        </is>
      </c>
      <c r="E44" s="8" t="inlineStr">
        <is>
          <t>part_ix_expenses.other_salaries_and_wages</t>
        </is>
      </c>
      <c r="F44" s="8" t="inlineStr">
        <is>
          <t>high</t>
        </is>
      </c>
      <c r="G44" s="9" t="n">
        <v>374907</v>
      </c>
    </row>
    <row r="45">
      <c r="A45" s="8" t="inlineStr">
        <is>
          <t>Operating expenses (detail)</t>
        </is>
      </c>
      <c r="B45" s="8" t="inlineStr">
        <is>
          <t>B9</t>
        </is>
      </c>
      <c r="C45" s="8" t="inlineStr">
        <is>
          <t>8. Pension plan accruals and contributions</t>
        </is>
      </c>
      <c r="D45" s="8" t="inlineStr">
        <is>
          <t>8</t>
        </is>
      </c>
      <c r="E45" s="8" t="inlineStr">
        <is>
          <t>part_ix_expenses.pension_plan_contributions</t>
        </is>
      </c>
      <c r="F45" s="8" t="inlineStr">
        <is>
          <t>high</t>
        </is>
      </c>
      <c r="G45" s="9" t="n">
        <v>65321</v>
      </c>
    </row>
    <row r="46">
      <c r="A46" s="8" t="inlineStr">
        <is>
          <t>Operating expenses (detail)</t>
        </is>
      </c>
      <c r="B46" s="8" t="inlineStr">
        <is>
          <t>C9</t>
        </is>
      </c>
      <c r="C46" s="8" t="inlineStr">
        <is>
          <t>8. Pension plan accruals and contributions</t>
        </is>
      </c>
      <c r="D46" s="8" t="inlineStr">
        <is>
          <t>8</t>
        </is>
      </c>
      <c r="E46" s="8" t="inlineStr">
        <is>
          <t>part_ix_expenses.pension_plan_contributions</t>
        </is>
      </c>
      <c r="F46" s="8" t="inlineStr">
        <is>
          <t>high</t>
        </is>
      </c>
      <c r="G46" s="9" t="n">
        <v>68898</v>
      </c>
    </row>
    <row r="47">
      <c r="A47" s="8" t="inlineStr">
        <is>
          <t>Operating expenses (detail)</t>
        </is>
      </c>
      <c r="B47" s="8" t="inlineStr">
        <is>
          <t>D9</t>
        </is>
      </c>
      <c r="C47" s="8" t="inlineStr">
        <is>
          <t>8. Pension plan accruals and contributions</t>
        </is>
      </c>
      <c r="D47" s="8" t="inlineStr">
        <is>
          <t>8</t>
        </is>
      </c>
      <c r="E47" s="8" t="inlineStr">
        <is>
          <t>part_ix_expenses.pension_plan_contributions</t>
        </is>
      </c>
      <c r="F47" s="8" t="inlineStr">
        <is>
          <t>high</t>
        </is>
      </c>
      <c r="G47" s="9" t="n">
        <v>55827</v>
      </c>
    </row>
    <row r="48">
      <c r="A48" s="8" t="inlineStr">
        <is>
          <t>Operating expenses (detail)</t>
        </is>
      </c>
      <c r="B48" s="8" t="inlineStr">
        <is>
          <t>E9</t>
        </is>
      </c>
      <c r="C48" s="8" t="inlineStr">
        <is>
          <t>8. Pension plan accruals and contributions</t>
        </is>
      </c>
      <c r="D48" s="8" t="inlineStr">
        <is>
          <t>8</t>
        </is>
      </c>
      <c r="E48" s="8" t="inlineStr">
        <is>
          <t>part_ix_expenses.pension_plan_contributions</t>
        </is>
      </c>
      <c r="F48" s="8" t="inlineStr">
        <is>
          <t>high</t>
        </is>
      </c>
      <c r="G48" s="9" t="n">
        <v>75483</v>
      </c>
    </row>
    <row r="49">
      <c r="A49" s="8" t="inlineStr">
        <is>
          <t>Operating expenses (detail)</t>
        </is>
      </c>
      <c r="B49" s="8" t="inlineStr">
        <is>
          <t>F9</t>
        </is>
      </c>
      <c r="C49" s="8" t="inlineStr">
        <is>
          <t>8. Pension plan accruals and contributions</t>
        </is>
      </c>
      <c r="D49" s="8" t="inlineStr">
        <is>
          <t>8</t>
        </is>
      </c>
      <c r="E49" s="8" t="inlineStr">
        <is>
          <t>part_ix_expenses.pension_plan_contributions</t>
        </is>
      </c>
      <c r="F49" s="8" t="inlineStr">
        <is>
          <t>high</t>
        </is>
      </c>
      <c r="G49" s="9" t="n">
        <v>79244</v>
      </c>
    </row>
    <row r="50">
      <c r="A50" s="8" t="inlineStr">
        <is>
          <t>Operating expenses (detail)</t>
        </is>
      </c>
      <c r="B50" s="8" t="inlineStr">
        <is>
          <t>B10</t>
        </is>
      </c>
      <c r="C50" s="8" t="inlineStr">
        <is>
          <t>9. Other employee benefits</t>
        </is>
      </c>
      <c r="D50" s="8" t="inlineStr">
        <is>
          <t>9</t>
        </is>
      </c>
      <c r="E50" s="8" t="inlineStr">
        <is>
          <t>part_ix_expenses.other_employee_benefits</t>
        </is>
      </c>
      <c r="F50" s="8" t="inlineStr">
        <is>
          <t>high</t>
        </is>
      </c>
      <c r="G50" s="9" t="n">
        <v>96692</v>
      </c>
    </row>
    <row r="51">
      <c r="A51" s="8" t="inlineStr">
        <is>
          <t>Operating expenses (detail)</t>
        </is>
      </c>
      <c r="B51" s="8" t="inlineStr">
        <is>
          <t>C10</t>
        </is>
      </c>
      <c r="C51" s="8" t="inlineStr">
        <is>
          <t>9. Other employee benefits</t>
        </is>
      </c>
      <c r="D51" s="8" t="inlineStr">
        <is>
          <t>9</t>
        </is>
      </c>
      <c r="E51" s="8" t="inlineStr">
        <is>
          <t>part_ix_expenses.other_employee_benefits</t>
        </is>
      </c>
      <c r="F51" s="8" t="inlineStr">
        <is>
          <t>high</t>
        </is>
      </c>
      <c r="G51" s="9" t="n">
        <v>193053</v>
      </c>
    </row>
    <row r="52">
      <c r="A52" s="8" t="inlineStr">
        <is>
          <t>Operating expenses (detail)</t>
        </is>
      </c>
      <c r="B52" s="8" t="inlineStr">
        <is>
          <t>D10</t>
        </is>
      </c>
      <c r="C52" s="8" t="inlineStr">
        <is>
          <t>9. Other employee benefits</t>
        </is>
      </c>
      <c r="D52" s="8" t="inlineStr">
        <is>
          <t>9</t>
        </is>
      </c>
      <c r="E52" s="8" t="inlineStr">
        <is>
          <t>part_ix_expenses.other_employee_benefits</t>
        </is>
      </c>
      <c r="F52" s="8" t="inlineStr">
        <is>
          <t>high</t>
        </is>
      </c>
      <c r="G52" s="9" t="n">
        <v>217824</v>
      </c>
    </row>
    <row r="53">
      <c r="A53" s="8" t="inlineStr">
        <is>
          <t>Operating expenses (detail)</t>
        </is>
      </c>
      <c r="B53" s="8" t="inlineStr">
        <is>
          <t>E10</t>
        </is>
      </c>
      <c r="C53" s="8" t="inlineStr">
        <is>
          <t>9. Other employee benefits</t>
        </is>
      </c>
      <c r="D53" s="8" t="inlineStr">
        <is>
          <t>9</t>
        </is>
      </c>
      <c r="E53" s="8" t="inlineStr">
        <is>
          <t>part_ix_expenses.other_employee_benefits</t>
        </is>
      </c>
      <c r="F53" s="8" t="inlineStr">
        <is>
          <t>high</t>
        </is>
      </c>
      <c r="G53" s="9" t="n">
        <v>285286</v>
      </c>
    </row>
    <row r="54">
      <c r="A54" s="8" t="inlineStr">
        <is>
          <t>Operating expenses (detail)</t>
        </is>
      </c>
      <c r="B54" s="8" t="inlineStr">
        <is>
          <t>F10</t>
        </is>
      </c>
      <c r="C54" s="8" t="inlineStr">
        <is>
          <t>9. Other employee benefits</t>
        </is>
      </c>
      <c r="D54" s="8" t="inlineStr">
        <is>
          <t>9</t>
        </is>
      </c>
      <c r="E54" s="8" t="inlineStr">
        <is>
          <t>part_ix_expenses.other_employee_benefits</t>
        </is>
      </c>
      <c r="F54" s="8" t="inlineStr">
        <is>
          <t>high</t>
        </is>
      </c>
      <c r="G54" s="9" t="n">
        <v>147486</v>
      </c>
    </row>
    <row r="55">
      <c r="A55" s="8" t="inlineStr">
        <is>
          <t>Operating expenses (detail)</t>
        </is>
      </c>
      <c r="B55" s="8" t="inlineStr">
        <is>
          <t>B11</t>
        </is>
      </c>
      <c r="C55" s="8" t="inlineStr">
        <is>
          <t>10. Payroll taxes</t>
        </is>
      </c>
      <c r="D55" s="8" t="inlineStr">
        <is>
          <t>10</t>
        </is>
      </c>
      <c r="E55" s="8" t="inlineStr">
        <is>
          <t>part_ix_expenses.payroll_taxes</t>
        </is>
      </c>
      <c r="F55" s="8" t="inlineStr">
        <is>
          <t>high</t>
        </is>
      </c>
      <c r="G55" s="9" t="n">
        <v>60041</v>
      </c>
    </row>
    <row r="56">
      <c r="A56" s="8" t="inlineStr">
        <is>
          <t>Operating expenses (detail)</t>
        </is>
      </c>
      <c r="B56" s="8" t="inlineStr">
        <is>
          <t>C11</t>
        </is>
      </c>
      <c r="C56" s="8" t="inlineStr">
        <is>
          <t>10. Payroll taxes</t>
        </is>
      </c>
      <c r="D56" s="8" t="inlineStr">
        <is>
          <t>10</t>
        </is>
      </c>
      <c r="E56" s="8" t="inlineStr">
        <is>
          <t>part_ix_expenses.payroll_taxes</t>
        </is>
      </c>
      <c r="F56" s="8" t="inlineStr">
        <is>
          <t>high</t>
        </is>
      </c>
      <c r="G56" s="9" t="n">
        <v>64238</v>
      </c>
    </row>
    <row r="57">
      <c r="A57" s="8" t="inlineStr">
        <is>
          <t>Operating expenses (detail)</t>
        </is>
      </c>
      <c r="B57" s="8" t="inlineStr">
        <is>
          <t>D11</t>
        </is>
      </c>
      <c r="C57" s="8" t="inlineStr">
        <is>
          <t>10. Payroll taxes</t>
        </is>
      </c>
      <c r="D57" s="8" t="inlineStr">
        <is>
          <t>10</t>
        </is>
      </c>
      <c r="E57" s="8" t="inlineStr">
        <is>
          <t>part_ix_expenses.payroll_taxes</t>
        </is>
      </c>
      <c r="F57" s="8" t="inlineStr">
        <is>
          <t>high</t>
        </is>
      </c>
      <c r="G57" s="9" t="n">
        <v>76290</v>
      </c>
    </row>
    <row r="58">
      <c r="A58" s="8" t="inlineStr">
        <is>
          <t>Operating expenses (detail)</t>
        </is>
      </c>
      <c r="B58" s="8" t="inlineStr">
        <is>
          <t>E11</t>
        </is>
      </c>
      <c r="C58" s="8" t="inlineStr">
        <is>
          <t>10. Payroll taxes</t>
        </is>
      </c>
      <c r="D58" s="8" t="inlineStr">
        <is>
          <t>10</t>
        </is>
      </c>
      <c r="E58" s="8" t="inlineStr">
        <is>
          <t>part_ix_expenses.payroll_taxes</t>
        </is>
      </c>
      <c r="F58" s="8" t="inlineStr">
        <is>
          <t>high</t>
        </is>
      </c>
      <c r="G58" s="9" t="n">
        <v>70113</v>
      </c>
    </row>
    <row r="59">
      <c r="A59" s="8" t="inlineStr">
        <is>
          <t>Operating expenses (detail)</t>
        </is>
      </c>
      <c r="B59" s="8" t="inlineStr">
        <is>
          <t>F11</t>
        </is>
      </c>
      <c r="C59" s="8" t="inlineStr">
        <is>
          <t>10. Payroll taxes</t>
        </is>
      </c>
      <c r="D59" s="8" t="inlineStr">
        <is>
          <t>10</t>
        </is>
      </c>
      <c r="E59" s="8" t="inlineStr">
        <is>
          <t>part_ix_expenses.payroll_taxes</t>
        </is>
      </c>
      <c r="F59" s="8" t="inlineStr">
        <is>
          <t>high</t>
        </is>
      </c>
      <c r="G59" s="9" t="n">
        <v>63409</v>
      </c>
    </row>
    <row r="60">
      <c r="A60" s="8" t="inlineStr">
        <is>
          <t>Operating expenses (detail)</t>
        </is>
      </c>
      <c r="B60" s="8" t="inlineStr">
        <is>
          <t>B12</t>
        </is>
      </c>
      <c r="C60" s="8" t="inlineStr">
        <is>
          <t>11g. Fees for services: other</t>
        </is>
      </c>
      <c r="D60" s="8" t="inlineStr">
        <is>
          <t>11g</t>
        </is>
      </c>
      <c r="E60" s="8" t="inlineStr">
        <is>
          <t>part_ix_expenses.fees_other</t>
        </is>
      </c>
      <c r="F60" s="8" t="inlineStr">
        <is>
          <t>high</t>
        </is>
      </c>
      <c r="G60" s="9" t="n">
        <v>91293</v>
      </c>
    </row>
    <row r="61">
      <c r="A61" s="8" t="inlineStr">
        <is>
          <t>Operating expenses (detail)</t>
        </is>
      </c>
      <c r="B61" s="8" t="inlineStr">
        <is>
          <t>C12</t>
        </is>
      </c>
      <c r="C61" s="8" t="inlineStr">
        <is>
          <t>11g. Fees for services: other</t>
        </is>
      </c>
      <c r="D61" s="8" t="inlineStr">
        <is>
          <t>11g</t>
        </is>
      </c>
      <c r="E61" s="8" t="inlineStr">
        <is>
          <t>part_ix_expenses.fees_other</t>
        </is>
      </c>
      <c r="F61" s="8" t="inlineStr">
        <is>
          <t>high</t>
        </is>
      </c>
      <c r="G61" s="9" t="n">
        <v>79644</v>
      </c>
    </row>
    <row r="62">
      <c r="A62" s="8" t="inlineStr">
        <is>
          <t>Operating expenses (detail)</t>
        </is>
      </c>
      <c r="B62" s="8" t="inlineStr">
        <is>
          <t>D12</t>
        </is>
      </c>
      <c r="C62" s="8" t="inlineStr">
        <is>
          <t>11g. Fees for services: other</t>
        </is>
      </c>
      <c r="D62" s="8" t="inlineStr">
        <is>
          <t>11g</t>
        </is>
      </c>
      <c r="E62" s="8" t="inlineStr">
        <is>
          <t>part_ix_expenses.fees_other</t>
        </is>
      </c>
      <c r="F62" s="8" t="inlineStr">
        <is>
          <t>high</t>
        </is>
      </c>
      <c r="G62" s="9" t="n">
        <v>125716</v>
      </c>
    </row>
    <row r="63">
      <c r="A63" s="8" t="inlineStr">
        <is>
          <t>Operating expenses (detail)</t>
        </is>
      </c>
      <c r="B63" s="8" t="inlineStr">
        <is>
          <t>E12</t>
        </is>
      </c>
      <c r="C63" s="8" t="inlineStr">
        <is>
          <t>11g. Fees for services: other</t>
        </is>
      </c>
      <c r="D63" s="8" t="inlineStr">
        <is>
          <t>11g</t>
        </is>
      </c>
      <c r="E63" s="8" t="inlineStr">
        <is>
          <t>part_ix_expenses.fees_other</t>
        </is>
      </c>
      <c r="F63" s="8" t="inlineStr">
        <is>
          <t>high</t>
        </is>
      </c>
      <c r="G63" s="9" t="n">
        <v>109828</v>
      </c>
    </row>
    <row r="64">
      <c r="A64" s="8" t="inlineStr">
        <is>
          <t>Operating expenses (detail)</t>
        </is>
      </c>
      <c r="B64" s="8" t="inlineStr">
        <is>
          <t>F12</t>
        </is>
      </c>
      <c r="C64" s="8" t="inlineStr">
        <is>
          <t>11g. Fees for services: other</t>
        </is>
      </c>
      <c r="D64" s="8" t="inlineStr">
        <is>
          <t>11g</t>
        </is>
      </c>
      <c r="E64" s="8" t="inlineStr">
        <is>
          <t>part_ix_expenses.fees_other</t>
        </is>
      </c>
      <c r="F64" s="8" t="inlineStr">
        <is>
          <t>high</t>
        </is>
      </c>
      <c r="G64" s="9" t="n">
        <v>224640</v>
      </c>
    </row>
    <row r="65">
      <c r="A65" s="8" t="inlineStr">
        <is>
          <t>Operating expenses (detail)</t>
        </is>
      </c>
      <c r="B65" s="8" t="inlineStr">
        <is>
          <t>B13</t>
        </is>
      </c>
      <c r="C65" s="8" t="inlineStr">
        <is>
          <t>13. Office expenses</t>
        </is>
      </c>
      <c r="D65" s="8" t="inlineStr">
        <is>
          <t>13</t>
        </is>
      </c>
      <c r="E65" s="8" t="inlineStr">
        <is>
          <t>part_ix_expenses.office_expenses</t>
        </is>
      </c>
      <c r="F65" s="8" t="inlineStr">
        <is>
          <t>high</t>
        </is>
      </c>
      <c r="G65" s="9" t="n">
        <v>87842</v>
      </c>
    </row>
    <row r="66">
      <c r="A66" s="8" t="inlineStr">
        <is>
          <t>Operating expenses (detail)</t>
        </is>
      </c>
      <c r="B66" s="8" t="inlineStr">
        <is>
          <t>C13</t>
        </is>
      </c>
      <c r="C66" s="8" t="inlineStr">
        <is>
          <t>13. Office expenses</t>
        </is>
      </c>
      <c r="D66" s="8" t="inlineStr">
        <is>
          <t>13</t>
        </is>
      </c>
      <c r="E66" s="8" t="inlineStr">
        <is>
          <t>part_ix_expenses.office_expenses</t>
        </is>
      </c>
      <c r="F66" s="8" t="inlineStr">
        <is>
          <t>high</t>
        </is>
      </c>
      <c r="G66" s="9" t="n">
        <v>86519</v>
      </c>
    </row>
    <row r="67">
      <c r="A67" s="8" t="inlineStr">
        <is>
          <t>Operating expenses (detail)</t>
        </is>
      </c>
      <c r="B67" s="8" t="inlineStr">
        <is>
          <t>D13</t>
        </is>
      </c>
      <c r="C67" s="8" t="inlineStr">
        <is>
          <t>13. Office expenses</t>
        </is>
      </c>
      <c r="D67" s="8" t="inlineStr">
        <is>
          <t>13</t>
        </is>
      </c>
      <c r="E67" s="8" t="inlineStr">
        <is>
          <t>part_ix_expenses.office_expenses</t>
        </is>
      </c>
      <c r="F67" s="8" t="inlineStr">
        <is>
          <t>high</t>
        </is>
      </c>
      <c r="G67" s="9" t="n">
        <v>95900</v>
      </c>
    </row>
    <row r="68">
      <c r="A68" s="8" t="inlineStr">
        <is>
          <t>Operating expenses (detail)</t>
        </is>
      </c>
      <c r="B68" s="8" t="inlineStr">
        <is>
          <t>E13</t>
        </is>
      </c>
      <c r="C68" s="8" t="inlineStr">
        <is>
          <t>13. Office expenses</t>
        </is>
      </c>
      <c r="D68" s="8" t="inlineStr">
        <is>
          <t>13</t>
        </is>
      </c>
      <c r="E68" s="8" t="inlineStr">
        <is>
          <t>part_ix_expenses.office_expenses</t>
        </is>
      </c>
      <c r="F68" s="8" t="inlineStr">
        <is>
          <t>high</t>
        </is>
      </c>
      <c r="G68" s="9" t="n">
        <v>103148</v>
      </c>
    </row>
    <row r="69">
      <c r="A69" s="8" t="inlineStr">
        <is>
          <t>Operating expenses (detail)</t>
        </is>
      </c>
      <c r="B69" s="8" t="inlineStr">
        <is>
          <t>F13</t>
        </is>
      </c>
      <c r="C69" s="8" t="inlineStr">
        <is>
          <t>13. Office expenses</t>
        </is>
      </c>
      <c r="D69" s="8" t="inlineStr">
        <is>
          <t>13</t>
        </is>
      </c>
      <c r="E69" s="8" t="inlineStr">
        <is>
          <t>part_ix_expenses.office_expenses</t>
        </is>
      </c>
      <c r="F69" s="8" t="inlineStr">
        <is>
          <t>high</t>
        </is>
      </c>
      <c r="G69" s="9" t="n">
        <v>149800</v>
      </c>
    </row>
    <row r="70">
      <c r="A70" s="8" t="inlineStr">
        <is>
          <t>Operating expenses (detail)</t>
        </is>
      </c>
      <c r="B70" s="8" t="inlineStr">
        <is>
          <t>C14</t>
        </is>
      </c>
      <c r="C70" s="8" t="inlineStr">
        <is>
          <t>14. Information technology</t>
        </is>
      </c>
      <c r="D70" s="8" t="inlineStr">
        <is>
          <t>14</t>
        </is>
      </c>
      <c r="E70" s="8" t="inlineStr">
        <is>
          <t>part_ix_expenses.information_technology</t>
        </is>
      </c>
      <c r="F70" s="8" t="inlineStr">
        <is>
          <t>high</t>
        </is>
      </c>
      <c r="G70" s="9" t="n">
        <v>15836</v>
      </c>
    </row>
    <row r="71">
      <c r="A71" s="8" t="inlineStr">
        <is>
          <t>Operating expenses (detail)</t>
        </is>
      </c>
      <c r="B71" s="8" t="inlineStr">
        <is>
          <t>D14</t>
        </is>
      </c>
      <c r="C71" s="8" t="inlineStr">
        <is>
          <t>14. Information technology</t>
        </is>
      </c>
      <c r="D71" s="8" t="inlineStr">
        <is>
          <t>14</t>
        </is>
      </c>
      <c r="E71" s="8" t="inlineStr">
        <is>
          <t>part_ix_expenses.information_technology</t>
        </is>
      </c>
      <c r="F71" s="8" t="inlineStr">
        <is>
          <t>high</t>
        </is>
      </c>
      <c r="G71" s="9" t="n">
        <v>14381</v>
      </c>
    </row>
    <row r="72">
      <c r="A72" s="8" t="inlineStr">
        <is>
          <t>Operating expenses (detail)</t>
        </is>
      </c>
      <c r="B72" s="8" t="inlineStr">
        <is>
          <t>E14</t>
        </is>
      </c>
      <c r="C72" s="8" t="inlineStr">
        <is>
          <t>14. Information technology</t>
        </is>
      </c>
      <c r="D72" s="8" t="inlineStr">
        <is>
          <t>14</t>
        </is>
      </c>
      <c r="E72" s="8" t="inlineStr">
        <is>
          <t>part_ix_expenses.information_technology</t>
        </is>
      </c>
      <c r="F72" s="8" t="inlineStr">
        <is>
          <t>high</t>
        </is>
      </c>
      <c r="G72" s="9" t="n">
        <v>13836</v>
      </c>
    </row>
    <row r="73">
      <c r="A73" s="8" t="inlineStr">
        <is>
          <t>Operating expenses (detail)</t>
        </is>
      </c>
      <c r="B73" s="8" t="inlineStr">
        <is>
          <t>B15</t>
        </is>
      </c>
      <c r="C73" s="8" t="inlineStr">
        <is>
          <t>16. Occupancy</t>
        </is>
      </c>
      <c r="D73" s="8" t="inlineStr">
        <is>
          <t>16</t>
        </is>
      </c>
      <c r="E73" s="8" t="inlineStr">
        <is>
          <t>part_ix_expenses.occupancy</t>
        </is>
      </c>
      <c r="F73" s="8" t="inlineStr">
        <is>
          <t>high</t>
        </is>
      </c>
      <c r="G73" s="9" t="n">
        <v>37294</v>
      </c>
    </row>
    <row r="74">
      <c r="A74" s="8" t="inlineStr">
        <is>
          <t>Operating expenses (detail)</t>
        </is>
      </c>
      <c r="B74" s="8" t="inlineStr">
        <is>
          <t>B16</t>
        </is>
      </c>
      <c r="C74" s="8" t="inlineStr">
        <is>
          <t>20. Interest</t>
        </is>
      </c>
      <c r="D74" s="8" t="inlineStr">
        <is>
          <t>20</t>
        </is>
      </c>
      <c r="E74" s="8" t="inlineStr">
        <is>
          <t>part_ix_expenses.interest</t>
        </is>
      </c>
      <c r="F74" s="8" t="inlineStr">
        <is>
          <t>high</t>
        </is>
      </c>
      <c r="G74" s="9" t="n">
        <v>942</v>
      </c>
    </row>
    <row r="75">
      <c r="A75" s="8" t="inlineStr">
        <is>
          <t>Operating expenses (detail)</t>
        </is>
      </c>
      <c r="B75" s="8" t="inlineStr">
        <is>
          <t>B17</t>
        </is>
      </c>
      <c r="C75" s="8" t="inlineStr">
        <is>
          <t>22. Depreciation, depletion, and amortization</t>
        </is>
      </c>
      <c r="D75" s="8" t="inlineStr">
        <is>
          <t>22</t>
        </is>
      </c>
      <c r="E75" s="8" t="inlineStr">
        <is>
          <t>part_ix_expenses.depreciation</t>
        </is>
      </c>
      <c r="F75" s="8" t="inlineStr">
        <is>
          <t>high</t>
        </is>
      </c>
      <c r="G75" s="9" t="n">
        <v>615300</v>
      </c>
    </row>
    <row r="76">
      <c r="A76" s="8" t="inlineStr">
        <is>
          <t>Operating expenses (detail)</t>
        </is>
      </c>
      <c r="B76" s="8" t="inlineStr">
        <is>
          <t>C17</t>
        </is>
      </c>
      <c r="C76" s="8" t="inlineStr">
        <is>
          <t>22. Depreciation, depletion, and amortization</t>
        </is>
      </c>
      <c r="D76" s="8" t="inlineStr">
        <is>
          <t>22</t>
        </is>
      </c>
      <c r="E76" s="8" t="inlineStr">
        <is>
          <t>part_ix_expenses.depreciation</t>
        </is>
      </c>
      <c r="F76" s="8" t="inlineStr">
        <is>
          <t>high</t>
        </is>
      </c>
      <c r="G76" s="9" t="n">
        <v>584742</v>
      </c>
    </row>
    <row r="77">
      <c r="A77" s="8" t="inlineStr">
        <is>
          <t>Operating expenses (detail)</t>
        </is>
      </c>
      <c r="B77" s="8" t="inlineStr">
        <is>
          <t>D17</t>
        </is>
      </c>
      <c r="C77" s="8" t="inlineStr">
        <is>
          <t>22. Depreciation, depletion, and amortization</t>
        </is>
      </c>
      <c r="D77" s="8" t="inlineStr">
        <is>
          <t>22</t>
        </is>
      </c>
      <c r="E77" s="8" t="inlineStr">
        <is>
          <t>part_ix_expenses.depreciation</t>
        </is>
      </c>
      <c r="F77" s="8" t="inlineStr">
        <is>
          <t>high</t>
        </is>
      </c>
      <c r="G77" s="9" t="n">
        <v>510970</v>
      </c>
    </row>
    <row r="78">
      <c r="A78" s="8" t="inlineStr">
        <is>
          <t>Operating expenses (detail)</t>
        </is>
      </c>
      <c r="B78" s="8" t="inlineStr">
        <is>
          <t>E17</t>
        </is>
      </c>
      <c r="C78" s="8" t="inlineStr">
        <is>
          <t>22. Depreciation, depletion, and amortization</t>
        </is>
      </c>
      <c r="D78" s="8" t="inlineStr">
        <is>
          <t>22</t>
        </is>
      </c>
      <c r="E78" s="8" t="inlineStr">
        <is>
          <t>part_ix_expenses.depreciation</t>
        </is>
      </c>
      <c r="F78" s="8" t="inlineStr">
        <is>
          <t>high</t>
        </is>
      </c>
      <c r="G78" s="9" t="n">
        <v>567376</v>
      </c>
    </row>
    <row r="79">
      <c r="A79" s="8" t="inlineStr">
        <is>
          <t>Operating expenses (detail)</t>
        </is>
      </c>
      <c r="B79" s="8" t="inlineStr">
        <is>
          <t>F17</t>
        </is>
      </c>
      <c r="C79" s="8" t="inlineStr">
        <is>
          <t>22. Depreciation, depletion, and amortization</t>
        </is>
      </c>
      <c r="D79" s="8" t="inlineStr">
        <is>
          <t>22</t>
        </is>
      </c>
      <c r="E79" s="8" t="inlineStr">
        <is>
          <t>part_ix_expenses.depreciation</t>
        </is>
      </c>
      <c r="F79" s="8" t="inlineStr">
        <is>
          <t>high</t>
        </is>
      </c>
      <c r="G79" s="9" t="n">
        <v>609330</v>
      </c>
    </row>
    <row r="80">
      <c r="A80" s="8" t="inlineStr">
        <is>
          <t>Operating expenses (detail)</t>
        </is>
      </c>
      <c r="B80" s="8" t="inlineStr">
        <is>
          <t>B18</t>
        </is>
      </c>
      <c r="C80" s="8" t="inlineStr">
        <is>
          <t>23. Insurance</t>
        </is>
      </c>
      <c r="D80" s="8" t="inlineStr">
        <is>
          <t>23</t>
        </is>
      </c>
      <c r="E80" s="8" t="inlineStr">
        <is>
          <t>part_ix_expenses.insurance</t>
        </is>
      </c>
      <c r="F80" s="8" t="inlineStr">
        <is>
          <t>high</t>
        </is>
      </c>
      <c r="G80" s="9" t="n">
        <v>100191</v>
      </c>
    </row>
    <row r="81">
      <c r="A81" s="8" t="inlineStr">
        <is>
          <t>Operating expenses (detail)</t>
        </is>
      </c>
      <c r="B81" s="8" t="inlineStr">
        <is>
          <t>C18</t>
        </is>
      </c>
      <c r="C81" s="8" t="inlineStr">
        <is>
          <t>23. Insurance</t>
        </is>
      </c>
      <c r="D81" s="8" t="inlineStr">
        <is>
          <t>23</t>
        </is>
      </c>
      <c r="E81" s="8" t="inlineStr">
        <is>
          <t>part_ix_expenses.insurance</t>
        </is>
      </c>
      <c r="F81" s="8" t="inlineStr">
        <is>
          <t>high</t>
        </is>
      </c>
      <c r="G81" s="9" t="n">
        <v>121300</v>
      </c>
    </row>
    <row r="82">
      <c r="A82" s="8" t="inlineStr">
        <is>
          <t>Operating expenses (detail)</t>
        </is>
      </c>
      <c r="B82" s="8" t="inlineStr">
        <is>
          <t>D18</t>
        </is>
      </c>
      <c r="C82" s="8" t="inlineStr">
        <is>
          <t>23. Insurance</t>
        </is>
      </c>
      <c r="D82" s="8" t="inlineStr">
        <is>
          <t>23</t>
        </is>
      </c>
      <c r="E82" s="8" t="inlineStr">
        <is>
          <t>part_ix_expenses.insurance</t>
        </is>
      </c>
      <c r="F82" s="8" t="inlineStr">
        <is>
          <t>high</t>
        </is>
      </c>
      <c r="G82" s="9" t="n">
        <v>137038</v>
      </c>
    </row>
    <row r="83">
      <c r="A83" s="8" t="inlineStr">
        <is>
          <t>Operating expenses (detail)</t>
        </is>
      </c>
      <c r="B83" s="8" t="inlineStr">
        <is>
          <t>E18</t>
        </is>
      </c>
      <c r="C83" s="8" t="inlineStr">
        <is>
          <t>23. Insurance</t>
        </is>
      </c>
      <c r="D83" s="8" t="inlineStr">
        <is>
          <t>23</t>
        </is>
      </c>
      <c r="E83" s="8" t="inlineStr">
        <is>
          <t>part_ix_expenses.insurance</t>
        </is>
      </c>
      <c r="F83" s="8" t="inlineStr">
        <is>
          <t>high</t>
        </is>
      </c>
      <c r="G83" s="9" t="n">
        <v>145045</v>
      </c>
    </row>
    <row r="84">
      <c r="A84" s="8" t="inlineStr">
        <is>
          <t>Operating expenses (detail)</t>
        </is>
      </c>
      <c r="B84" s="8" t="inlineStr">
        <is>
          <t>F18</t>
        </is>
      </c>
      <c r="C84" s="8" t="inlineStr">
        <is>
          <t>23. Insurance</t>
        </is>
      </c>
      <c r="D84" s="8" t="inlineStr">
        <is>
          <t>23</t>
        </is>
      </c>
      <c r="E84" s="8" t="inlineStr">
        <is>
          <t>part_ix_expenses.insurance</t>
        </is>
      </c>
      <c r="F84" s="8" t="inlineStr">
        <is>
          <t>high</t>
        </is>
      </c>
      <c r="G84" s="9" t="n">
        <v>162984</v>
      </c>
    </row>
    <row r="85">
      <c r="A85" s="8" t="inlineStr">
        <is>
          <t>Operating expenses (detail)</t>
        </is>
      </c>
      <c r="B85" s="8" t="inlineStr">
        <is>
          <t>F28</t>
        </is>
      </c>
      <c r="C85" s="8" t="inlineStr">
        <is>
          <t>24e. All other expenses</t>
        </is>
      </c>
      <c r="D85" s="8" t="inlineStr">
        <is>
          <t>24e</t>
        </is>
      </c>
      <c r="E85" s="8" t="inlineStr">
        <is>
          <t>part_ix_expenses.all_other_expenses</t>
        </is>
      </c>
      <c r="F85" s="8" t="inlineStr">
        <is>
          <t>high</t>
        </is>
      </c>
      <c r="G85" s="9" t="n">
        <v>65021</v>
      </c>
    </row>
    <row r="86">
      <c r="A86" s="8" t="inlineStr">
        <is>
          <t>Balance sheet (detail)</t>
        </is>
      </c>
      <c r="B86" s="8" t="inlineStr">
        <is>
          <t>B7</t>
        </is>
      </c>
      <c r="C86" s="8" t="inlineStr">
        <is>
          <t>1. Cash - non-interest-bearing</t>
        </is>
      </c>
      <c r="D86" s="8" t="inlineStr">
        <is>
          <t>1E</t>
        </is>
      </c>
      <c r="E86" s="8" t="inlineStr">
        <is>
          <t>part_x_balance_sheet.cash_noninterest_eoy</t>
        </is>
      </c>
      <c r="F86" s="8" t="inlineStr">
        <is>
          <t>high</t>
        </is>
      </c>
      <c r="G86" s="9" t="n">
        <v>2757999</v>
      </c>
    </row>
    <row r="87">
      <c r="A87" s="8" t="inlineStr">
        <is>
          <t>Balance sheet (detail)</t>
        </is>
      </c>
      <c r="B87" s="8" t="inlineStr">
        <is>
          <t>C7</t>
        </is>
      </c>
      <c r="C87" s="8" t="inlineStr">
        <is>
          <t>1. Cash - non-interest-bearing</t>
        </is>
      </c>
      <c r="D87" s="8" t="inlineStr">
        <is>
          <t>1E</t>
        </is>
      </c>
      <c r="E87" s="8" t="inlineStr">
        <is>
          <t>part_x_balance_sheet.cash_noninterest_eoy</t>
        </is>
      </c>
      <c r="F87" s="8" t="inlineStr">
        <is>
          <t>high</t>
        </is>
      </c>
      <c r="G87" s="9" t="n">
        <v>2239130</v>
      </c>
    </row>
    <row r="88">
      <c r="A88" s="8" t="inlineStr">
        <is>
          <t>Balance sheet (detail)</t>
        </is>
      </c>
      <c r="B88" s="8" t="inlineStr">
        <is>
          <t>D7</t>
        </is>
      </c>
      <c r="C88" s="8" t="inlineStr">
        <is>
          <t>1. Cash - non-interest-bearing</t>
        </is>
      </c>
      <c r="D88" s="8" t="inlineStr">
        <is>
          <t>1E</t>
        </is>
      </c>
      <c r="E88" s="8" t="inlineStr">
        <is>
          <t>part_x_balance_sheet.cash_noninterest_eoy</t>
        </is>
      </c>
      <c r="F88" s="8" t="inlineStr">
        <is>
          <t>high</t>
        </is>
      </c>
      <c r="G88" s="9" t="n">
        <v>2577799</v>
      </c>
    </row>
    <row r="89">
      <c r="A89" s="8" t="inlineStr">
        <is>
          <t>Balance sheet (detail)</t>
        </is>
      </c>
      <c r="B89" s="8" t="inlineStr">
        <is>
          <t>E7</t>
        </is>
      </c>
      <c r="C89" s="8" t="inlineStr">
        <is>
          <t>1. Cash - non-interest-bearing</t>
        </is>
      </c>
      <c r="D89" s="8" t="inlineStr">
        <is>
          <t>1E</t>
        </is>
      </c>
      <c r="E89" s="8" t="inlineStr">
        <is>
          <t>part_x_balance_sheet.cash_noninterest_eoy</t>
        </is>
      </c>
      <c r="F89" s="8" t="inlineStr">
        <is>
          <t>high</t>
        </is>
      </c>
      <c r="G89" s="9" t="n">
        <v>3255089</v>
      </c>
    </row>
    <row r="90">
      <c r="A90" s="8" t="inlineStr">
        <is>
          <t>Balance sheet (detail)</t>
        </is>
      </c>
      <c r="B90" s="8" t="inlineStr">
        <is>
          <t>F7</t>
        </is>
      </c>
      <c r="C90" s="8" t="inlineStr">
        <is>
          <t>1. Cash - non-interest-bearing</t>
        </is>
      </c>
      <c r="D90" s="8" t="inlineStr">
        <is>
          <t>1E</t>
        </is>
      </c>
      <c r="E90" s="8" t="inlineStr">
        <is>
          <t>part_x_balance_sheet.cash_noninterest_eoy</t>
        </is>
      </c>
      <c r="F90" s="8" t="inlineStr">
        <is>
          <t>high</t>
        </is>
      </c>
      <c r="G90" s="9" t="n">
        <v>3999907</v>
      </c>
    </row>
    <row r="91">
      <c r="A91" s="8" t="inlineStr">
        <is>
          <t>Balance sheet (detail)</t>
        </is>
      </c>
      <c r="B91" s="8" t="inlineStr">
        <is>
          <t>B8</t>
        </is>
      </c>
      <c r="C91" s="8" t="inlineStr">
        <is>
          <t>2. Savings and temporary cash investments</t>
        </is>
      </c>
      <c r="D91" s="8" t="inlineStr">
        <is>
          <t>2E</t>
        </is>
      </c>
      <c r="E91" s="8" t="inlineStr">
        <is>
          <t>part_x_balance_sheet.savings_temp_invest_eoy</t>
        </is>
      </c>
      <c r="F91" s="8" t="inlineStr">
        <is>
          <t>high</t>
        </is>
      </c>
      <c r="G91" s="9" t="n">
        <v>2408723</v>
      </c>
    </row>
    <row r="92">
      <c r="A92" s="8" t="inlineStr">
        <is>
          <t>Balance sheet (detail)</t>
        </is>
      </c>
      <c r="B92" s="8" t="inlineStr">
        <is>
          <t>C8</t>
        </is>
      </c>
      <c r="C92" s="8" t="inlineStr">
        <is>
          <t>2. Savings and temporary cash investments</t>
        </is>
      </c>
      <c r="D92" s="8" t="inlineStr">
        <is>
          <t>2E</t>
        </is>
      </c>
      <c r="E92" s="8" t="inlineStr">
        <is>
          <t>part_x_balance_sheet.savings_temp_invest_eoy</t>
        </is>
      </c>
      <c r="F92" s="8" t="inlineStr">
        <is>
          <t>high</t>
        </is>
      </c>
      <c r="G92" s="9" t="n">
        <v>2511646</v>
      </c>
    </row>
    <row r="93">
      <c r="A93" s="8" t="inlineStr">
        <is>
          <t>Balance sheet (detail)</t>
        </is>
      </c>
      <c r="B93" s="8" t="inlineStr">
        <is>
          <t>D8</t>
        </is>
      </c>
      <c r="C93" s="8" t="inlineStr">
        <is>
          <t>2. Savings and temporary cash investments</t>
        </is>
      </c>
      <c r="D93" s="8" t="inlineStr">
        <is>
          <t>2E</t>
        </is>
      </c>
      <c r="E93" s="8" t="inlineStr">
        <is>
          <t>part_x_balance_sheet.savings_temp_invest_eoy</t>
        </is>
      </c>
      <c r="F93" s="8" t="inlineStr">
        <is>
          <t>high</t>
        </is>
      </c>
      <c r="G93" s="9" t="n">
        <v>2204125</v>
      </c>
    </row>
    <row r="94">
      <c r="A94" s="8" t="inlineStr">
        <is>
          <t>Balance sheet (detail)</t>
        </is>
      </c>
      <c r="B94" s="8" t="inlineStr">
        <is>
          <t>E8</t>
        </is>
      </c>
      <c r="C94" s="8" t="inlineStr">
        <is>
          <t>2. Savings and temporary cash investments</t>
        </is>
      </c>
      <c r="D94" s="8" t="inlineStr">
        <is>
          <t>2E</t>
        </is>
      </c>
      <c r="E94" s="8" t="inlineStr">
        <is>
          <t>part_x_balance_sheet.savings_temp_invest_eoy</t>
        </is>
      </c>
      <c r="F94" s="8" t="inlineStr">
        <is>
          <t>high</t>
        </is>
      </c>
      <c r="G94" s="9" t="n">
        <v>2383956</v>
      </c>
    </row>
    <row r="95">
      <c r="A95" s="8" t="inlineStr">
        <is>
          <t>Balance sheet (detail)</t>
        </is>
      </c>
      <c r="B95" s="8" t="inlineStr">
        <is>
          <t>F8</t>
        </is>
      </c>
      <c r="C95" s="8" t="inlineStr">
        <is>
          <t>2. Savings and temporary cash investments</t>
        </is>
      </c>
      <c r="D95" s="8" t="inlineStr">
        <is>
          <t>2E</t>
        </is>
      </c>
      <c r="E95" s="8" t="inlineStr">
        <is>
          <t>part_x_balance_sheet.savings_temp_invest_eoy</t>
        </is>
      </c>
      <c r="F95" s="8" t="inlineStr">
        <is>
          <t>high</t>
        </is>
      </c>
      <c r="G95" s="9" t="n">
        <v>2583076</v>
      </c>
    </row>
    <row r="96">
      <c r="A96" s="8" t="inlineStr">
        <is>
          <t>Balance sheet (detail)</t>
        </is>
      </c>
      <c r="B96" s="8" t="inlineStr">
        <is>
          <t>B9</t>
        </is>
      </c>
      <c r="C96" s="8" t="inlineStr">
        <is>
          <t>4. Accounts receivable, net</t>
        </is>
      </c>
      <c r="D96" s="8" t="inlineStr">
        <is>
          <t>4E</t>
        </is>
      </c>
      <c r="E96" s="8" t="inlineStr">
        <is>
          <t>part_x_balance_sheet.accounts_receivable_eoy</t>
        </is>
      </c>
      <c r="F96" s="8" t="inlineStr">
        <is>
          <t>high</t>
        </is>
      </c>
      <c r="G96" s="9" t="n">
        <v>337016</v>
      </c>
    </row>
    <row r="97">
      <c r="A97" s="8" t="inlineStr">
        <is>
          <t>Balance sheet (detail)</t>
        </is>
      </c>
      <c r="B97" s="8" t="inlineStr">
        <is>
          <t>C9</t>
        </is>
      </c>
      <c r="C97" s="8" t="inlineStr">
        <is>
          <t>4. Accounts receivable, net</t>
        </is>
      </c>
      <c r="D97" s="8" t="inlineStr">
        <is>
          <t>4E</t>
        </is>
      </c>
      <c r="E97" s="8" t="inlineStr">
        <is>
          <t>part_x_balance_sheet.accounts_receivable_eoy</t>
        </is>
      </c>
      <c r="F97" s="8" t="inlineStr">
        <is>
          <t>high</t>
        </is>
      </c>
      <c r="G97" s="9" t="n">
        <v>210407</v>
      </c>
    </row>
    <row r="98">
      <c r="A98" s="8" t="inlineStr">
        <is>
          <t>Balance sheet (detail)</t>
        </is>
      </c>
      <c r="B98" s="8" t="inlineStr">
        <is>
          <t>D9</t>
        </is>
      </c>
      <c r="C98" s="8" t="inlineStr">
        <is>
          <t>4. Accounts receivable, net</t>
        </is>
      </c>
      <c r="D98" s="8" t="inlineStr">
        <is>
          <t>4E</t>
        </is>
      </c>
      <c r="E98" s="8" t="inlineStr">
        <is>
          <t>part_x_balance_sheet.accounts_receivable_eoy</t>
        </is>
      </c>
      <c r="F98" s="8" t="inlineStr">
        <is>
          <t>high</t>
        </is>
      </c>
      <c r="G98" s="9" t="n">
        <v>148765</v>
      </c>
    </row>
    <row r="99">
      <c r="A99" s="8" t="inlineStr">
        <is>
          <t>Balance sheet (detail)</t>
        </is>
      </c>
      <c r="B99" s="8" t="inlineStr">
        <is>
          <t>E9</t>
        </is>
      </c>
      <c r="C99" s="8" t="inlineStr">
        <is>
          <t>4. Accounts receivable, net</t>
        </is>
      </c>
      <c r="D99" s="8" t="inlineStr">
        <is>
          <t>4E</t>
        </is>
      </c>
      <c r="E99" s="8" t="inlineStr">
        <is>
          <t>part_x_balance_sheet.accounts_receivable_eoy</t>
        </is>
      </c>
      <c r="F99" s="8" t="inlineStr">
        <is>
          <t>high</t>
        </is>
      </c>
      <c r="G99" s="9" t="n">
        <v>237055</v>
      </c>
    </row>
    <row r="100">
      <c r="A100" s="8" t="inlineStr">
        <is>
          <t>Balance sheet (detail)</t>
        </is>
      </c>
      <c r="B100" s="8" t="inlineStr">
        <is>
          <t>F9</t>
        </is>
      </c>
      <c r="C100" s="8" t="inlineStr">
        <is>
          <t>4. Accounts receivable, net</t>
        </is>
      </c>
      <c r="D100" s="8" t="inlineStr">
        <is>
          <t>4E</t>
        </is>
      </c>
      <c r="E100" s="8" t="inlineStr">
        <is>
          <t>part_x_balance_sheet.accounts_receivable_eoy</t>
        </is>
      </c>
      <c r="F100" s="8" t="inlineStr">
        <is>
          <t>high</t>
        </is>
      </c>
      <c r="G100" s="9" t="n">
        <v>311864</v>
      </c>
    </row>
    <row r="101">
      <c r="A101" s="8" t="inlineStr">
        <is>
          <t>Balance sheet (detail)</t>
        </is>
      </c>
      <c r="B101" s="8" t="inlineStr">
        <is>
          <t>B10</t>
        </is>
      </c>
      <c r="C101" s="8" t="inlineStr">
        <is>
          <t>8. Inventories for sale or use</t>
        </is>
      </c>
      <c r="D101" s="8" t="inlineStr">
        <is>
          <t>8E</t>
        </is>
      </c>
      <c r="E101" s="8" t="inlineStr">
        <is>
          <t>part_x_balance_sheet.inventories_eoy</t>
        </is>
      </c>
      <c r="F101" s="8" t="inlineStr">
        <is>
          <t>high</t>
        </is>
      </c>
      <c r="G101" s="9" t="n">
        <v>84212</v>
      </c>
    </row>
    <row r="102">
      <c r="A102" s="8" t="inlineStr">
        <is>
          <t>Balance sheet (detail)</t>
        </is>
      </c>
      <c r="B102" s="8" t="inlineStr">
        <is>
          <t>C10</t>
        </is>
      </c>
      <c r="C102" s="8" t="inlineStr">
        <is>
          <t>8. Inventories for sale or use</t>
        </is>
      </c>
      <c r="D102" s="8" t="inlineStr">
        <is>
          <t>8E</t>
        </is>
      </c>
      <c r="E102" s="8" t="inlineStr">
        <is>
          <t>part_x_balance_sheet.inventories_eoy</t>
        </is>
      </c>
      <c r="F102" s="8" t="inlineStr">
        <is>
          <t>high</t>
        </is>
      </c>
      <c r="G102" s="9" t="n">
        <v>90781</v>
      </c>
    </row>
    <row r="103">
      <c r="A103" s="8" t="inlineStr">
        <is>
          <t>Balance sheet (detail)</t>
        </is>
      </c>
      <c r="B103" s="8" t="inlineStr">
        <is>
          <t>D10</t>
        </is>
      </c>
      <c r="C103" s="8" t="inlineStr">
        <is>
          <t>8. Inventories for sale or use</t>
        </is>
      </c>
      <c r="D103" s="8" t="inlineStr">
        <is>
          <t>8E</t>
        </is>
      </c>
      <c r="E103" s="8" t="inlineStr">
        <is>
          <t>part_x_balance_sheet.inventories_eoy</t>
        </is>
      </c>
      <c r="F103" s="8" t="inlineStr">
        <is>
          <t>high</t>
        </is>
      </c>
      <c r="G103" s="9" t="n">
        <v>102020</v>
      </c>
    </row>
    <row r="104">
      <c r="A104" s="8" t="inlineStr">
        <is>
          <t>Balance sheet (detail)</t>
        </is>
      </c>
      <c r="B104" s="8" t="inlineStr">
        <is>
          <t>E10</t>
        </is>
      </c>
      <c r="C104" s="8" t="inlineStr">
        <is>
          <t>8. Inventories for sale or use</t>
        </is>
      </c>
      <c r="D104" s="8" t="inlineStr">
        <is>
          <t>8E</t>
        </is>
      </c>
      <c r="E104" s="8" t="inlineStr">
        <is>
          <t>part_x_balance_sheet.inventories_eoy</t>
        </is>
      </c>
      <c r="F104" s="8" t="inlineStr">
        <is>
          <t>high</t>
        </is>
      </c>
      <c r="G104" s="9" t="n">
        <v>128641</v>
      </c>
    </row>
    <row r="105">
      <c r="A105" s="8" t="inlineStr">
        <is>
          <t>Balance sheet (detail)</t>
        </is>
      </c>
      <c r="B105" s="8" t="inlineStr">
        <is>
          <t>F10</t>
        </is>
      </c>
      <c r="C105" s="8" t="inlineStr">
        <is>
          <t>8. Inventories for sale or use</t>
        </is>
      </c>
      <c r="D105" s="8" t="inlineStr">
        <is>
          <t>8E</t>
        </is>
      </c>
      <c r="E105" s="8" t="inlineStr">
        <is>
          <t>part_x_balance_sheet.inventories_eoy</t>
        </is>
      </c>
      <c r="F105" s="8" t="inlineStr">
        <is>
          <t>high</t>
        </is>
      </c>
      <c r="G105" s="9" t="n">
        <v>175264</v>
      </c>
    </row>
    <row r="106">
      <c r="A106" s="8" t="inlineStr">
        <is>
          <t>Balance sheet (detail)</t>
        </is>
      </c>
      <c r="B106" s="8" t="inlineStr">
        <is>
          <t>B11</t>
        </is>
      </c>
      <c r="C106" s="8" t="inlineStr">
        <is>
          <t>9. Prepaid expenses and deferred charges</t>
        </is>
      </c>
      <c r="D106" s="8" t="inlineStr">
        <is>
          <t>9E</t>
        </is>
      </c>
      <c r="E106" s="8" t="inlineStr">
        <is>
          <t>part_x_balance_sheet.prepaid_expenses_eoy</t>
        </is>
      </c>
      <c r="F106" s="8" t="inlineStr">
        <is>
          <t>high</t>
        </is>
      </c>
      <c r="G106" s="9" t="n">
        <v>40000</v>
      </c>
    </row>
    <row r="107">
      <c r="A107" s="8" t="inlineStr">
        <is>
          <t>Balance sheet (detail)</t>
        </is>
      </c>
      <c r="B107" s="8" t="inlineStr">
        <is>
          <t>C11</t>
        </is>
      </c>
      <c r="C107" s="8" t="inlineStr">
        <is>
          <t>9. Prepaid expenses and deferred charges</t>
        </is>
      </c>
      <c r="D107" s="8" t="inlineStr">
        <is>
          <t>9E</t>
        </is>
      </c>
      <c r="E107" s="8" t="inlineStr">
        <is>
          <t>part_x_balance_sheet.prepaid_expenses_eoy</t>
        </is>
      </c>
      <c r="F107" s="8" t="inlineStr">
        <is>
          <t>high</t>
        </is>
      </c>
      <c r="G107" s="9" t="n">
        <v>21426</v>
      </c>
    </row>
    <row r="108">
      <c r="A108" s="8" t="inlineStr">
        <is>
          <t>Balance sheet (detail)</t>
        </is>
      </c>
      <c r="B108" s="8" t="inlineStr">
        <is>
          <t>D11</t>
        </is>
      </c>
      <c r="C108" s="8" t="inlineStr">
        <is>
          <t>9. Prepaid expenses and deferred charges</t>
        </is>
      </c>
      <c r="D108" s="8" t="inlineStr">
        <is>
          <t>9E</t>
        </is>
      </c>
      <c r="E108" s="8" t="inlineStr">
        <is>
          <t>part_x_balance_sheet.prepaid_expenses_eoy</t>
        </is>
      </c>
      <c r="F108" s="8" t="inlineStr">
        <is>
          <t>high</t>
        </is>
      </c>
      <c r="G108" s="9" t="n">
        <v>31080</v>
      </c>
    </row>
    <row r="109">
      <c r="A109" s="8" t="inlineStr">
        <is>
          <t>Balance sheet (detail)</t>
        </is>
      </c>
      <c r="B109" s="8" t="inlineStr">
        <is>
          <t>E11</t>
        </is>
      </c>
      <c r="C109" s="8" t="inlineStr">
        <is>
          <t>9. Prepaid expenses and deferred charges</t>
        </is>
      </c>
      <c r="D109" s="8" t="inlineStr">
        <is>
          <t>9E</t>
        </is>
      </c>
      <c r="E109" s="8" t="inlineStr">
        <is>
          <t>part_x_balance_sheet.prepaid_expenses_eoy</t>
        </is>
      </c>
      <c r="F109" s="8" t="inlineStr">
        <is>
          <t>high</t>
        </is>
      </c>
      <c r="G109" s="9" t="n">
        <v>26362</v>
      </c>
    </row>
    <row r="110">
      <c r="A110" s="8" t="inlineStr">
        <is>
          <t>Balance sheet (detail)</t>
        </is>
      </c>
      <c r="B110" s="8" t="inlineStr">
        <is>
          <t>F11</t>
        </is>
      </c>
      <c r="C110" s="8" t="inlineStr">
        <is>
          <t>9. Prepaid expenses and deferred charges</t>
        </is>
      </c>
      <c r="D110" s="8" t="inlineStr">
        <is>
          <t>9E</t>
        </is>
      </c>
      <c r="E110" s="8" t="inlineStr">
        <is>
          <t>part_x_balance_sheet.prepaid_expenses_eoy</t>
        </is>
      </c>
      <c r="F110" s="8" t="inlineStr">
        <is>
          <t>high</t>
        </is>
      </c>
      <c r="G110" s="9" t="n">
        <v>75909</v>
      </c>
    </row>
    <row r="111">
      <c r="A111" s="8" t="inlineStr">
        <is>
          <t>Balance sheet (detail)</t>
        </is>
      </c>
      <c r="B111" s="8" t="inlineStr">
        <is>
          <t>B12</t>
        </is>
      </c>
      <c r="C111" s="8" t="inlineStr">
        <is>
          <t>10c. Land, buildings, and equipment, net</t>
        </is>
      </c>
      <c r="D111" s="8" t="inlineStr">
        <is>
          <t>10cE</t>
        </is>
      </c>
      <c r="E111" s="8" t="inlineStr">
        <is>
          <t>part_x_balance_sheet.land_bldg_equip_net_eoy</t>
        </is>
      </c>
      <c r="F111" s="8" t="inlineStr">
        <is>
          <t>high</t>
        </is>
      </c>
      <c r="G111" s="9" t="n">
        <v>10001130</v>
      </c>
    </row>
    <row r="112">
      <c r="A112" s="8" t="inlineStr">
        <is>
          <t>Balance sheet (detail)</t>
        </is>
      </c>
      <c r="B112" s="8" t="inlineStr">
        <is>
          <t>C12</t>
        </is>
      </c>
      <c r="C112" s="8" t="inlineStr">
        <is>
          <t>10c. Land, buildings, and equipment, net</t>
        </is>
      </c>
      <c r="D112" s="8" t="inlineStr">
        <is>
          <t>10cE</t>
        </is>
      </c>
      <c r="E112" s="8" t="inlineStr">
        <is>
          <t>part_x_balance_sheet.land_bldg_equip_net_eoy</t>
        </is>
      </c>
      <c r="F112" s="8" t="inlineStr">
        <is>
          <t>high</t>
        </is>
      </c>
      <c r="G112" s="9" t="n">
        <v>10420725</v>
      </c>
    </row>
    <row r="113">
      <c r="A113" s="8" t="inlineStr">
        <is>
          <t>Balance sheet (detail)</t>
        </is>
      </c>
      <c r="B113" s="8" t="inlineStr">
        <is>
          <t>D12</t>
        </is>
      </c>
      <c r="C113" s="8" t="inlineStr">
        <is>
          <t>10c. Land, buildings, and equipment, net</t>
        </is>
      </c>
      <c r="D113" s="8" t="inlineStr">
        <is>
          <t>10cE</t>
        </is>
      </c>
      <c r="E113" s="8" t="inlineStr">
        <is>
          <t>part_x_balance_sheet.land_bldg_equip_net_eoy</t>
        </is>
      </c>
      <c r="F113" s="8" t="inlineStr">
        <is>
          <t>high</t>
        </is>
      </c>
      <c r="G113" s="9" t="n">
        <v>10621216</v>
      </c>
    </row>
    <row r="114">
      <c r="A114" s="8" t="inlineStr">
        <is>
          <t>Balance sheet (detail)</t>
        </is>
      </c>
      <c r="B114" s="8" t="inlineStr">
        <is>
          <t>E12</t>
        </is>
      </c>
      <c r="C114" s="8" t="inlineStr">
        <is>
          <t>10c. Land, buildings, and equipment, net</t>
        </is>
      </c>
      <c r="D114" s="8" t="inlineStr">
        <is>
          <t>10cE</t>
        </is>
      </c>
      <c r="E114" s="8" t="inlineStr">
        <is>
          <t>part_x_balance_sheet.land_bldg_equip_net_eoy</t>
        </is>
      </c>
      <c r="F114" s="8" t="inlineStr">
        <is>
          <t>high</t>
        </is>
      </c>
      <c r="G114" s="9" t="n">
        <v>10791247</v>
      </c>
    </row>
    <row r="115">
      <c r="A115" s="8" t="inlineStr">
        <is>
          <t>Balance sheet (detail)</t>
        </is>
      </c>
      <c r="B115" s="8" t="inlineStr">
        <is>
          <t>F12</t>
        </is>
      </c>
      <c r="C115" s="8" t="inlineStr">
        <is>
          <t>10c. Land, buildings, and equipment, net</t>
        </is>
      </c>
      <c r="D115" s="8" t="inlineStr">
        <is>
          <t>10cE</t>
        </is>
      </c>
      <c r="E115" s="8" t="inlineStr">
        <is>
          <t>part_x_balance_sheet.land_bldg_equip_net_eoy</t>
        </is>
      </c>
      <c r="F115" s="8" t="inlineStr">
        <is>
          <t>high</t>
        </is>
      </c>
      <c r="G115" s="9" t="n">
        <v>11007357</v>
      </c>
    </row>
    <row r="116">
      <c r="A116" s="8" t="inlineStr">
        <is>
          <t>Balance sheet (detail)</t>
        </is>
      </c>
      <c r="B116" s="8" t="inlineStr">
        <is>
          <t>B13</t>
        </is>
      </c>
      <c r="C116" s="8" t="inlineStr">
        <is>
          <t>15. Other assets</t>
        </is>
      </c>
      <c r="D116" s="8" t="inlineStr">
        <is>
          <t>15E</t>
        </is>
      </c>
      <c r="E116" s="8" t="inlineStr">
        <is>
          <t>part_x_balance_sheet.other_assets_eoy</t>
        </is>
      </c>
      <c r="F116" s="8" t="inlineStr">
        <is>
          <t>high</t>
        </is>
      </c>
      <c r="G116" s="9" t="n">
        <v>366750</v>
      </c>
    </row>
    <row r="117">
      <c r="A117" s="8" t="inlineStr">
        <is>
          <t>Balance sheet (detail)</t>
        </is>
      </c>
      <c r="B117" s="8" t="inlineStr">
        <is>
          <t>C13</t>
        </is>
      </c>
      <c r="C117" s="8" t="inlineStr">
        <is>
          <t>15. Other assets</t>
        </is>
      </c>
      <c r="D117" s="8" t="inlineStr">
        <is>
          <t>15E</t>
        </is>
      </c>
      <c r="E117" s="8" t="inlineStr">
        <is>
          <t>part_x_balance_sheet.other_assets_eoy</t>
        </is>
      </c>
      <c r="F117" s="8" t="inlineStr">
        <is>
          <t>high</t>
        </is>
      </c>
      <c r="G117" s="9" t="n">
        <v>366750</v>
      </c>
    </row>
    <row r="118">
      <c r="A118" s="8" t="inlineStr">
        <is>
          <t>Balance sheet (detail)</t>
        </is>
      </c>
      <c r="B118" s="8" t="inlineStr">
        <is>
          <t>D13</t>
        </is>
      </c>
      <c r="C118" s="8" t="inlineStr">
        <is>
          <t>15. Other assets</t>
        </is>
      </c>
      <c r="D118" s="8" t="inlineStr">
        <is>
          <t>15E</t>
        </is>
      </c>
      <c r="E118" s="8" t="inlineStr">
        <is>
          <t>part_x_balance_sheet.other_assets_eoy</t>
        </is>
      </c>
      <c r="F118" s="8" t="inlineStr">
        <is>
          <t>high</t>
        </is>
      </c>
      <c r="G118" s="9" t="n">
        <v>366750</v>
      </c>
    </row>
    <row r="119">
      <c r="A119" s="8" t="inlineStr">
        <is>
          <t>Balance sheet (detail)</t>
        </is>
      </c>
      <c r="B119" s="8" t="inlineStr">
        <is>
          <t>E13</t>
        </is>
      </c>
      <c r="C119" s="8" t="inlineStr">
        <is>
          <t>15. Other assets</t>
        </is>
      </c>
      <c r="D119" s="8" t="inlineStr">
        <is>
          <t>15E</t>
        </is>
      </c>
      <c r="E119" s="8" t="inlineStr">
        <is>
          <t>part_x_balance_sheet.other_assets_eoy</t>
        </is>
      </c>
      <c r="F119" s="8" t="inlineStr">
        <is>
          <t>high</t>
        </is>
      </c>
      <c r="G119" s="9" t="n">
        <v>366750</v>
      </c>
    </row>
    <row r="120">
      <c r="A120" s="8" t="inlineStr">
        <is>
          <t>Balance sheet (detail)</t>
        </is>
      </c>
      <c r="B120" s="8" t="inlineStr">
        <is>
          <t>F13</t>
        </is>
      </c>
      <c r="C120" s="8" t="inlineStr">
        <is>
          <t>15. Other assets</t>
        </is>
      </c>
      <c r="D120" s="8" t="inlineStr">
        <is>
          <t>15E</t>
        </is>
      </c>
      <c r="E120" s="8" t="inlineStr">
        <is>
          <t>part_x_balance_sheet.other_assets_eoy</t>
        </is>
      </c>
      <c r="F120" s="8" t="inlineStr">
        <is>
          <t>high</t>
        </is>
      </c>
      <c r="G120" s="9" t="n">
        <v>366750</v>
      </c>
    </row>
    <row r="121">
      <c r="A121" s="8" t="inlineStr">
        <is>
          <t>Balance sheet (detail)</t>
        </is>
      </c>
      <c r="B121" s="8" t="inlineStr">
        <is>
          <t>B17</t>
        </is>
      </c>
      <c r="C121" s="8" t="inlineStr">
        <is>
          <t>17. Accounts payable and accrued expenses</t>
        </is>
      </c>
      <c r="D121" s="8" t="inlineStr">
        <is>
          <t>17E</t>
        </is>
      </c>
      <c r="E121" s="8" t="inlineStr">
        <is>
          <t>part_x_balance_sheet.accounts_payable_eoy</t>
        </is>
      </c>
      <c r="F121" s="8" t="inlineStr">
        <is>
          <t>high</t>
        </is>
      </c>
      <c r="G121" s="9" t="n">
        <v>223146</v>
      </c>
    </row>
    <row r="122">
      <c r="A122" s="8" t="inlineStr">
        <is>
          <t>Balance sheet (detail)</t>
        </is>
      </c>
      <c r="B122" s="8" t="inlineStr">
        <is>
          <t>C17</t>
        </is>
      </c>
      <c r="C122" s="8" t="inlineStr">
        <is>
          <t>17. Accounts payable and accrued expenses</t>
        </is>
      </c>
      <c r="D122" s="8" t="inlineStr">
        <is>
          <t>17E</t>
        </is>
      </c>
      <c r="E122" s="8" t="inlineStr">
        <is>
          <t>part_x_balance_sheet.accounts_payable_eoy</t>
        </is>
      </c>
      <c r="F122" s="8" t="inlineStr">
        <is>
          <t>high</t>
        </is>
      </c>
      <c r="G122" s="9" t="n">
        <v>362752</v>
      </c>
    </row>
    <row r="123">
      <c r="A123" s="8" t="inlineStr">
        <is>
          <t>Balance sheet (detail)</t>
        </is>
      </c>
      <c r="B123" s="8" t="inlineStr">
        <is>
          <t>D17</t>
        </is>
      </c>
      <c r="C123" s="8" t="inlineStr">
        <is>
          <t>17. Accounts payable and accrued expenses</t>
        </is>
      </c>
      <c r="D123" s="8" t="inlineStr">
        <is>
          <t>17E</t>
        </is>
      </c>
      <c r="E123" s="8" t="inlineStr">
        <is>
          <t>part_x_balance_sheet.accounts_payable_eoy</t>
        </is>
      </c>
      <c r="F123" s="8" t="inlineStr">
        <is>
          <t>high</t>
        </is>
      </c>
      <c r="G123" s="9" t="n">
        <v>213615</v>
      </c>
    </row>
    <row r="124">
      <c r="A124" s="8" t="inlineStr">
        <is>
          <t>Balance sheet (detail)</t>
        </is>
      </c>
      <c r="B124" s="8" t="inlineStr">
        <is>
          <t>E17</t>
        </is>
      </c>
      <c r="C124" s="8" t="inlineStr">
        <is>
          <t>17. Accounts payable and accrued expenses</t>
        </is>
      </c>
      <c r="D124" s="8" t="inlineStr">
        <is>
          <t>17E</t>
        </is>
      </c>
      <c r="E124" s="8" t="inlineStr">
        <is>
          <t>part_x_balance_sheet.accounts_payable_eoy</t>
        </is>
      </c>
      <c r="F124" s="8" t="inlineStr">
        <is>
          <t>high</t>
        </is>
      </c>
      <c r="G124" s="9" t="n">
        <v>514773</v>
      </c>
    </row>
    <row r="125">
      <c r="A125" s="8" t="inlineStr">
        <is>
          <t>Balance sheet (detail)</t>
        </is>
      </c>
      <c r="B125" s="8" t="inlineStr">
        <is>
          <t>F17</t>
        </is>
      </c>
      <c r="C125" s="8" t="inlineStr">
        <is>
          <t>17. Accounts payable and accrued expenses</t>
        </is>
      </c>
      <c r="D125" s="8" t="inlineStr">
        <is>
          <t>17E</t>
        </is>
      </c>
      <c r="E125" s="8" t="inlineStr">
        <is>
          <t>part_x_balance_sheet.accounts_payable_eoy</t>
        </is>
      </c>
      <c r="F125" s="8" t="inlineStr">
        <is>
          <t>high</t>
        </is>
      </c>
      <c r="G125" s="9" t="n">
        <v>190537</v>
      </c>
    </row>
    <row r="126">
      <c r="A126" s="8" t="inlineStr">
        <is>
          <t>Balance sheet (detail)</t>
        </is>
      </c>
      <c r="B126" s="8" t="inlineStr">
        <is>
          <t>B18</t>
        </is>
      </c>
      <c r="C126" s="8" t="inlineStr">
        <is>
          <t>23. Secured mortgages and notes payable</t>
        </is>
      </c>
      <c r="D126" s="8" t="inlineStr">
        <is>
          <t>23E</t>
        </is>
      </c>
      <c r="E126" s="8" t="inlineStr">
        <is>
          <t>part_x_balance_sheet.mortgages_secured_notes_eoy</t>
        </is>
      </c>
      <c r="F126" s="8" t="inlineStr">
        <is>
          <t>high</t>
        </is>
      </c>
      <c r="G126" s="9" t="n">
        <v>11891</v>
      </c>
    </row>
    <row r="127">
      <c r="A127" s="8" t="inlineStr">
        <is>
          <t>Balance sheet (detail)</t>
        </is>
      </c>
      <c r="B127" s="8" t="inlineStr">
        <is>
          <t>C18</t>
        </is>
      </c>
      <c r="C127" s="8" t="inlineStr">
        <is>
          <t>23. Secured mortgages and notes payable</t>
        </is>
      </c>
      <c r="D127" s="8" t="inlineStr">
        <is>
          <t>23E</t>
        </is>
      </c>
      <c r="E127" s="8" t="inlineStr">
        <is>
          <t>part_x_balance_sheet.mortgages_secured_notes_eoy</t>
        </is>
      </c>
      <c r="F127" s="8" t="inlineStr">
        <is>
          <t>high</t>
        </is>
      </c>
      <c r="G127" s="9" t="n">
        <v>4909</v>
      </c>
    </row>
    <row r="128">
      <c r="A128" s="8" t="inlineStr">
        <is>
          <t>Balance sheet (detail)</t>
        </is>
      </c>
      <c r="B128" s="8" t="inlineStr">
        <is>
          <t>B22</t>
        </is>
      </c>
      <c r="C128" s="8" t="inlineStr">
        <is>
          <t>29. Capital stock or trust principal</t>
        </is>
      </c>
      <c r="D128" s="8" t="inlineStr">
        <is>
          <t>29E</t>
        </is>
      </c>
      <c r="E128" s="8" t="inlineStr">
        <is>
          <t>part_x_balance_sheet.cap_stock_eoy</t>
        </is>
      </c>
      <c r="F128" s="8" t="inlineStr">
        <is>
          <t>high</t>
        </is>
      </c>
      <c r="G128" s="9" t="n">
        <v>233350</v>
      </c>
    </row>
    <row r="129">
      <c r="A129" s="8" t="inlineStr">
        <is>
          <t>Balance sheet (detail)</t>
        </is>
      </c>
      <c r="B129" s="8" t="inlineStr">
        <is>
          <t>C22</t>
        </is>
      </c>
      <c r="C129" s="8" t="inlineStr">
        <is>
          <t>29. Capital stock or trust principal</t>
        </is>
      </c>
      <c r="D129" s="8" t="inlineStr">
        <is>
          <t>29E</t>
        </is>
      </c>
      <c r="E129" s="8" t="inlineStr">
        <is>
          <t>part_x_balance_sheet.cap_stock_eoy</t>
        </is>
      </c>
      <c r="F129" s="8" t="inlineStr">
        <is>
          <t>high</t>
        </is>
      </c>
      <c r="G129" s="9" t="n">
        <v>233350</v>
      </c>
    </row>
    <row r="130">
      <c r="A130" s="8" t="inlineStr">
        <is>
          <t>Balance sheet (detail)</t>
        </is>
      </c>
      <c r="B130" s="8" t="inlineStr">
        <is>
          <t>D22</t>
        </is>
      </c>
      <c r="C130" s="8" t="inlineStr">
        <is>
          <t>29. Capital stock or trust principal</t>
        </is>
      </c>
      <c r="D130" s="8" t="inlineStr">
        <is>
          <t>29E</t>
        </is>
      </c>
      <c r="E130" s="8" t="inlineStr">
        <is>
          <t>part_x_balance_sheet.cap_stock_eoy</t>
        </is>
      </c>
      <c r="F130" s="8" t="inlineStr">
        <is>
          <t>high</t>
        </is>
      </c>
      <c r="G130" s="9" t="n">
        <v>233350</v>
      </c>
    </row>
    <row r="131">
      <c r="A131" s="8" t="inlineStr">
        <is>
          <t>Balance sheet (detail)</t>
        </is>
      </c>
      <c r="B131" s="8" t="inlineStr">
        <is>
          <t>E22</t>
        </is>
      </c>
      <c r="C131" s="8" t="inlineStr">
        <is>
          <t>29. Capital stock or trust principal</t>
        </is>
      </c>
      <c r="D131" s="8" t="inlineStr">
        <is>
          <t>29E</t>
        </is>
      </c>
      <c r="E131" s="8" t="inlineStr">
        <is>
          <t>part_x_balance_sheet.cap_stock_eoy</t>
        </is>
      </c>
      <c r="F131" s="8" t="inlineStr">
        <is>
          <t>high</t>
        </is>
      </c>
      <c r="G131" s="9" t="n">
        <v>233350</v>
      </c>
    </row>
    <row r="132">
      <c r="A132" s="8" t="inlineStr">
        <is>
          <t>Balance sheet (detail)</t>
        </is>
      </c>
      <c r="B132" s="8" t="inlineStr">
        <is>
          <t>F22</t>
        </is>
      </c>
      <c r="C132" s="8" t="inlineStr">
        <is>
          <t>29. Capital stock or trust principal</t>
        </is>
      </c>
      <c r="D132" s="8" t="inlineStr">
        <is>
          <t>29E</t>
        </is>
      </c>
      <c r="E132" s="8" t="inlineStr">
        <is>
          <t>part_x_balance_sheet.cap_stock_eoy</t>
        </is>
      </c>
      <c r="F132" s="8" t="inlineStr">
        <is>
          <t>high</t>
        </is>
      </c>
      <c r="G132" s="9" t="n">
        <v>233350</v>
      </c>
    </row>
    <row r="133">
      <c r="A133" s="8" t="inlineStr">
        <is>
          <t>Balance sheet (detail)</t>
        </is>
      </c>
      <c r="B133" s="8" t="inlineStr">
        <is>
          <t>B23</t>
        </is>
      </c>
      <c r="C133" s="8" t="inlineStr">
        <is>
          <t>30. Paid-in or capital surplus</t>
        </is>
      </c>
      <c r="D133" s="8" t="inlineStr">
        <is>
          <t>30E</t>
        </is>
      </c>
      <c r="E133" s="8" t="inlineStr">
        <is>
          <t>part_x_balance_sheet.paid_in_capital_eoy</t>
        </is>
      </c>
      <c r="F133" s="8" t="inlineStr">
        <is>
          <t>high</t>
        </is>
      </c>
      <c r="G133" s="9" t="n">
        <v>537305</v>
      </c>
    </row>
    <row r="134">
      <c r="A134" s="8" t="inlineStr">
        <is>
          <t>Balance sheet (detail)</t>
        </is>
      </c>
      <c r="B134" s="8" t="inlineStr">
        <is>
          <t>C23</t>
        </is>
      </c>
      <c r="C134" s="8" t="inlineStr">
        <is>
          <t>30. Paid-in or capital surplus</t>
        </is>
      </c>
      <c r="D134" s="8" t="inlineStr">
        <is>
          <t>30E</t>
        </is>
      </c>
      <c r="E134" s="8" t="inlineStr">
        <is>
          <t>part_x_balance_sheet.paid_in_capital_eoy</t>
        </is>
      </c>
      <c r="F134" s="8" t="inlineStr">
        <is>
          <t>high</t>
        </is>
      </c>
      <c r="G134" s="9" t="n">
        <v>537305</v>
      </c>
    </row>
    <row r="135">
      <c r="A135" s="8" t="inlineStr">
        <is>
          <t>Balance sheet (detail)</t>
        </is>
      </c>
      <c r="B135" s="8" t="inlineStr">
        <is>
          <t>D23</t>
        </is>
      </c>
      <c r="C135" s="8" t="inlineStr">
        <is>
          <t>30. Paid-in or capital surplus</t>
        </is>
      </c>
      <c r="D135" s="8" t="inlineStr">
        <is>
          <t>30E</t>
        </is>
      </c>
      <c r="E135" s="8" t="inlineStr">
        <is>
          <t>part_x_balance_sheet.paid_in_capital_eoy</t>
        </is>
      </c>
      <c r="F135" s="8" t="inlineStr">
        <is>
          <t>high</t>
        </is>
      </c>
      <c r="G135" s="9" t="n">
        <v>537305</v>
      </c>
    </row>
    <row r="136">
      <c r="A136" s="8" t="inlineStr">
        <is>
          <t>Balance sheet (detail)</t>
        </is>
      </c>
      <c r="B136" s="8" t="inlineStr">
        <is>
          <t>E23</t>
        </is>
      </c>
      <c r="C136" s="8" t="inlineStr">
        <is>
          <t>30. Paid-in or capital surplus</t>
        </is>
      </c>
      <c r="D136" s="8" t="inlineStr">
        <is>
          <t>30E</t>
        </is>
      </c>
      <c r="E136" s="8" t="inlineStr">
        <is>
          <t>part_x_balance_sheet.paid_in_capital_eoy</t>
        </is>
      </c>
      <c r="F136" s="8" t="inlineStr">
        <is>
          <t>high</t>
        </is>
      </c>
      <c r="G136" s="9" t="n">
        <v>560542</v>
      </c>
    </row>
    <row r="137">
      <c r="A137" s="8" t="inlineStr">
        <is>
          <t>Balance sheet (detail)</t>
        </is>
      </c>
      <c r="B137" s="8" t="inlineStr">
        <is>
          <t>F23</t>
        </is>
      </c>
      <c r="C137" s="8" t="inlineStr">
        <is>
          <t>30. Paid-in or capital surplus</t>
        </is>
      </c>
      <c r="D137" s="8" t="inlineStr">
        <is>
          <t>30E</t>
        </is>
      </c>
      <c r="E137" s="8" t="inlineStr">
        <is>
          <t>part_x_balance_sheet.paid_in_capital_eoy</t>
        </is>
      </c>
      <c r="F137" s="8" t="inlineStr">
        <is>
          <t>high</t>
        </is>
      </c>
      <c r="G137" s="9" t="n">
        <v>560542</v>
      </c>
    </row>
    <row r="138">
      <c r="A138" s="8" t="inlineStr">
        <is>
          <t>Balance sheet (detail)</t>
        </is>
      </c>
      <c r="B138" s="8" t="inlineStr">
        <is>
          <t>B24</t>
        </is>
      </c>
      <c r="C138" s="8" t="inlineStr">
        <is>
          <t>31. Retained earnings / accumulated funds</t>
        </is>
      </c>
      <c r="D138" s="8" t="inlineStr">
        <is>
          <t>31E</t>
        </is>
      </c>
      <c r="E138" s="8" t="inlineStr">
        <is>
          <t>part_x_balance_sheet.retained_earnings_eoy</t>
        </is>
      </c>
      <c r="F138" s="8" t="inlineStr">
        <is>
          <t>high</t>
        </is>
      </c>
      <c r="G138" s="9" t="n">
        <v>14990138</v>
      </c>
    </row>
    <row r="139">
      <c r="A139" s="8" t="inlineStr">
        <is>
          <t>Balance sheet (detail)</t>
        </is>
      </c>
      <c r="B139" s="8" t="inlineStr">
        <is>
          <t>C24</t>
        </is>
      </c>
      <c r="C139" s="8" t="inlineStr">
        <is>
          <t>31. Retained earnings / accumulated funds</t>
        </is>
      </c>
      <c r="D139" s="8" t="inlineStr">
        <is>
          <t>31E</t>
        </is>
      </c>
      <c r="E139" s="8" t="inlineStr">
        <is>
          <t>part_x_balance_sheet.retained_earnings_eoy</t>
        </is>
      </c>
      <c r="F139" s="8" t="inlineStr">
        <is>
          <t>high</t>
        </is>
      </c>
      <c r="G139" s="9" t="n">
        <v>14722549</v>
      </c>
    </row>
    <row r="140">
      <c r="A140" s="8" t="inlineStr">
        <is>
          <t>Balance sheet (detail)</t>
        </is>
      </c>
      <c r="B140" s="8" t="inlineStr">
        <is>
          <t>D24</t>
        </is>
      </c>
      <c r="C140" s="8" t="inlineStr">
        <is>
          <t>31. Retained earnings / accumulated funds</t>
        </is>
      </c>
      <c r="D140" s="8" t="inlineStr">
        <is>
          <t>31E</t>
        </is>
      </c>
      <c r="E140" s="8" t="inlineStr">
        <is>
          <t>part_x_balance_sheet.retained_earnings_eoy</t>
        </is>
      </c>
      <c r="F140" s="8" t="inlineStr">
        <is>
          <t>high</t>
        </is>
      </c>
      <c r="G140" s="9" t="n">
        <v>15067485</v>
      </c>
    </row>
    <row r="141">
      <c r="A141" s="8" t="inlineStr">
        <is>
          <t>Balance sheet (detail)</t>
        </is>
      </c>
      <c r="B141" s="8" t="inlineStr">
        <is>
          <t>E24</t>
        </is>
      </c>
      <c r="C141" s="8" t="inlineStr">
        <is>
          <t>31. Retained earnings / accumulated funds</t>
        </is>
      </c>
      <c r="D141" s="8" t="inlineStr">
        <is>
          <t>31E</t>
        </is>
      </c>
      <c r="E141" s="8" t="inlineStr">
        <is>
          <t>part_x_balance_sheet.retained_earnings_eoy</t>
        </is>
      </c>
      <c r="F141" s="8" t="inlineStr">
        <is>
          <t>high</t>
        </is>
      </c>
      <c r="G141" s="9" t="n">
        <v>15880435</v>
      </c>
    </row>
    <row r="142">
      <c r="A142" s="8" t="inlineStr">
        <is>
          <t>Balance sheet (detail)</t>
        </is>
      </c>
      <c r="B142" s="8" t="inlineStr">
        <is>
          <t>F24</t>
        </is>
      </c>
      <c r="C142" s="8" t="inlineStr">
        <is>
          <t>31. Retained earnings / accumulated funds</t>
        </is>
      </c>
      <c r="D142" s="8" t="inlineStr">
        <is>
          <t>31E</t>
        </is>
      </c>
      <c r="E142" s="8" t="inlineStr">
        <is>
          <t>part_x_balance_sheet.retained_earnings_eoy</t>
        </is>
      </c>
      <c r="F142" s="8" t="inlineStr">
        <is>
          <t>high</t>
        </is>
      </c>
      <c r="G142" s="9" t="n">
        <v>17535698</v>
      </c>
    </row>
    <row r="143">
      <c r="A143" s="8" t="inlineStr">
        <is>
          <t>Net-assets reconciliation</t>
        </is>
      </c>
      <c r="B143" s="8" t="inlineStr">
        <is>
          <t>B7</t>
        </is>
      </c>
      <c r="C143" s="8" t="inlineStr">
        <is>
          <t>4. Net assets, beginning of year</t>
        </is>
      </c>
      <c r="D143" s="8" t="inlineStr">
        <is>
          <t>Part XI line 4</t>
        </is>
      </c>
      <c r="E143" s="8" t="inlineStr">
        <is>
          <t>part_xi_reconciliation.net_assets_boy</t>
        </is>
      </c>
      <c r="F143" s="8" t="inlineStr">
        <is>
          <t>high</t>
        </is>
      </c>
      <c r="G143" s="9" t="n">
        <v>14309166</v>
      </c>
    </row>
    <row r="144">
      <c r="A144" s="8" t="inlineStr">
        <is>
          <t>Net-assets reconciliation</t>
        </is>
      </c>
      <c r="B144" s="8" t="inlineStr">
        <is>
          <t>C7</t>
        </is>
      </c>
      <c r="C144" s="8" t="inlineStr">
        <is>
          <t>4. Net assets, beginning of year</t>
        </is>
      </c>
      <c r="D144" s="8" t="inlineStr">
        <is>
          <t>Part XI line 4</t>
        </is>
      </c>
      <c r="E144" s="8" t="inlineStr">
        <is>
          <t>part_xi_reconciliation.net_assets_boy</t>
        </is>
      </c>
      <c r="F144" s="8" t="inlineStr">
        <is>
          <t>high</t>
        </is>
      </c>
      <c r="G144" s="9" t="n">
        <v>15760793</v>
      </c>
    </row>
    <row r="145">
      <c r="A145" s="8" t="inlineStr">
        <is>
          <t>Net-assets reconciliation</t>
        </is>
      </c>
      <c r="B145" s="8" t="inlineStr">
        <is>
          <t>D7</t>
        </is>
      </c>
      <c r="C145" s="8" t="inlineStr">
        <is>
          <t>4. Net assets, beginning of year</t>
        </is>
      </c>
      <c r="D145" s="8" t="inlineStr">
        <is>
          <t>Part XI line 4</t>
        </is>
      </c>
      <c r="E145" s="8" t="inlineStr">
        <is>
          <t>part_xi_reconciliation.net_assets_boy</t>
        </is>
      </c>
      <c r="F145" s="8" t="inlineStr">
        <is>
          <t>high</t>
        </is>
      </c>
      <c r="G145" s="9" t="n">
        <v>15493204</v>
      </c>
    </row>
    <row r="146">
      <c r="A146" s="8" t="inlineStr">
        <is>
          <t>Net-assets reconciliation</t>
        </is>
      </c>
      <c r="B146" s="8" t="inlineStr">
        <is>
          <t>E7</t>
        </is>
      </c>
      <c r="C146" s="8" t="inlineStr">
        <is>
          <t>4. Net assets, beginning of year</t>
        </is>
      </c>
      <c r="D146" s="8" t="inlineStr">
        <is>
          <t>Part XI line 4</t>
        </is>
      </c>
      <c r="E146" s="8" t="inlineStr">
        <is>
          <t>part_xi_reconciliation.net_assets_boy</t>
        </is>
      </c>
      <c r="F146" s="8" t="inlineStr">
        <is>
          <t>high</t>
        </is>
      </c>
      <c r="G146" s="9" t="n">
        <v>15838140</v>
      </c>
    </row>
    <row r="147">
      <c r="A147" s="8" t="inlineStr">
        <is>
          <t>Net-assets reconciliation</t>
        </is>
      </c>
      <c r="B147" s="8" t="inlineStr">
        <is>
          <t>F7</t>
        </is>
      </c>
      <c r="C147" s="8" t="inlineStr">
        <is>
          <t>4. Net assets, beginning of year</t>
        </is>
      </c>
      <c r="D147" s="8" t="inlineStr">
        <is>
          <t>Part XI line 4</t>
        </is>
      </c>
      <c r="E147" s="8" t="inlineStr">
        <is>
          <t>part_xi_reconciliation.net_assets_boy</t>
        </is>
      </c>
      <c r="F147" s="8" t="inlineStr">
        <is>
          <t>high</t>
        </is>
      </c>
      <c r="G147" s="9" t="n">
        <v>16674327</v>
      </c>
    </row>
    <row r="148">
      <c r="A148" s="8" t="inlineStr">
        <is>
          <t>Net-assets reconciliation</t>
        </is>
      </c>
      <c r="B148" s="8" t="inlineStr">
        <is>
          <t>B8</t>
        </is>
      </c>
      <c r="C148" s="8" t="inlineStr">
        <is>
          <t>3. Revenue less expenses</t>
        </is>
      </c>
      <c r="D148" s="8" t="inlineStr">
        <is>
          <t>Part XI line 3</t>
        </is>
      </c>
      <c r="E148" s="8" t="inlineStr">
        <is>
          <t>part_xi_reconciliation.reconciliation_revenue_expenses</t>
        </is>
      </c>
      <c r="F148" s="8" t="inlineStr">
        <is>
          <t>high</t>
        </is>
      </c>
      <c r="G148" s="9" t="n">
        <v>1451627</v>
      </c>
    </row>
    <row r="149">
      <c r="A149" s="8" t="inlineStr">
        <is>
          <t>Net-assets reconciliation</t>
        </is>
      </c>
      <c r="B149" s="8" t="inlineStr">
        <is>
          <t>C8</t>
        </is>
      </c>
      <c r="C149" s="8" t="inlineStr">
        <is>
          <t>3. Revenue less expenses</t>
        </is>
      </c>
      <c r="D149" s="8" t="inlineStr">
        <is>
          <t>Part XI line 3</t>
        </is>
      </c>
      <c r="E149" s="8" t="inlineStr">
        <is>
          <t>part_xi_reconciliation.reconciliation_revenue_expenses</t>
        </is>
      </c>
      <c r="F149" s="8" t="inlineStr">
        <is>
          <t>high</t>
        </is>
      </c>
      <c r="G149" s="9" t="n">
        <v>-267589</v>
      </c>
    </row>
    <row r="150">
      <c r="A150" s="8" t="inlineStr">
        <is>
          <t>Net-assets reconciliation</t>
        </is>
      </c>
      <c r="B150" s="8" t="inlineStr">
        <is>
          <t>D8</t>
        </is>
      </c>
      <c r="C150" s="8" t="inlineStr">
        <is>
          <t>3. Revenue less expenses</t>
        </is>
      </c>
      <c r="D150" s="8" t="inlineStr">
        <is>
          <t>Part XI line 3</t>
        </is>
      </c>
      <c r="E150" s="8" t="inlineStr">
        <is>
          <t>part_xi_reconciliation.reconciliation_revenue_expenses</t>
        </is>
      </c>
      <c r="F150" s="8" t="inlineStr">
        <is>
          <t>high</t>
        </is>
      </c>
      <c r="G150" s="9" t="n">
        <v>344936</v>
      </c>
    </row>
    <row r="151">
      <c r="A151" s="8" t="inlineStr">
        <is>
          <t>Net-assets reconciliation</t>
        </is>
      </c>
      <c r="B151" s="8" t="inlineStr">
        <is>
          <t>E8</t>
        </is>
      </c>
      <c r="C151" s="8" t="inlineStr">
        <is>
          <t>3. Revenue less expenses</t>
        </is>
      </c>
      <c r="D151" s="8" t="inlineStr">
        <is>
          <t>Part XI line 3</t>
        </is>
      </c>
      <c r="E151" s="8" t="inlineStr">
        <is>
          <t>part_xi_reconciliation.reconciliation_revenue_expenses</t>
        </is>
      </c>
      <c r="F151" s="8" t="inlineStr">
        <is>
          <t>high</t>
        </is>
      </c>
      <c r="G151" s="9" t="n">
        <v>812950</v>
      </c>
    </row>
    <row r="152">
      <c r="A152" s="8" t="inlineStr">
        <is>
          <t>Net-assets reconciliation</t>
        </is>
      </c>
      <c r="B152" s="8" t="inlineStr">
        <is>
          <t>F8</t>
        </is>
      </c>
      <c r="C152" s="8" t="inlineStr">
        <is>
          <t>3. Revenue less expenses</t>
        </is>
      </c>
      <c r="D152" s="8" t="inlineStr">
        <is>
          <t>Part XI line 3</t>
        </is>
      </c>
      <c r="E152" s="8" t="inlineStr">
        <is>
          <t>part_xi_reconciliation.reconciliation_revenue_expenses</t>
        </is>
      </c>
      <c r="F152" s="8" t="inlineStr">
        <is>
          <t>high</t>
        </is>
      </c>
      <c r="G152" s="9" t="n">
        <v>1655263</v>
      </c>
    </row>
    <row r="153">
      <c r="A153" s="8" t="inlineStr">
        <is>
          <t>Net-assets reconciliation</t>
        </is>
      </c>
      <c r="B153" s="8" t="inlineStr">
        <is>
          <t>B10</t>
        </is>
      </c>
      <c r="C153" s="8" t="inlineStr">
        <is>
          <t>9. Other changes in net assets</t>
        </is>
      </c>
      <c r="D153" s="8" t="inlineStr">
        <is>
          <t>Part XI line 9</t>
        </is>
      </c>
      <c r="E153" s="8" t="inlineStr">
        <is>
          <t>part_xi_reconciliation.other_changes_net_assets</t>
        </is>
      </c>
      <c r="F153" s="8" t="inlineStr">
        <is>
          <t>high</t>
        </is>
      </c>
      <c r="G153" s="9" t="n">
        <v>0</v>
      </c>
    </row>
    <row r="154">
      <c r="A154" s="8" t="inlineStr">
        <is>
          <t>Net-assets reconciliation</t>
        </is>
      </c>
      <c r="B154" s="8" t="inlineStr">
        <is>
          <t>C10</t>
        </is>
      </c>
      <c r="C154" s="8" t="inlineStr">
        <is>
          <t>9. Other changes in net assets</t>
        </is>
      </c>
      <c r="D154" s="8" t="inlineStr">
        <is>
          <t>Part XI line 9</t>
        </is>
      </c>
      <c r="E154" s="8" t="inlineStr">
        <is>
          <t>part_xi_reconciliation.other_changes_net_assets</t>
        </is>
      </c>
      <c r="F154" s="8" t="inlineStr">
        <is>
          <t>high</t>
        </is>
      </c>
      <c r="G154" s="9" t="n">
        <v>0</v>
      </c>
    </row>
    <row r="155">
      <c r="A155" s="8" t="inlineStr">
        <is>
          <t>Net-assets reconciliation</t>
        </is>
      </c>
      <c r="B155" s="8" t="inlineStr">
        <is>
          <t>D10</t>
        </is>
      </c>
      <c r="C155" s="8" t="inlineStr">
        <is>
          <t>9. Other changes in net assets</t>
        </is>
      </c>
      <c r="D155" s="8" t="inlineStr">
        <is>
          <t>Part XI line 9</t>
        </is>
      </c>
      <c r="E155" s="8" t="inlineStr">
        <is>
          <t>part_xi_reconciliation.other_changes_net_assets</t>
        </is>
      </c>
      <c r="F155" s="8" t="inlineStr">
        <is>
          <t>high</t>
        </is>
      </c>
      <c r="G155" s="9" t="n">
        <v>0</v>
      </c>
    </row>
    <row r="156">
      <c r="A156" s="8" t="inlineStr">
        <is>
          <t>Net-assets reconciliation</t>
        </is>
      </c>
      <c r="B156" s="8" t="inlineStr">
        <is>
          <t>E10</t>
        </is>
      </c>
      <c r="C156" s="8" t="inlineStr">
        <is>
          <t>9. Other changes in net assets</t>
        </is>
      </c>
      <c r="D156" s="8" t="inlineStr">
        <is>
          <t>Part XI line 9</t>
        </is>
      </c>
      <c r="E156" s="8" t="inlineStr">
        <is>
          <t>part_xi_reconciliation.other_changes_net_assets</t>
        </is>
      </c>
      <c r="F156" s="8" t="inlineStr">
        <is>
          <t>high</t>
        </is>
      </c>
      <c r="G156" s="9" t="n">
        <v>23237</v>
      </c>
    </row>
    <row r="157">
      <c r="A157" s="8" t="inlineStr">
        <is>
          <t>Net-assets reconciliation</t>
        </is>
      </c>
      <c r="B157" s="8" t="inlineStr">
        <is>
          <t>F10</t>
        </is>
      </c>
      <c r="C157" s="8" t="inlineStr">
        <is>
          <t>9. Other changes in net assets</t>
        </is>
      </c>
      <c r="D157" s="8" t="inlineStr">
        <is>
          <t>Part XI line 9</t>
        </is>
      </c>
      <c r="E157" s="8" t="inlineStr">
        <is>
          <t>part_xi_reconciliation.other_changes_net_assets</t>
        </is>
      </c>
      <c r="F157" s="8" t="inlineStr">
        <is>
          <t>high</t>
        </is>
      </c>
      <c r="G157" s="9" t="n">
        <v>0</v>
      </c>
    </row>
    <row r="159">
      <c r="A159" s="46" t="inlineStr">
        <is>
          <t>C. Tie-out checks (filed vs computed; any nonzero variance is flagged red)</t>
        </is>
      </c>
      <c r="B159" s="7" t="n"/>
      <c r="C159" s="7" t="n"/>
      <c r="D159" s="7" t="n"/>
      <c r="E159" s="7" t="n"/>
      <c r="F159" s="7" t="n"/>
      <c r="G159" s="7" t="n"/>
      <c r="H159" s="7" t="n"/>
      <c r="I159" s="7" t="n"/>
      <c r="J159" s="7" t="n"/>
      <c r="K159" s="7" t="n"/>
    </row>
    <row r="160">
      <c r="A160" s="5" t="inlineStr">
        <is>
          <t>Tab</t>
        </is>
      </c>
      <c r="B160" s="5" t="inlineStr">
        <is>
          <t>Check</t>
        </is>
      </c>
      <c r="C160" s="5" t="inlineStr">
        <is>
          <t>Fiscal year</t>
        </is>
      </c>
      <c r="D160" s="5" t="inlineStr">
        <is>
          <t>Filed</t>
        </is>
      </c>
      <c r="E160" s="5" t="inlineStr">
        <is>
          <t>Computed</t>
        </is>
      </c>
      <c r="F160" s="5" t="inlineStr">
        <is>
          <t>Variance (computed - filed)</t>
        </is>
      </c>
    </row>
    <row r="161">
      <c r="A161" s="20" t="inlineStr">
        <is>
          <t>Revenue (detail)</t>
        </is>
      </c>
      <c r="B161" s="20" t="inlineStr">
        <is>
          <t>12. Total revenue</t>
        </is>
      </c>
      <c r="C161" s="20" t="inlineStr">
        <is>
          <t>FY2020</t>
        </is>
      </c>
      <c r="D161" s="9" t="n">
        <v>3011124</v>
      </c>
      <c r="E161" s="9">
        <f>'Revenue (detail)'!B13</f>
        <v/>
      </c>
      <c r="F161" s="9">
        <f>E161-D161</f>
        <v/>
      </c>
    </row>
    <row r="162">
      <c r="A162" s="20" t="inlineStr">
        <is>
          <t>Revenue (detail)</t>
        </is>
      </c>
      <c r="B162" s="20" t="inlineStr">
        <is>
          <t>12. Total revenue</t>
        </is>
      </c>
      <c r="C162" s="20" t="inlineStr">
        <is>
          <t>FY2021</t>
        </is>
      </c>
      <c r="D162" s="9" t="n">
        <v>1547156</v>
      </c>
      <c r="E162" s="9">
        <f>'Revenue (detail)'!C13</f>
        <v/>
      </c>
      <c r="F162" s="9">
        <f>E162-D162</f>
        <v/>
      </c>
    </row>
    <row r="163">
      <c r="A163" s="20" t="inlineStr">
        <is>
          <t>Revenue (detail)</t>
        </is>
      </c>
      <c r="B163" s="20" t="inlineStr">
        <is>
          <t>12. Total revenue</t>
        </is>
      </c>
      <c r="C163" s="20" t="inlineStr">
        <is>
          <t>FY2022</t>
        </is>
      </c>
      <c r="D163" s="9" t="n">
        <v>2569729</v>
      </c>
      <c r="E163" s="9">
        <f>'Revenue (detail)'!D13</f>
        <v/>
      </c>
      <c r="F163" s="9">
        <f>E163-D163</f>
        <v/>
      </c>
    </row>
    <row r="164">
      <c r="A164" s="20" t="inlineStr">
        <is>
          <t>Revenue (detail)</t>
        </is>
      </c>
      <c r="B164" s="20" t="inlineStr">
        <is>
          <t>12. Total revenue</t>
        </is>
      </c>
      <c r="C164" s="20" t="inlineStr">
        <is>
          <t>FY2023</t>
        </is>
      </c>
      <c r="D164" s="9" t="n">
        <v>2746190</v>
      </c>
      <c r="E164" s="9">
        <f>'Revenue (detail)'!E13</f>
        <v/>
      </c>
      <c r="F164" s="9">
        <f>E164-D164</f>
        <v/>
      </c>
    </row>
    <row r="165">
      <c r="A165" s="20" t="inlineStr">
        <is>
          <t>Revenue (detail)</t>
        </is>
      </c>
      <c r="B165" s="20" t="inlineStr">
        <is>
          <t>12. Total revenue</t>
        </is>
      </c>
      <c r="C165" s="20" t="inlineStr">
        <is>
          <t>FY2024</t>
        </is>
      </c>
      <c r="D165" s="9" t="n">
        <v>4989018</v>
      </c>
      <c r="E165" s="9">
        <f>'Revenue (detail)'!F13</f>
        <v/>
      </c>
      <c r="F165" s="9">
        <f>E165-D165</f>
        <v/>
      </c>
    </row>
    <row r="166">
      <c r="A166" s="20" t="inlineStr">
        <is>
          <t>Revenue (detail)</t>
        </is>
      </c>
      <c r="B166" s="20" t="inlineStr">
        <is>
          <t>2g program service revenue = sum of lines 2a-2f (FY2024)</t>
        </is>
      </c>
      <c r="C166" s="20" t="inlineStr">
        <is>
          <t>FY2024</t>
        </is>
      </c>
      <c r="D166" s="9" t="n">
        <v>4662328</v>
      </c>
      <c r="E166" s="9">
        <f>SUM('Revenue (detail)'!C17:C18)</f>
        <v/>
      </c>
      <c r="F166" s="9">
        <f>E166-D166</f>
        <v/>
      </c>
    </row>
    <row r="167">
      <c r="A167" s="20" t="inlineStr">
        <is>
          <t>Operating expenses (detail)</t>
        </is>
      </c>
      <c r="B167" s="20" t="inlineStr">
        <is>
          <t>25. Total functional expenses</t>
        </is>
      </c>
      <c r="C167" s="20" t="inlineStr">
        <is>
          <t>FY2020</t>
        </is>
      </c>
      <c r="D167" s="9" t="n">
        <v>1559497</v>
      </c>
      <c r="E167" s="9">
        <f>'Operating expenses (detail)'!B29</f>
        <v/>
      </c>
      <c r="F167" s="9">
        <f>E167-D167</f>
        <v/>
      </c>
    </row>
    <row r="168">
      <c r="A168" s="20" t="inlineStr">
        <is>
          <t>Operating expenses (detail)</t>
        </is>
      </c>
      <c r="B168" s="20" t="inlineStr">
        <is>
          <t>25. Total functional expenses</t>
        </is>
      </c>
      <c r="C168" s="20" t="inlineStr">
        <is>
          <t>FY2021</t>
        </is>
      </c>
      <c r="D168" s="9" t="n">
        <v>1814745</v>
      </c>
      <c r="E168" s="9">
        <f>'Operating expenses (detail)'!C29</f>
        <v/>
      </c>
      <c r="F168" s="9">
        <f>E168-D168</f>
        <v/>
      </c>
    </row>
    <row r="169">
      <c r="A169" s="20" t="inlineStr">
        <is>
          <t>Operating expenses (detail)</t>
        </is>
      </c>
      <c r="B169" s="20" t="inlineStr">
        <is>
          <t>25. Total functional expenses</t>
        </is>
      </c>
      <c r="C169" s="20" t="inlineStr">
        <is>
          <t>FY2022</t>
        </is>
      </c>
      <c r="D169" s="9" t="n">
        <v>2224793</v>
      </c>
      <c r="E169" s="9">
        <f>'Operating expenses (detail)'!D29</f>
        <v/>
      </c>
      <c r="F169" s="9">
        <f>E169-D169</f>
        <v/>
      </c>
    </row>
    <row r="170">
      <c r="A170" s="20" t="inlineStr">
        <is>
          <t>Operating expenses (detail)</t>
        </is>
      </c>
      <c r="B170" s="20" t="inlineStr">
        <is>
          <t>25. Total functional expenses</t>
        </is>
      </c>
      <c r="C170" s="20" t="inlineStr">
        <is>
          <t>FY2023</t>
        </is>
      </c>
      <c r="D170" s="9" t="n">
        <v>1933240</v>
      </c>
      <c r="E170" s="9">
        <f>'Operating expenses (detail)'!E29</f>
        <v/>
      </c>
      <c r="F170" s="9">
        <f>E170-D170</f>
        <v/>
      </c>
    </row>
    <row r="171">
      <c r="A171" s="20" t="inlineStr">
        <is>
          <t>Operating expenses (detail)</t>
        </is>
      </c>
      <c r="B171" s="20" t="inlineStr">
        <is>
          <t>25. Total functional expenses</t>
        </is>
      </c>
      <c r="C171" s="20" t="inlineStr">
        <is>
          <t>FY2024</t>
        </is>
      </c>
      <c r="D171" s="9" t="n">
        <v>3333755</v>
      </c>
      <c r="E171" s="9">
        <f>'Operating expenses (detail)'!F29</f>
        <v/>
      </c>
      <c r="F171" s="9">
        <f>E171-D171</f>
        <v/>
      </c>
    </row>
    <row r="172">
      <c r="A172" s="20" t="inlineStr">
        <is>
          <t>Operating expenses (detail)</t>
        </is>
      </c>
      <c r="B172" s="20" t="inlineStr">
        <is>
          <t>Part IX column split: col A = B + C + D (FY2024)</t>
        </is>
      </c>
      <c r="C172" s="20" t="inlineStr">
        <is>
          <t>FY2024</t>
        </is>
      </c>
      <c r="D172" s="9">
        <f>'Operating expenses (detail)'!B42</f>
        <v/>
      </c>
      <c r="E172" s="9">
        <f>'Operating expenses (detail)'!C42+'Operating expenses (detail)'!D42+'Operating expenses (detail)'!E42</f>
        <v/>
      </c>
      <c r="F172" s="9">
        <f>E172-D172</f>
        <v/>
      </c>
    </row>
    <row r="173">
      <c r="A173" s="20" t="inlineStr">
        <is>
          <t>Balance sheet (detail)</t>
        </is>
      </c>
      <c r="B173" s="20" t="inlineStr">
        <is>
          <t>16. Total assets</t>
        </is>
      </c>
      <c r="C173" s="20" t="inlineStr">
        <is>
          <t>FY2020</t>
        </is>
      </c>
      <c r="D173" s="9" t="n">
        <v>15995830</v>
      </c>
      <c r="E173" s="9">
        <f>'Balance sheet (detail)'!B14</f>
        <v/>
      </c>
      <c r="F173" s="9">
        <f>E173-D173</f>
        <v/>
      </c>
    </row>
    <row r="174">
      <c r="A174" s="20" t="inlineStr">
        <is>
          <t>Balance sheet (detail)</t>
        </is>
      </c>
      <c r="B174" s="20" t="inlineStr">
        <is>
          <t>16. Total assets</t>
        </is>
      </c>
      <c r="C174" s="20" t="inlineStr">
        <is>
          <t>FY2021</t>
        </is>
      </c>
      <c r="D174" s="9" t="n">
        <v>15860865</v>
      </c>
      <c r="E174" s="9">
        <f>'Balance sheet (detail)'!C14</f>
        <v/>
      </c>
      <c r="F174" s="9">
        <f>E174-D174</f>
        <v/>
      </c>
    </row>
    <row r="175">
      <c r="A175" s="20" t="inlineStr">
        <is>
          <t>Balance sheet (detail)</t>
        </is>
      </c>
      <c r="B175" s="20" t="inlineStr">
        <is>
          <t>16. Total assets</t>
        </is>
      </c>
      <c r="C175" s="20" t="inlineStr">
        <is>
          <t>FY2022</t>
        </is>
      </c>
      <c r="D175" s="9" t="n">
        <v>16051755</v>
      </c>
      <c r="E175" s="9">
        <f>'Balance sheet (detail)'!D14</f>
        <v/>
      </c>
      <c r="F175" s="9">
        <f>E175-D175</f>
        <v/>
      </c>
    </row>
    <row r="176">
      <c r="A176" s="20" t="inlineStr">
        <is>
          <t>Balance sheet (detail)</t>
        </is>
      </c>
      <c r="B176" s="20" t="inlineStr">
        <is>
          <t>16. Total assets</t>
        </is>
      </c>
      <c r="C176" s="20" t="inlineStr">
        <is>
          <t>FY2023</t>
        </is>
      </c>
      <c r="D176" s="9" t="n">
        <v>17189100</v>
      </c>
      <c r="E176" s="9">
        <f>'Balance sheet (detail)'!E14</f>
        <v/>
      </c>
      <c r="F176" s="9">
        <f>E176-D176</f>
        <v/>
      </c>
    </row>
    <row r="177">
      <c r="A177" s="20" t="inlineStr">
        <is>
          <t>Balance sheet (detail)</t>
        </is>
      </c>
      <c r="B177" s="20" t="inlineStr">
        <is>
          <t>16. Total assets</t>
        </is>
      </c>
      <c r="C177" s="20" t="inlineStr">
        <is>
          <t>FY2024</t>
        </is>
      </c>
      <c r="D177" s="9" t="n">
        <v>18520127</v>
      </c>
      <c r="E177" s="9">
        <f>'Balance sheet (detail)'!F14</f>
        <v/>
      </c>
      <c r="F177" s="9">
        <f>E177-D177</f>
        <v/>
      </c>
    </row>
    <row r="178">
      <c r="A178" s="20" t="inlineStr">
        <is>
          <t>Balance sheet (detail)</t>
        </is>
      </c>
      <c r="B178" s="20" t="inlineStr">
        <is>
          <t>26. Total liabilities</t>
        </is>
      </c>
      <c r="C178" s="20" t="inlineStr">
        <is>
          <t>FY2020</t>
        </is>
      </c>
      <c r="D178" s="9" t="n">
        <v>235037</v>
      </c>
      <c r="E178" s="9">
        <f>'Balance sheet (detail)'!B19</f>
        <v/>
      </c>
      <c r="F178" s="9">
        <f>E178-D178</f>
        <v/>
      </c>
    </row>
    <row r="179">
      <c r="A179" s="20" t="inlineStr">
        <is>
          <t>Balance sheet (detail)</t>
        </is>
      </c>
      <c r="B179" s="20" t="inlineStr">
        <is>
          <t>26. Total liabilities</t>
        </is>
      </c>
      <c r="C179" s="20" t="inlineStr">
        <is>
          <t>FY2021</t>
        </is>
      </c>
      <c r="D179" s="9" t="n">
        <v>367661</v>
      </c>
      <c r="E179" s="9">
        <f>'Balance sheet (detail)'!C19</f>
        <v/>
      </c>
      <c r="F179" s="9">
        <f>E179-D179</f>
        <v/>
      </c>
    </row>
    <row r="180">
      <c r="A180" s="20" t="inlineStr">
        <is>
          <t>Balance sheet (detail)</t>
        </is>
      </c>
      <c r="B180" s="20" t="inlineStr">
        <is>
          <t>26. Total liabilities</t>
        </is>
      </c>
      <c r="C180" s="20" t="inlineStr">
        <is>
          <t>FY2022</t>
        </is>
      </c>
      <c r="D180" s="9" t="n">
        <v>213615</v>
      </c>
      <c r="E180" s="9">
        <f>'Balance sheet (detail)'!D19</f>
        <v/>
      </c>
      <c r="F180" s="9">
        <f>E180-D180</f>
        <v/>
      </c>
    </row>
    <row r="181">
      <c r="A181" s="20" t="inlineStr">
        <is>
          <t>Balance sheet (detail)</t>
        </is>
      </c>
      <c r="B181" s="20" t="inlineStr">
        <is>
          <t>26. Total liabilities</t>
        </is>
      </c>
      <c r="C181" s="20" t="inlineStr">
        <is>
          <t>FY2023</t>
        </is>
      </c>
      <c r="D181" s="9" t="n">
        <v>514773</v>
      </c>
      <c r="E181" s="9">
        <f>'Balance sheet (detail)'!E19</f>
        <v/>
      </c>
      <c r="F181" s="9">
        <f>E181-D181</f>
        <v/>
      </c>
    </row>
    <row r="182">
      <c r="A182" s="20" t="inlineStr">
        <is>
          <t>Balance sheet (detail)</t>
        </is>
      </c>
      <c r="B182" s="20" t="inlineStr">
        <is>
          <t>26. Total liabilities</t>
        </is>
      </c>
      <c r="C182" s="20" t="inlineStr">
        <is>
          <t>FY2024</t>
        </is>
      </c>
      <c r="D182" s="9" t="n">
        <v>190537</v>
      </c>
      <c r="E182" s="9">
        <f>'Balance sheet (detail)'!F19</f>
        <v/>
      </c>
      <c r="F182" s="9">
        <f>E182-D182</f>
        <v/>
      </c>
    </row>
    <row r="183">
      <c r="A183" s="20" t="inlineStr">
        <is>
          <t>Balance sheet (detail)</t>
        </is>
      </c>
      <c r="B183" s="20" t="inlineStr">
        <is>
          <t>32. Total net assets / fund balances</t>
        </is>
      </c>
      <c r="C183" s="20" t="inlineStr">
        <is>
          <t>FY2020</t>
        </is>
      </c>
      <c r="D183" s="9" t="n">
        <v>15760793</v>
      </c>
      <c r="E183" s="9">
        <f>'Balance sheet (detail)'!B25</f>
        <v/>
      </c>
      <c r="F183" s="9">
        <f>E183-D183</f>
        <v/>
      </c>
    </row>
    <row r="184">
      <c r="A184" s="20" t="inlineStr">
        <is>
          <t>Balance sheet (detail)</t>
        </is>
      </c>
      <c r="B184" s="20" t="inlineStr">
        <is>
          <t>32. Total net assets / fund balances</t>
        </is>
      </c>
      <c r="C184" s="20" t="inlineStr">
        <is>
          <t>FY2021</t>
        </is>
      </c>
      <c r="D184" s="9" t="n">
        <v>15493204</v>
      </c>
      <c r="E184" s="9">
        <f>'Balance sheet (detail)'!C25</f>
        <v/>
      </c>
      <c r="F184" s="9">
        <f>E184-D184</f>
        <v/>
      </c>
    </row>
    <row r="185">
      <c r="A185" s="20" t="inlineStr">
        <is>
          <t>Balance sheet (detail)</t>
        </is>
      </c>
      <c r="B185" s="20" t="inlineStr">
        <is>
          <t>32. Total net assets / fund balances</t>
        </is>
      </c>
      <c r="C185" s="20" t="inlineStr">
        <is>
          <t>FY2022</t>
        </is>
      </c>
      <c r="D185" s="9" t="n">
        <v>15838140</v>
      </c>
      <c r="E185" s="9">
        <f>'Balance sheet (detail)'!D25</f>
        <v/>
      </c>
      <c r="F185" s="9">
        <f>E185-D185</f>
        <v/>
      </c>
    </row>
    <row r="186">
      <c r="A186" s="20" t="inlineStr">
        <is>
          <t>Balance sheet (detail)</t>
        </is>
      </c>
      <c r="B186" s="20" t="inlineStr">
        <is>
          <t>32. Total net assets / fund balances</t>
        </is>
      </c>
      <c r="C186" s="20" t="inlineStr">
        <is>
          <t>FY2023</t>
        </is>
      </c>
      <c r="D186" s="9" t="n">
        <v>16674327</v>
      </c>
      <c r="E186" s="9">
        <f>'Balance sheet (detail)'!E25</f>
        <v/>
      </c>
      <c r="F186" s="9">
        <f>E186-D186</f>
        <v/>
      </c>
    </row>
    <row r="187">
      <c r="A187" s="20" t="inlineStr">
        <is>
          <t>Balance sheet (detail)</t>
        </is>
      </c>
      <c r="B187" s="20" t="inlineStr">
        <is>
          <t>32. Total net assets / fund balances</t>
        </is>
      </c>
      <c r="C187" s="20" t="inlineStr">
        <is>
          <t>FY2024</t>
        </is>
      </c>
      <c r="D187" s="9" t="n">
        <v>18329590</v>
      </c>
      <c r="E187" s="9">
        <f>'Balance sheet (detail)'!F25</f>
        <v/>
      </c>
      <c r="F187" s="9">
        <f>E187-D187</f>
        <v/>
      </c>
    </row>
    <row r="188">
      <c r="A188" s="20" t="inlineStr">
        <is>
          <t>Balance sheet (detail)</t>
        </is>
      </c>
      <c r="B188" s="20" t="inlineStr">
        <is>
          <t>Balance sheet identity: line 16 = line 26 + line 32 (EOY)</t>
        </is>
      </c>
      <c r="C188" s="20" t="inlineStr">
        <is>
          <t>FY2020</t>
        </is>
      </c>
      <c r="D188" s="9">
        <f>'Balance sheet (detail)'!B14</f>
        <v/>
      </c>
      <c r="E188" s="9">
        <f>SUM('Balance sheet (detail)'!B19,'Balance sheet (detail)'!B25)</f>
        <v/>
      </c>
      <c r="F188" s="9">
        <f>E188-D188</f>
        <v/>
      </c>
    </row>
    <row r="189">
      <c r="A189" s="20" t="inlineStr">
        <is>
          <t>Balance sheet (detail)</t>
        </is>
      </c>
      <c r="B189" s="20" t="inlineStr">
        <is>
          <t>Balance sheet identity: line 16 = line 26 + line 32 (EOY)</t>
        </is>
      </c>
      <c r="C189" s="20" t="inlineStr">
        <is>
          <t>FY2021</t>
        </is>
      </c>
      <c r="D189" s="9">
        <f>'Balance sheet (detail)'!C14</f>
        <v/>
      </c>
      <c r="E189" s="9">
        <f>SUM('Balance sheet (detail)'!C19,'Balance sheet (detail)'!C25)</f>
        <v/>
      </c>
      <c r="F189" s="9">
        <f>E189-D189</f>
        <v/>
      </c>
    </row>
    <row r="190">
      <c r="A190" s="20" t="inlineStr">
        <is>
          <t>Balance sheet (detail)</t>
        </is>
      </c>
      <c r="B190" s="20" t="inlineStr">
        <is>
          <t>Balance sheet identity: line 16 = line 26 + line 32 (EOY)</t>
        </is>
      </c>
      <c r="C190" s="20" t="inlineStr">
        <is>
          <t>FY2022</t>
        </is>
      </c>
      <c r="D190" s="9">
        <f>'Balance sheet (detail)'!D14</f>
        <v/>
      </c>
      <c r="E190" s="9">
        <f>SUM('Balance sheet (detail)'!D19,'Balance sheet (detail)'!D25)</f>
        <v/>
      </c>
      <c r="F190" s="9">
        <f>E190-D190</f>
        <v/>
      </c>
    </row>
    <row r="191">
      <c r="A191" s="20" t="inlineStr">
        <is>
          <t>Balance sheet (detail)</t>
        </is>
      </c>
      <c r="B191" s="20" t="inlineStr">
        <is>
          <t>Balance sheet identity: line 16 = line 26 + line 32 (EOY)</t>
        </is>
      </c>
      <c r="C191" s="20" t="inlineStr">
        <is>
          <t>FY2023</t>
        </is>
      </c>
      <c r="D191" s="9">
        <f>'Balance sheet (detail)'!E14</f>
        <v/>
      </c>
      <c r="E191" s="9">
        <f>SUM('Balance sheet (detail)'!E19,'Balance sheet (detail)'!E25)</f>
        <v/>
      </c>
      <c r="F191" s="9">
        <f>E191-D191</f>
        <v/>
      </c>
    </row>
    <row r="192">
      <c r="A192" s="20" t="inlineStr">
        <is>
          <t>Balance sheet (detail)</t>
        </is>
      </c>
      <c r="B192" s="20" t="inlineStr">
        <is>
          <t>Balance sheet identity: line 16 = line 26 + line 32 (EOY)</t>
        </is>
      </c>
      <c r="C192" s="20" t="inlineStr">
        <is>
          <t>FY2024</t>
        </is>
      </c>
      <c r="D192" s="9">
        <f>'Balance sheet (detail)'!F14</f>
        <v/>
      </c>
      <c r="E192" s="9">
        <f>SUM('Balance sheet (detail)'!F19,'Balance sheet (detail)'!F25)</f>
        <v/>
      </c>
      <c r="F192" s="9">
        <f>E192-D192</f>
        <v/>
      </c>
    </row>
    <row r="193">
      <c r="A193" s="20" t="inlineStr">
        <is>
          <t>Net-assets reconciliation</t>
        </is>
      </c>
      <c r="B193" s="20" t="inlineStr">
        <is>
          <t>10. Net assets, end of year</t>
        </is>
      </c>
      <c r="C193" s="20" t="inlineStr">
        <is>
          <t>FY2020</t>
        </is>
      </c>
      <c r="D193" s="9" t="n">
        <v>15760793</v>
      </c>
      <c r="E193" s="9">
        <f>'Net-assets reconciliation'!B11</f>
        <v/>
      </c>
      <c r="F193" s="9">
        <f>E193-D193</f>
        <v/>
      </c>
    </row>
    <row r="194">
      <c r="A194" s="20" t="inlineStr">
        <is>
          <t>Net-assets reconciliation</t>
        </is>
      </c>
      <c r="B194" s="20" t="inlineStr">
        <is>
          <t>10. Net assets, end of year</t>
        </is>
      </c>
      <c r="C194" s="20" t="inlineStr">
        <is>
          <t>FY2021</t>
        </is>
      </c>
      <c r="D194" s="9" t="n">
        <v>15493204</v>
      </c>
      <c r="E194" s="9">
        <f>'Net-assets reconciliation'!C11</f>
        <v/>
      </c>
      <c r="F194" s="9">
        <f>E194-D194</f>
        <v/>
      </c>
    </row>
    <row r="195">
      <c r="A195" s="20" t="inlineStr">
        <is>
          <t>Net-assets reconciliation</t>
        </is>
      </c>
      <c r="B195" s="20" t="inlineStr">
        <is>
          <t>10. Net assets, end of year</t>
        </is>
      </c>
      <c r="C195" s="20" t="inlineStr">
        <is>
          <t>FY2022</t>
        </is>
      </c>
      <c r="D195" s="9" t="n">
        <v>15838140</v>
      </c>
      <c r="E195" s="9">
        <f>'Net-assets reconciliation'!D11</f>
        <v/>
      </c>
      <c r="F195" s="9">
        <f>E195-D195</f>
        <v/>
      </c>
    </row>
    <row r="196">
      <c r="A196" s="20" t="inlineStr">
        <is>
          <t>Net-assets reconciliation</t>
        </is>
      </c>
      <c r="B196" s="20" t="inlineStr">
        <is>
          <t>10. Net assets, end of year</t>
        </is>
      </c>
      <c r="C196" s="20" t="inlineStr">
        <is>
          <t>FY2023</t>
        </is>
      </c>
      <c r="D196" s="9" t="n">
        <v>16674327</v>
      </c>
      <c r="E196" s="9">
        <f>'Net-assets reconciliation'!E11</f>
        <v/>
      </c>
      <c r="F196" s="9">
        <f>E196-D196</f>
        <v/>
      </c>
    </row>
    <row r="197">
      <c r="A197" s="20" t="inlineStr">
        <is>
          <t>Net-assets reconciliation</t>
        </is>
      </c>
      <c r="B197" s="20" t="inlineStr">
        <is>
          <t>10. Net assets, end of year</t>
        </is>
      </c>
      <c r="C197" s="20" t="inlineStr">
        <is>
          <t>FY2024</t>
        </is>
      </c>
      <c r="D197" s="9" t="n">
        <v>18329590</v>
      </c>
      <c r="E197" s="9">
        <f>'Net-assets reconciliation'!F11</f>
        <v/>
      </c>
      <c r="F197" s="9">
        <f>E197-D197</f>
        <v/>
      </c>
    </row>
    <row r="199">
      <c r="A199" s="46" t="inlineStr">
        <is>
          <t>D. Preparer / auditor trail (one row per fiscal year, as filed)</t>
        </is>
      </c>
      <c r="B199" s="7" t="n"/>
      <c r="C199" s="7" t="n"/>
      <c r="D199" s="7" t="n"/>
      <c r="E199" s="7" t="n"/>
      <c r="F199" s="7" t="n"/>
      <c r="G199" s="7" t="n"/>
      <c r="H199" s="7" t="n"/>
      <c r="I199" s="7" t="n"/>
      <c r="J199" s="7" t="n"/>
      <c r="K199" s="7" t="n"/>
    </row>
    <row r="200">
      <c r="A200" s="5" t="inlineStr">
        <is>
          <t>Fiscal year</t>
        </is>
      </c>
      <c r="B200" s="5" t="inlineStr">
        <is>
          <t>Paid preparer</t>
        </is>
      </c>
      <c r="C200" s="5" t="inlineStr">
        <is>
          <t>Preparer firm</t>
        </is>
      </c>
      <c r="D200" s="5" t="inlineStr">
        <is>
          <t>Independent auditor</t>
        </is>
      </c>
      <c r="E200" s="5" t="inlineStr">
        <is>
          <t>Citation</t>
        </is>
      </c>
    </row>
    <row r="201" ht="42" customHeight="1">
      <c r="A201" s="47" t="inlineStr">
        <is>
          <t>FY2020</t>
        </is>
      </c>
      <c r="B201" s="8" t="inlineStr">
        <is>
          <t>GAIL N EGAN</t>
        </is>
      </c>
      <c r="C201" s="8" t="inlineStr">
        <is>
          <t>EGAN CPAS LP</t>
        </is>
      </c>
      <c r="D201" s="50" t="inlineStr">
        <is>
          <t>not reported</t>
        </is>
      </c>
      <c r="E201" s="25" t="inlineStr">
        <is>
          <t>Form 990 Return Header, Paid Preparer block (return_header.preparer_person_name / preparer_firm_name); auditor: Part XII line 2 reports audited financial statements but does not name the firm.</t>
        </is>
      </c>
    </row>
    <row r="202" ht="42" customHeight="1">
      <c r="A202" s="47" t="inlineStr">
        <is>
          <t>FY2021</t>
        </is>
      </c>
      <c r="B202" s="8" t="inlineStr">
        <is>
          <t>GAIL N EGAN</t>
        </is>
      </c>
      <c r="C202" s="8" t="inlineStr">
        <is>
          <t>EGAN CPAS LP</t>
        </is>
      </c>
      <c r="D202" s="50" t="inlineStr">
        <is>
          <t>not reported</t>
        </is>
      </c>
      <c r="E202" s="25" t="inlineStr">
        <is>
          <t>Form 990 Return Header, Paid Preparer block (return_header.preparer_person_name / preparer_firm_name); auditor: Part XII line 2 reports audited financial statements but does not name the firm.</t>
        </is>
      </c>
    </row>
    <row r="203" ht="42" customHeight="1">
      <c r="A203" s="47" t="inlineStr">
        <is>
          <t>FY2022</t>
        </is>
      </c>
      <c r="B203" s="8" t="inlineStr">
        <is>
          <t>GAIL N EGAN</t>
        </is>
      </c>
      <c r="C203" s="8" t="inlineStr">
        <is>
          <t>EGAN CPAS LP</t>
        </is>
      </c>
      <c r="D203" s="50" t="inlineStr">
        <is>
          <t>not reported</t>
        </is>
      </c>
      <c r="E203" s="25" t="inlineStr">
        <is>
          <t>Form 990 Return Header, Paid Preparer block (return_header.preparer_person_name / preparer_firm_name); auditor: Part XII line 2 reports audited financial statements but does not name the firm.</t>
        </is>
      </c>
    </row>
    <row r="204" ht="42" customHeight="1">
      <c r="A204" s="47" t="inlineStr">
        <is>
          <t>FY2023</t>
        </is>
      </c>
      <c r="B204" s="8" t="inlineStr">
        <is>
          <t>GAIL N EGAN</t>
        </is>
      </c>
      <c r="C204" s="8" t="inlineStr">
        <is>
          <t>EGAN CPAS LP</t>
        </is>
      </c>
      <c r="D204" s="50" t="inlineStr">
        <is>
          <t>not reported</t>
        </is>
      </c>
      <c r="E204" s="25" t="inlineStr">
        <is>
          <t>Form 990 Return Header, Paid Preparer block (return_header.preparer_person_name / preparer_firm_name); auditor: Part XII line 2 reports audited financial statements but does not name the firm.</t>
        </is>
      </c>
    </row>
    <row r="205" ht="42" customHeight="1">
      <c r="A205" s="47" t="inlineStr">
        <is>
          <t>FY2024</t>
        </is>
      </c>
      <c r="B205" s="8" t="inlineStr">
        <is>
          <t>GAIL N EGAN</t>
        </is>
      </c>
      <c r="C205" s="8" t="inlineStr">
        <is>
          <t>EGAN CPAS LP</t>
        </is>
      </c>
      <c r="D205" s="50" t="inlineStr">
        <is>
          <t>not reported</t>
        </is>
      </c>
      <c r="E205" s="25" t="inlineStr">
        <is>
          <t>Form 990 Return Header, Paid Preparer block (return_header.preparer_person_name / preparer_firm_name); auditor: Part XII line 2 reports audited financial statements but does not name the firm.</t>
        </is>
      </c>
    </row>
    <row r="207" ht="42" customHeight="1">
      <c r="A20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207:K207"/>
    <mergeCell ref="A1:K1"/>
  </mergeCells>
  <conditionalFormatting sqref="F161:F197">
    <cfRule type="cellIs" priority="1" operator="notEqual" dxfId="0">
      <formula>0</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