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1.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Operational metrics" sheetId="16" state="visible" r:id="rId16"/>
    <sheet name="Supply &amp; weather" sheetId="17" state="visible" r:id="rId17"/>
    <sheet name="How this was built" sheetId="18" state="visible" r:id="rId18"/>
    <sheet name="Sources &amp; audit" sheetId="19" state="visible" r:id="rId19"/>
    <sheet name="Provenance" sheetId="20" state="visible" r:id="rId20"/>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
    <numFmt numFmtId="167" formatCode="#,##0.000"/>
    <numFmt numFmtId="168" formatCode="$#,##0.00###"/>
    <numFmt numFmtId="169" formatCode="#,##0.####"/>
    <numFmt numFmtId="170"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67"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8" fontId="6" fillId="0" borderId="1" applyAlignment="1" pivotButton="0" quotePrefix="0" xfId="0">
      <alignment horizontal="right"/>
    </xf>
    <xf numFmtId="169"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170"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Cayucos Beach Mutual Water Company</t>
        </is>
      </c>
    </row>
    <row r="2">
      <c r="A2" s="2" t="inlineStr">
        <is>
          <t>Financial Summary - multi-year overview (USD)</t>
        </is>
      </c>
    </row>
    <row r="3">
      <c r="A3" s="2" t="inlineStr">
        <is>
          <t>Entity ID: cawc_0043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980610</v>
      </c>
      <c r="C10" s="9" t="n">
        <v>1109551</v>
      </c>
      <c r="D10" s="9" t="n">
        <v>964784</v>
      </c>
      <c r="E10" s="9" t="n">
        <v>1018038</v>
      </c>
      <c r="F10" s="9" t="n">
        <v>1004214</v>
      </c>
    </row>
    <row r="11">
      <c r="A11" s="8" t="inlineStr">
        <is>
          <t xml:space="preserve">    Total expenses</t>
        </is>
      </c>
      <c r="B11" s="9" t="n">
        <v>1189963</v>
      </c>
      <c r="C11" s="9" t="n">
        <v>775589</v>
      </c>
      <c r="D11" s="9" t="n">
        <v>770255</v>
      </c>
      <c r="E11" s="9" t="n">
        <v>997300</v>
      </c>
      <c r="F11" s="9" t="n">
        <v>759232</v>
      </c>
    </row>
    <row r="12">
      <c r="A12" s="10" t="inlineStr">
        <is>
          <t xml:space="preserve">    Net income</t>
        </is>
      </c>
      <c r="B12" s="11" t="n">
        <v>-209353</v>
      </c>
      <c r="C12" s="11" t="n">
        <v>333962</v>
      </c>
      <c r="D12" s="11" t="n">
        <v>194529</v>
      </c>
      <c r="E12" s="11" t="n">
        <v>20738</v>
      </c>
      <c r="F12" s="11" t="n">
        <v>244982</v>
      </c>
    </row>
    <row r="14">
      <c r="A14" s="6" t="inlineStr">
        <is>
          <t>Financial position (USD, end of year)</t>
        </is>
      </c>
      <c r="B14" s="7" t="n"/>
      <c r="C14" s="7" t="n"/>
      <c r="D14" s="7" t="n"/>
      <c r="E14" s="7" t="n"/>
      <c r="F14" s="7" t="n"/>
    </row>
    <row r="15">
      <c r="A15" s="8" t="inlineStr">
        <is>
          <t xml:space="preserve">    Total assets</t>
        </is>
      </c>
      <c r="B15" s="9" t="n">
        <v>2502828</v>
      </c>
      <c r="C15" s="9" t="n">
        <v>2836051</v>
      </c>
      <c r="D15" s="9" t="n">
        <v>3041964</v>
      </c>
      <c r="E15" s="9" t="n">
        <v>3055112</v>
      </c>
      <c r="F15" s="9" t="n">
        <v>3298366</v>
      </c>
    </row>
    <row r="16">
      <c r="A16" s="8" t="inlineStr">
        <is>
          <t xml:space="preserve">    Total liabilities</t>
        </is>
      </c>
      <c r="B16" s="9" t="n">
        <v>739</v>
      </c>
      <c r="C16" s="9" t="n">
        <v>0</v>
      </c>
      <c r="D16" s="9" t="n">
        <v>11384</v>
      </c>
      <c r="E16" s="9" t="n">
        <v>3794</v>
      </c>
      <c r="F16" s="9" t="n">
        <v>2066</v>
      </c>
    </row>
    <row r="17">
      <c r="A17" s="10" t="inlineStr">
        <is>
          <t xml:space="preserve">    Net assets</t>
        </is>
      </c>
      <c r="B17" s="11" t="n">
        <v>2502089</v>
      </c>
      <c r="C17" s="11" t="n">
        <v>2836051</v>
      </c>
      <c r="D17" s="11" t="n">
        <v>3030580</v>
      </c>
      <c r="E17" s="11" t="n">
        <v>3051318</v>
      </c>
      <c r="F17" s="11" t="n">
        <v>3296300</v>
      </c>
    </row>
    <row r="19">
      <c r="A19" s="6" t="inlineStr">
        <is>
          <t>Headline ratios</t>
        </is>
      </c>
      <c r="B19" s="7" t="n"/>
      <c r="C19" s="7" t="n"/>
      <c r="D19" s="7" t="n"/>
      <c r="E19" s="7" t="n"/>
      <c r="F19" s="7" t="n"/>
    </row>
    <row r="20">
      <c r="A20" s="8" t="inlineStr">
        <is>
          <t xml:space="preserve">    Operating margin</t>
        </is>
      </c>
      <c r="B20" s="12" t="n">
        <v>-0.2134926219394051</v>
      </c>
      <c r="C20" s="12" t="n">
        <v>0.3009884178374856</v>
      </c>
      <c r="D20" s="12" t="n">
        <v>0.2016295875553492</v>
      </c>
      <c r="E20" s="12" t="n">
        <v>0.02037055591245121</v>
      </c>
      <c r="F20" s="12" t="n">
        <v>0.2439539779369736</v>
      </c>
    </row>
    <row r="21">
      <c r="A21" s="8" t="inlineStr">
        <is>
          <t xml:space="preserve">    Revenue growth (YoY)</t>
        </is>
      </c>
      <c r="B21" s="12" t="n">
        <v>0.04549554448161819</v>
      </c>
      <c r="C21" s="12" t="n">
        <v>0.1314906027880605</v>
      </c>
      <c r="D21" s="12" t="n">
        <v>-0.1304734978383148</v>
      </c>
      <c r="E21" s="12" t="n">
        <v>0.05519784739382079</v>
      </c>
      <c r="F21" s="12" t="n">
        <v>-0.01357906089949491</v>
      </c>
    </row>
    <row r="22">
      <c r="A22" s="8" t="inlineStr">
        <is>
          <t xml:space="preserve">    Return on assets</t>
        </is>
      </c>
      <c r="B22" s="12" t="n">
        <v>-0.08364657898984669</v>
      </c>
      <c r="C22" s="12" t="n">
        <v>0.1177559923992904</v>
      </c>
      <c r="D22" s="12" t="n">
        <v>0.06394848854227071</v>
      </c>
      <c r="E22" s="12" t="n">
        <v>0.006787967184181791</v>
      </c>
      <c r="F22" s="12" t="n">
        <v>0.07427374645506291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Cayucos Beach Mutual Water Company</t>
        </is>
      </c>
    </row>
    <row r="2">
      <c r="A2" s="2" t="inlineStr">
        <is>
          <t>Financial Statements - income statement, balance sheet, cash flow, member income test (USD)</t>
        </is>
      </c>
    </row>
    <row r="3">
      <c r="A3" s="2" t="inlineStr">
        <is>
          <t>Entity ID: cawc_0043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908135</v>
      </c>
      <c r="C8" s="9" t="n">
        <v>1048347</v>
      </c>
      <c r="D8" s="9" t="n">
        <v>915129</v>
      </c>
      <c r="E8" s="9" t="n">
        <v>925297</v>
      </c>
      <c r="F8" s="9" t="n">
        <v>886656</v>
      </c>
    </row>
    <row r="9">
      <c r="A9" s="8" t="inlineStr">
        <is>
          <t xml:space="preserve">    Investment income</t>
        </is>
      </c>
      <c r="B9" s="9" t="n">
        <v>16600</v>
      </c>
      <c r="C9" s="9" t="n">
        <v>5329</v>
      </c>
      <c r="D9" s="9" t="n">
        <v>-1162</v>
      </c>
      <c r="E9" s="9" t="n">
        <v>41141</v>
      </c>
      <c r="F9" s="9" t="n">
        <v>60858</v>
      </c>
    </row>
    <row r="10">
      <c r="A10" s="8" t="inlineStr">
        <is>
          <t xml:space="preserve">    Net rental income</t>
        </is>
      </c>
      <c r="B10" s="9" t="n">
        <v>55875</v>
      </c>
      <c r="C10" s="9" t="n">
        <v>55875</v>
      </c>
      <c r="D10" s="9" t="n">
        <v>50817</v>
      </c>
      <c r="E10" s="9" t="n">
        <v>51600</v>
      </c>
      <c r="F10" s="9" t="n">
        <v>56700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980610</v>
      </c>
      <c r="C14" s="11" t="n">
        <v>1109551</v>
      </c>
      <c r="D14" s="11" t="n">
        <v>964784</v>
      </c>
      <c r="E14" s="11" t="n">
        <v>1018038</v>
      </c>
      <c r="F14" s="11" t="n">
        <v>1004214</v>
      </c>
    </row>
    <row r="16">
      <c r="A16" s="6" t="inlineStr">
        <is>
          <t>Expenses</t>
        </is>
      </c>
      <c r="B16" s="7" t="n"/>
      <c r="C16" s="7" t="n"/>
      <c r="D16" s="7" t="n"/>
      <c r="E16" s="7" t="n"/>
      <c r="F16" s="7" t="n"/>
    </row>
    <row r="17">
      <c r="A17" s="8" t="inlineStr">
        <is>
          <t xml:space="preserve">    Depreciation</t>
        </is>
      </c>
      <c r="B17" s="9" t="n">
        <v>158275</v>
      </c>
      <c r="C17" s="9" t="n">
        <v>153869</v>
      </c>
      <c r="D17" s="9" t="n">
        <v>144693</v>
      </c>
      <c r="E17" s="9" t="n">
        <v>136726</v>
      </c>
      <c r="F17" s="9" t="n">
        <v>123516</v>
      </c>
    </row>
    <row r="18">
      <c r="A18" s="8" t="inlineStr">
        <is>
          <t xml:space="preserve">    Interest expense</t>
        </is>
      </c>
      <c r="B18" s="9" t="n">
        <v>0</v>
      </c>
      <c r="C18" s="9" t="n">
        <v>0</v>
      </c>
      <c r="D18" s="9" t="n">
        <v>0</v>
      </c>
      <c r="E18" s="9" t="n">
        <v>0</v>
      </c>
      <c r="F18" s="9" t="n">
        <v>0</v>
      </c>
    </row>
    <row r="19">
      <c r="A19" s="10" t="inlineStr">
        <is>
          <t>Total expenses</t>
        </is>
      </c>
      <c r="B19" s="11" t="n">
        <v>1189963</v>
      </c>
      <c r="C19" s="11" t="n">
        <v>775589</v>
      </c>
      <c r="D19" s="11" t="n">
        <v>770255</v>
      </c>
      <c r="E19" s="11" t="n">
        <v>997300</v>
      </c>
      <c r="F19" s="11" t="n">
        <v>759232</v>
      </c>
    </row>
    <row r="21">
      <c r="A21" s="10" t="inlineStr">
        <is>
          <t>Net income</t>
        </is>
      </c>
      <c r="B21" s="11" t="n">
        <v>-209353</v>
      </c>
      <c r="C21" s="11" t="n">
        <v>333962</v>
      </c>
      <c r="D21" s="11" t="n">
        <v>194529</v>
      </c>
      <c r="E21" s="11" t="n">
        <v>20738</v>
      </c>
      <c r="F21" s="11" t="n">
        <v>244982</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1145438</v>
      </c>
      <c r="C27" s="9" t="n">
        <v>1283976</v>
      </c>
      <c r="D27" s="9" t="n">
        <v>516192</v>
      </c>
      <c r="E27" s="9" t="n">
        <v>539461</v>
      </c>
      <c r="F27" s="9" t="n">
        <v>792966</v>
      </c>
    </row>
    <row r="28">
      <c r="A28" s="8" t="inlineStr">
        <is>
          <t xml:space="preserve">    Savings &amp; temporary investments</t>
        </is>
      </c>
      <c r="B28" s="9" t="n">
        <v>0</v>
      </c>
      <c r="C28" s="9" t="n">
        <v>0</v>
      </c>
      <c r="D28" s="9" t="n">
        <v>998838</v>
      </c>
      <c r="E28" s="9" t="n">
        <v>1039979</v>
      </c>
      <c r="F28" s="9" t="n">
        <v>1121328</v>
      </c>
    </row>
    <row r="29">
      <c r="A29" s="8" t="inlineStr">
        <is>
          <t xml:space="preserve">    Accounts receivable</t>
        </is>
      </c>
      <c r="B29" s="9" t="n">
        <v>0</v>
      </c>
      <c r="C29" s="9" t="n">
        <v>0</v>
      </c>
      <c r="D29" s="9" t="n">
        <v>0</v>
      </c>
      <c r="E29" s="9" t="n">
        <v>0</v>
      </c>
      <c r="F29" s="9" t="n">
        <v>0</v>
      </c>
    </row>
    <row r="30">
      <c r="A30" s="8" t="inlineStr">
        <is>
          <t xml:space="preserve">    Inventories</t>
        </is>
      </c>
      <c r="B30" s="9" t="n">
        <v>0</v>
      </c>
      <c r="C30" s="9" t="n">
        <v>0</v>
      </c>
      <c r="D30" s="9" t="n">
        <v>0</v>
      </c>
      <c r="E30" s="9" t="n">
        <v>0</v>
      </c>
      <c r="F30" s="9" t="n">
        <v>0</v>
      </c>
    </row>
    <row r="31">
      <c r="A31" s="8" t="inlineStr">
        <is>
          <t xml:space="preserve">    Prepaid expenses</t>
        </is>
      </c>
      <c r="B31" s="9" t="n">
        <v>0</v>
      </c>
      <c r="C31" s="9" t="n">
        <v>1005</v>
      </c>
      <c r="D31" s="9" t="n">
        <v>1029</v>
      </c>
      <c r="E31" s="9" t="n">
        <v>0</v>
      </c>
      <c r="F31" s="9" t="n">
        <v>0</v>
      </c>
    </row>
    <row r="32">
      <c r="A32" s="8" t="inlineStr">
        <is>
          <t xml:space="preserve">    Property, plant &amp; equipment (gross)</t>
        </is>
      </c>
      <c r="B32" s="9" t="n">
        <v>4122674</v>
      </c>
      <c r="C32" s="9" t="n">
        <v>4470223</v>
      </c>
      <c r="D32" s="9" t="n">
        <v>4589751</v>
      </c>
      <c r="E32" s="9" t="n">
        <v>4676242</v>
      </c>
      <c r="F32" s="9" t="n">
        <v>4708160</v>
      </c>
    </row>
    <row r="33">
      <c r="A33" s="8" t="inlineStr">
        <is>
          <t xml:space="preserve">    Less: accumulated depreciation</t>
        </is>
      </c>
      <c r="B33" s="9" t="n">
        <v>-2765922</v>
      </c>
      <c r="C33" s="9" t="n">
        <v>-2919791</v>
      </c>
      <c r="D33" s="9" t="n">
        <v>-3064484</v>
      </c>
      <c r="E33" s="9" t="n">
        <v>-3201209</v>
      </c>
      <c r="F33" s="9" t="n">
        <v>-3324726</v>
      </c>
    </row>
    <row r="34">
      <c r="A34" s="10" t="inlineStr">
        <is>
          <t xml:space="preserve">    Net property, plant &amp; equipment</t>
        </is>
      </c>
      <c r="B34" s="11" t="n">
        <v>1356752</v>
      </c>
      <c r="C34" s="11" t="n">
        <v>1550432</v>
      </c>
      <c r="D34" s="11" t="n">
        <v>1525267</v>
      </c>
      <c r="E34" s="11" t="n">
        <v>1475033</v>
      </c>
      <c r="F34" s="11" t="n">
        <v>1383434</v>
      </c>
    </row>
    <row r="35">
      <c r="A35" s="10" t="inlineStr">
        <is>
          <t>Total assets</t>
        </is>
      </c>
      <c r="B35" s="11" t="n">
        <v>2502828</v>
      </c>
      <c r="C35" s="11" t="n">
        <v>2836051</v>
      </c>
      <c r="D35" s="11" t="n">
        <v>3041964</v>
      </c>
      <c r="E35" s="11" t="n">
        <v>3055112</v>
      </c>
      <c r="F35" s="11" t="n">
        <v>3298366</v>
      </c>
    </row>
    <row r="37">
      <c r="A37" s="6" t="inlineStr">
        <is>
          <t>Liabilities</t>
        </is>
      </c>
      <c r="B37" s="7" t="n"/>
      <c r="C37" s="7" t="n"/>
      <c r="D37" s="7" t="n"/>
      <c r="E37" s="7" t="n"/>
      <c r="F37" s="7" t="n"/>
    </row>
    <row r="38">
      <c r="A38" s="8" t="inlineStr">
        <is>
          <t xml:space="preserve">    Accounts payable</t>
        </is>
      </c>
      <c r="B38" s="9" t="n">
        <v>739</v>
      </c>
      <c r="C38" s="9" t="n"/>
      <c r="D38" s="9" t="n"/>
      <c r="E38" s="9" t="n">
        <v>3794</v>
      </c>
      <c r="F38" s="9" t="n">
        <v>2066</v>
      </c>
    </row>
    <row r="39">
      <c r="A39" s="8" t="inlineStr">
        <is>
          <t xml:space="preserve">    Mortgages &amp; notes payable</t>
        </is>
      </c>
      <c r="B39" s="9" t="n"/>
      <c r="C39" s="9" t="n"/>
      <c r="D39" s="9" t="n"/>
      <c r="E39" s="9" t="n"/>
      <c r="F39" s="9" t="n"/>
    </row>
    <row r="40">
      <c r="A40" s="10" t="inlineStr">
        <is>
          <t>Total liabilities</t>
        </is>
      </c>
      <c r="B40" s="11" t="n">
        <v>739</v>
      </c>
      <c r="C40" s="11" t="n">
        <v>0</v>
      </c>
      <c r="D40" s="11" t="n">
        <v>11384</v>
      </c>
      <c r="E40" s="11" t="n">
        <v>3794</v>
      </c>
      <c r="F40" s="11" t="n">
        <v>2066</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v>64744</v>
      </c>
      <c r="C44" s="9" t="n">
        <v>64744</v>
      </c>
      <c r="D44" s="9" t="n">
        <v>64744</v>
      </c>
      <c r="E44" s="9" t="n">
        <v>64744</v>
      </c>
      <c r="F44" s="9" t="n">
        <v>64744</v>
      </c>
    </row>
    <row r="45">
      <c r="A45" s="8" t="inlineStr">
        <is>
          <t xml:space="preserve">    Retained earnings</t>
        </is>
      </c>
      <c r="B45" s="9" t="n">
        <v>2437345</v>
      </c>
      <c r="C45" s="9" t="n">
        <v>2771307</v>
      </c>
      <c r="D45" s="9" t="n">
        <v>2965836</v>
      </c>
      <c r="E45" s="9" t="n">
        <v>2986574</v>
      </c>
      <c r="F45" s="9" t="n">
        <v>3231556</v>
      </c>
    </row>
    <row r="46">
      <c r="A46" s="10" t="inlineStr">
        <is>
          <t>Net assets</t>
        </is>
      </c>
      <c r="B46" s="11" t="n">
        <v>2502089</v>
      </c>
      <c r="C46" s="11" t="n">
        <v>2836051</v>
      </c>
      <c r="D46" s="11" t="n">
        <v>3030580</v>
      </c>
      <c r="E46" s="11" t="n">
        <v>3051318</v>
      </c>
      <c r="F46" s="11" t="n">
        <v>3296300</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-209353</v>
      </c>
      <c r="C52" s="9" t="n">
        <v>333962</v>
      </c>
      <c r="D52" s="9" t="n">
        <v>194529</v>
      </c>
      <c r="E52" s="9" t="n">
        <v>20738</v>
      </c>
      <c r="F52" s="9" t="n">
        <v>244982</v>
      </c>
    </row>
    <row r="53">
      <c r="A53" s="8" t="inlineStr">
        <is>
          <t xml:space="preserve">    + Depreciation (reported)</t>
        </is>
      </c>
      <c r="B53" s="9" t="n">
        <v>158275</v>
      </c>
      <c r="C53" s="9" t="n">
        <v>153869</v>
      </c>
      <c r="D53" s="9" t="n">
        <v>144693</v>
      </c>
      <c r="E53" s="9" t="n">
        <v>136726</v>
      </c>
      <c r="F53" s="9" t="n">
        <v>123516</v>
      </c>
    </row>
    <row r="54">
      <c r="A54" s="8" t="inlineStr">
        <is>
          <t xml:space="preserve">    − Δ Accounts receivable</t>
        </is>
      </c>
      <c r="B54" s="9" t="n"/>
      <c r="C54" s="9" t="n">
        <v>0</v>
      </c>
      <c r="D54" s="9" t="n">
        <v>0</v>
      </c>
      <c r="E54" s="9" t="n">
        <v>0</v>
      </c>
      <c r="F54" s="9" t="n">
        <v>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-1005</v>
      </c>
      <c r="D56" s="9" t="n">
        <v>-24</v>
      </c>
      <c r="E56" s="9" t="n">
        <v>1029</v>
      </c>
      <c r="F56" s="9" t="n">
        <v>0</v>
      </c>
    </row>
    <row r="57">
      <c r="A57" s="8" t="inlineStr">
        <is>
          <t xml:space="preserve">    + Δ Accounts payable</t>
        </is>
      </c>
      <c r="B57" s="9" t="n"/>
      <c r="C57" s="9" t="n"/>
      <c r="D57" s="9" t="n"/>
      <c r="E57" s="9" t="n"/>
      <c r="F57" s="9" t="n">
        <v>-1728</v>
      </c>
    </row>
    <row r="58">
      <c r="A58" s="10" t="inlineStr">
        <is>
          <t xml:space="preserve">    Operating cash flow proxy</t>
        </is>
      </c>
      <c r="B58" s="11" t="n"/>
      <c r="C58" s="11" t="n">
        <v>486826</v>
      </c>
      <c r="D58" s="11" t="n">
        <v>339198</v>
      </c>
      <c r="E58" s="11" t="n">
        <v>158493</v>
      </c>
      <c r="F58" s="11" t="n">
        <v>366770</v>
      </c>
    </row>
    <row r="60">
      <c r="A60" s="6" t="inlineStr">
        <is>
          <t>Investing</t>
        </is>
      </c>
      <c r="B60" s="7" t="n"/>
      <c r="C60" s="7" t="n"/>
      <c r="D60" s="7" t="n"/>
      <c r="E60" s="7" t="n"/>
      <c r="F60" s="7" t="n"/>
    </row>
    <row r="61">
      <c r="A61" s="8" t="inlineStr">
        <is>
          <t xml:space="preserve">    − Δ PP&amp;E gross (capex proxy)</t>
        </is>
      </c>
      <c r="B61" s="9" t="n"/>
      <c r="C61" s="9" t="n">
        <v>-347549</v>
      </c>
      <c r="D61" s="9" t="n">
        <v>-119528</v>
      </c>
      <c r="E61" s="9" t="n">
        <v>-86491</v>
      </c>
      <c r="F61" s="9" t="n">
        <v>-31918</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138538</v>
      </c>
      <c r="D67" s="11" t="n">
        <v>231054</v>
      </c>
      <c r="E67" s="11" t="n">
        <v>64410</v>
      </c>
      <c r="F67" s="11" t="n">
        <v>334854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9" t="n">
        <v>1048347</v>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9" t="n">
        <v>61204</v>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Cayucos Beach Mutual Water Company</t>
        </is>
      </c>
    </row>
    <row r="2">
      <c r="A2" s="2" t="inlineStr">
        <is>
          <t>Balance Sheet - as reported (USD, end of year)</t>
        </is>
      </c>
    </row>
    <row r="3">
      <c r="A3" s="2" t="inlineStr">
        <is>
          <t>Entity ID: cawc_0043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1145438</v>
      </c>
      <c r="C7" s="9" t="n">
        <v>1283976</v>
      </c>
      <c r="D7" s="9" t="n">
        <v>516192</v>
      </c>
      <c r="E7" s="9" t="n">
        <v>539461</v>
      </c>
      <c r="F7" s="9" t="n">
        <v>792966</v>
      </c>
    </row>
    <row r="8">
      <c r="A8" s="8" t="inlineStr">
        <is>
          <t xml:space="preserve">    Savings &amp; temporary investments</t>
        </is>
      </c>
      <c r="B8" s="9" t="n">
        <v>0</v>
      </c>
      <c r="C8" s="9" t="n">
        <v>0</v>
      </c>
      <c r="D8" s="9" t="n">
        <v>998838</v>
      </c>
      <c r="E8" s="9" t="n">
        <v>1039979</v>
      </c>
      <c r="F8" s="9" t="n">
        <v>1121328</v>
      </c>
    </row>
    <row r="9">
      <c r="A9" s="8" t="inlineStr">
        <is>
          <t xml:space="preserve">    Accounts receivable</t>
        </is>
      </c>
      <c r="B9" s="9" t="n">
        <v>0</v>
      </c>
      <c r="C9" s="9" t="n">
        <v>0</v>
      </c>
      <c r="D9" s="9" t="n">
        <v>0</v>
      </c>
      <c r="E9" s="9" t="n">
        <v>0</v>
      </c>
      <c r="F9" s="9" t="n">
        <v>0</v>
      </c>
    </row>
    <row r="10">
      <c r="A10" s="8" t="inlineStr">
        <is>
          <t xml:space="preserve">    Inventories</t>
        </is>
      </c>
      <c r="B10" s="9" t="n">
        <v>0</v>
      </c>
      <c r="C10" s="9" t="n">
        <v>0</v>
      </c>
      <c r="D10" s="9" t="n">
        <v>0</v>
      </c>
      <c r="E10" s="9" t="n">
        <v>0</v>
      </c>
      <c r="F10" s="9" t="n">
        <v>0</v>
      </c>
    </row>
    <row r="11">
      <c r="A11" s="8" t="inlineStr">
        <is>
          <t xml:space="preserve">    Prepaid expenses</t>
        </is>
      </c>
      <c r="B11" s="9" t="n">
        <v>0</v>
      </c>
      <c r="C11" s="9" t="n">
        <v>1005</v>
      </c>
      <c r="D11" s="9" t="n">
        <v>1029</v>
      </c>
      <c r="E11" s="9" t="n">
        <v>0</v>
      </c>
      <c r="F11" s="9" t="n">
        <v>0</v>
      </c>
    </row>
    <row r="12">
      <c r="A12" s="8" t="inlineStr">
        <is>
          <t xml:space="preserve">    Property, plant &amp; equipment (gross)</t>
        </is>
      </c>
      <c r="B12" s="9" t="n">
        <v>4122674</v>
      </c>
      <c r="C12" s="9" t="n">
        <v>4470223</v>
      </c>
      <c r="D12" s="9" t="n">
        <v>4589751</v>
      </c>
      <c r="E12" s="9" t="n">
        <v>4676242</v>
      </c>
      <c r="F12" s="9" t="n">
        <v>4708160</v>
      </c>
    </row>
    <row r="13">
      <c r="A13" s="8" t="inlineStr">
        <is>
          <t xml:space="preserve">    Less: accumulated depreciation</t>
        </is>
      </c>
      <c r="B13" s="9" t="n">
        <v>-2765922</v>
      </c>
      <c r="C13" s="9" t="n">
        <v>-2919791</v>
      </c>
      <c r="D13" s="9" t="n">
        <v>-3064484</v>
      </c>
      <c r="E13" s="9" t="n">
        <v>-3201209</v>
      </c>
      <c r="F13" s="9" t="n">
        <v>-3324726</v>
      </c>
    </row>
    <row r="14">
      <c r="A14" s="10" t="inlineStr">
        <is>
          <t xml:space="preserve">    Net property, plant &amp; equipment</t>
        </is>
      </c>
      <c r="B14" s="11" t="n">
        <v>1356752</v>
      </c>
      <c r="C14" s="11" t="n">
        <v>1550432</v>
      </c>
      <c r="D14" s="11" t="n">
        <v>1525267</v>
      </c>
      <c r="E14" s="11" t="n">
        <v>1475033</v>
      </c>
      <c r="F14" s="11" t="n">
        <v>1383434</v>
      </c>
    </row>
    <row r="15">
      <c r="A15" s="10" t="inlineStr">
        <is>
          <t>Total assets</t>
        </is>
      </c>
      <c r="B15" s="11" t="n">
        <v>2502828</v>
      </c>
      <c r="C15" s="11" t="n">
        <v>2836051</v>
      </c>
      <c r="D15" s="11" t="n">
        <v>3041964</v>
      </c>
      <c r="E15" s="11" t="n">
        <v>3055112</v>
      </c>
      <c r="F15" s="11" t="n">
        <v>3298366</v>
      </c>
    </row>
    <row r="17">
      <c r="A17" s="6" t="inlineStr">
        <is>
          <t>Liabilities</t>
        </is>
      </c>
      <c r="B17" s="7" t="n"/>
      <c r="C17" s="7" t="n"/>
      <c r="D17" s="7" t="n"/>
      <c r="E17" s="7" t="n"/>
      <c r="F17" s="7" t="n"/>
    </row>
    <row r="18">
      <c r="A18" s="8" t="inlineStr">
        <is>
          <t xml:space="preserve">    Accounts payable</t>
        </is>
      </c>
      <c r="B18" s="9" t="n">
        <v>739</v>
      </c>
      <c r="C18" s="9" t="n"/>
      <c r="D18" s="9" t="n"/>
      <c r="E18" s="9" t="n">
        <v>3794</v>
      </c>
      <c r="F18" s="9" t="n">
        <v>2066</v>
      </c>
    </row>
    <row r="19">
      <c r="A19" s="8" t="inlineStr">
        <is>
          <t xml:space="preserve">    Mortgages &amp; notes payable</t>
        </is>
      </c>
      <c r="B19" s="9" t="n"/>
      <c r="C19" s="9" t="n"/>
      <c r="D19" s="9" t="n"/>
      <c r="E19" s="9" t="n"/>
      <c r="F19" s="9" t="n"/>
    </row>
    <row r="20">
      <c r="A20" s="10" t="inlineStr">
        <is>
          <t>Total liabilities</t>
        </is>
      </c>
      <c r="B20" s="11" t="n">
        <v>739</v>
      </c>
      <c r="C20" s="11" t="n">
        <v>0</v>
      </c>
      <c r="D20" s="11" t="n">
        <v>11384</v>
      </c>
      <c r="E20" s="11" t="n">
        <v>3794</v>
      </c>
      <c r="F20" s="11" t="n">
        <v>2066</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v>64744</v>
      </c>
      <c r="C24" s="9" t="n">
        <v>64744</v>
      </c>
      <c r="D24" s="9" t="n">
        <v>64744</v>
      </c>
      <c r="E24" s="9" t="n">
        <v>64744</v>
      </c>
      <c r="F24" s="9" t="n">
        <v>64744</v>
      </c>
    </row>
    <row r="25">
      <c r="A25" s="8" t="inlineStr">
        <is>
          <t xml:space="preserve">    Retained earnings</t>
        </is>
      </c>
      <c r="B25" s="9" t="n">
        <v>2437345</v>
      </c>
      <c r="C25" s="9" t="n">
        <v>2771307</v>
      </c>
      <c r="D25" s="9" t="n">
        <v>2965836</v>
      </c>
      <c r="E25" s="9" t="n">
        <v>2986574</v>
      </c>
      <c r="F25" s="9" t="n">
        <v>3231556</v>
      </c>
    </row>
    <row r="26">
      <c r="A26" s="10" t="inlineStr">
        <is>
          <t>Net assets</t>
        </is>
      </c>
      <c r="B26" s="11" t="n">
        <v>2502089</v>
      </c>
      <c r="C26" s="11" t="n">
        <v>2836051</v>
      </c>
      <c r="D26" s="11" t="n">
        <v>3030580</v>
      </c>
      <c r="E26" s="11" t="n">
        <v>3051318</v>
      </c>
      <c r="F26" s="11" t="n">
        <v>3296300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Cayucos Beach Mutual Water Company</t>
        </is>
      </c>
    </row>
    <row r="2">
      <c r="A2" s="2" t="inlineStr">
        <is>
          <t>Officers, Directors &amp; Contractors - Form 990 Part VII (FY2024; USD)</t>
        </is>
      </c>
    </row>
    <row r="3">
      <c r="A3" s="2" t="inlineStr">
        <is>
          <t>Entity ID: cawc_0043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JONELLE MCALLISTER</t>
        </is>
      </c>
      <c r="B7" s="8" t="inlineStr">
        <is>
          <t>Director</t>
        </is>
      </c>
      <c r="C7" s="9" t="n">
        <v>0</v>
      </c>
      <c r="D7" s="9" t="n">
        <v>0</v>
      </c>
      <c r="E7" s="9" t="n">
        <v>0</v>
      </c>
      <c r="F7" s="9" t="n">
        <v>0</v>
      </c>
    </row>
    <row r="8">
      <c r="A8" s="8" t="inlineStr">
        <is>
          <t>DOUGLAS LAUNCHBAUGH</t>
        </is>
      </c>
      <c r="B8" s="8" t="inlineStr">
        <is>
          <t>President</t>
        </is>
      </c>
      <c r="C8" s="9" t="n">
        <v>0</v>
      </c>
      <c r="D8" s="9" t="n">
        <v>0</v>
      </c>
      <c r="E8" s="9" t="n">
        <v>0</v>
      </c>
      <c r="F8" s="9" t="n">
        <v>0</v>
      </c>
    </row>
    <row r="9">
      <c r="A9" s="8" t="inlineStr">
        <is>
          <t>LOUISA SMITH</t>
        </is>
      </c>
      <c r="B9" s="8" t="inlineStr">
        <is>
          <t>Director</t>
        </is>
      </c>
      <c r="C9" s="9" t="n">
        <v>0</v>
      </c>
      <c r="D9" s="9" t="n">
        <v>0</v>
      </c>
      <c r="E9" s="9" t="n">
        <v>0</v>
      </c>
      <c r="F9" s="9" t="n">
        <v>0</v>
      </c>
    </row>
    <row r="10">
      <c r="A10" s="8" t="inlineStr">
        <is>
          <t>EDWARD MUSOLFF</t>
        </is>
      </c>
      <c r="B10" s="8" t="inlineStr">
        <is>
          <t>Secretary</t>
        </is>
      </c>
      <c r="C10" s="9" t="n">
        <v>0</v>
      </c>
      <c r="D10" s="9" t="n">
        <v>0</v>
      </c>
      <c r="E10" s="9" t="n">
        <v>0</v>
      </c>
      <c r="F10" s="9" t="n">
        <v>0</v>
      </c>
    </row>
    <row r="11">
      <c r="A11" s="8" t="inlineStr">
        <is>
          <t>DOUG HENDRY</t>
        </is>
      </c>
      <c r="B11" s="8" t="inlineStr">
        <is>
          <t>Vice 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Cayucos Beach Mutual Water Company</t>
        </is>
      </c>
    </row>
    <row r="2">
      <c r="A2" s="2" t="inlineStr">
        <is>
          <t>Revenue - Form 990 Part VIII (USD)</t>
        </is>
      </c>
    </row>
    <row r="3">
      <c r="A3" s="2" t="inlineStr">
        <is>
          <t>Entity ID: cawc_0043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908135</v>
      </c>
      <c r="C8" s="9" t="n">
        <v>1048347</v>
      </c>
      <c r="D8" s="9" t="n">
        <v>915129</v>
      </c>
      <c r="E8" s="9" t="n">
        <v>925297</v>
      </c>
      <c r="F8" s="9" t="n">
        <v>886656</v>
      </c>
    </row>
    <row r="9">
      <c r="A9" s="8" t="inlineStr">
        <is>
          <t xml:space="preserve">    3. Investment income</t>
        </is>
      </c>
      <c r="B9" s="9" t="n">
        <v>16600</v>
      </c>
      <c r="C9" s="9" t="n">
        <v>5329</v>
      </c>
      <c r="D9" s="9" t="n">
        <v>-1162</v>
      </c>
      <c r="E9" s="9" t="n">
        <v>41141</v>
      </c>
      <c r="F9" s="9" t="n">
        <v>60858</v>
      </c>
    </row>
    <row r="10">
      <c r="A10" s="8" t="inlineStr">
        <is>
          <t xml:space="preserve">    6d. Net rental income</t>
        </is>
      </c>
      <c r="B10" s="9" t="n">
        <v>55875</v>
      </c>
      <c r="C10" s="9" t="n">
        <v>55875</v>
      </c>
      <c r="D10" s="9" t="n">
        <v>50817</v>
      </c>
      <c r="E10" s="9" t="n">
        <v>51600</v>
      </c>
      <c r="F10" s="9" t="n">
        <v>56700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MISCELLANEOUS</t>
        </is>
      </c>
      <c r="B17" s="8" t="n"/>
      <c r="C17" s="9" t="n">
        <v>3245</v>
      </c>
    </row>
    <row r="18">
      <c r="A18" s="8" t="inlineStr">
        <is>
          <t>PENALTIES</t>
        </is>
      </c>
      <c r="B18" s="8" t="n"/>
      <c r="C18" s="9" t="n">
        <v>2959</v>
      </c>
    </row>
    <row r="19">
      <c r="A19" s="8" t="inlineStr">
        <is>
          <t>UPGRADES</t>
        </is>
      </c>
      <c r="B19" s="8" t="n"/>
      <c r="C19" s="9" t="n">
        <v>15560</v>
      </c>
    </row>
    <row r="20">
      <c r="A20" s="8" t="inlineStr">
        <is>
          <t>WATER SALES</t>
        </is>
      </c>
      <c r="B20" s="8" t="inlineStr">
        <is>
          <t>221000</t>
        </is>
      </c>
      <c r="C20" s="9" t="n">
        <v>859681</v>
      </c>
    </row>
    <row r="21">
      <c r="A21" s="8" t="inlineStr">
        <is>
          <t>WILL SERVE APPLICATIONS</t>
        </is>
      </c>
      <c r="B21" s="8" t="n"/>
      <c r="C21" s="9" t="n">
        <v>3400</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Cayucos Beach Mutual Water Company</t>
        </is>
      </c>
    </row>
    <row r="2">
      <c r="A2" s="2" t="inlineStr">
        <is>
          <t>Statement of Functional Expenses - Form 990 Part IX (USD)</t>
        </is>
      </c>
    </row>
    <row r="3">
      <c r="A3" s="2" t="inlineStr">
        <is>
          <t>Entity ID: cawc_0043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4700</v>
      </c>
      <c r="C11" s="9" t="n">
        <v>4400</v>
      </c>
      <c r="D11" s="9" t="n">
        <v>3700</v>
      </c>
      <c r="E11" s="9" t="n">
        <v>4150</v>
      </c>
      <c r="F11" s="9" t="n">
        <v>4100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307</v>
      </c>
      <c r="E18" s="9" t="n">
        <v>90</v>
      </c>
      <c r="F18" s="9" t="n">
        <v>2768</v>
      </c>
    </row>
    <row r="19">
      <c r="A19" s="8" t="inlineStr">
        <is>
          <t xml:space="preserve">    11c. Fees for services: accounting</t>
        </is>
      </c>
      <c r="B19" s="9" t="n">
        <v>0</v>
      </c>
      <c r="C19" s="9" t="n">
        <v>0</v>
      </c>
      <c r="D19" s="9" t="n">
        <v>1715</v>
      </c>
      <c r="E19" s="9" t="n">
        <v>1984</v>
      </c>
      <c r="F19" s="9" t="n">
        <v>3975</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5909</v>
      </c>
      <c r="C25" s="9" t="n">
        <v>9013</v>
      </c>
      <c r="D25" s="9" t="n">
        <v>10477</v>
      </c>
      <c r="E25" s="9" t="n">
        <v>13208</v>
      </c>
      <c r="F25" s="9" t="n">
        <v>10140</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6359</v>
      </c>
      <c r="C28" s="9" t="n">
        <v>6536</v>
      </c>
      <c r="D28" s="9" t="n">
        <v>5512</v>
      </c>
      <c r="E28" s="9" t="n">
        <v>5592</v>
      </c>
      <c r="F28" s="9" t="n">
        <v>5968</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158275</v>
      </c>
      <c r="C34" s="9" t="n">
        <v>153869</v>
      </c>
      <c r="D34" s="9" t="n">
        <v>144693</v>
      </c>
      <c r="E34" s="9" t="n">
        <v>136726</v>
      </c>
      <c r="F34" s="9" t="n">
        <v>123516</v>
      </c>
    </row>
    <row r="35">
      <c r="A35" s="8" t="inlineStr">
        <is>
          <t xml:space="preserve">    23. Insurance</t>
        </is>
      </c>
      <c r="B35" s="9" t="n">
        <v>6078</v>
      </c>
      <c r="C35" s="9" t="n">
        <v>5998</v>
      </c>
      <c r="D35" s="9" t="n">
        <v>6590</v>
      </c>
      <c r="E35" s="9" t="n">
        <v>6567</v>
      </c>
      <c r="F35" s="9" t="n">
        <v>6094</v>
      </c>
    </row>
    <row r="36">
      <c r="A36" s="8" t="inlineStr">
        <is>
          <t xml:space="preserve">    24. OPERATING LEASE</t>
        </is>
      </c>
      <c r="B36" s="9" t="n">
        <v>828852</v>
      </c>
      <c r="C36" s="9" t="n">
        <v>326067</v>
      </c>
      <c r="D36" s="9" t="n">
        <v>380935</v>
      </c>
      <c r="E36" s="9" t="n">
        <v>374624</v>
      </c>
      <c r="F36" s="9" t="n">
        <v>385255</v>
      </c>
    </row>
    <row r="37">
      <c r="A37" s="8" t="inlineStr">
        <is>
          <t xml:space="preserve">    24. OVERHEAD</t>
        </is>
      </c>
      <c r="B37" s="9" t="n">
        <v>132338</v>
      </c>
      <c r="C37" s="14" t="inlineStr">
        <is>
          <t>not reported</t>
        </is>
      </c>
      <c r="D37" s="14" t="inlineStr">
        <is>
          <t>not reported</t>
        </is>
      </c>
      <c r="E37" s="14" t="inlineStr">
        <is>
          <t>not reported</t>
        </is>
      </c>
      <c r="F37" s="14" t="inlineStr">
        <is>
          <t>not reported</t>
        </is>
      </c>
    </row>
    <row r="38">
      <c r="A38" s="8" t="inlineStr">
        <is>
          <t xml:space="preserve">    24. REPAIRS &amp; MAINTENANCE</t>
        </is>
      </c>
      <c r="B38" s="9" t="n">
        <v>10669</v>
      </c>
      <c r="C38" s="9" t="n">
        <v>21418</v>
      </c>
      <c r="D38" s="9" t="n">
        <v>30476</v>
      </c>
      <c r="E38" s="9" t="n">
        <v>255515</v>
      </c>
      <c r="F38" s="9" t="n">
        <v>11616</v>
      </c>
    </row>
    <row r="39">
      <c r="A39" s="8" t="inlineStr">
        <is>
          <t xml:space="preserve">    24. DUES AND SUBSCRIPTIONS</t>
        </is>
      </c>
      <c r="B39" s="9" t="n">
        <v>7860</v>
      </c>
      <c r="C39" s="14" t="inlineStr">
        <is>
          <t>not reported</t>
        </is>
      </c>
      <c r="D39" s="14" t="inlineStr">
        <is>
          <t>not reported</t>
        </is>
      </c>
      <c r="E39" s="14" t="inlineStr">
        <is>
          <t>not reported</t>
        </is>
      </c>
      <c r="F39" s="14" t="inlineStr">
        <is>
          <t>not reported</t>
        </is>
      </c>
    </row>
    <row r="40">
      <c r="A40" s="8" t="inlineStr">
        <is>
          <t xml:space="preserve">    24. CONTRACT LABOR</t>
        </is>
      </c>
      <c r="B40" s="14" t="inlineStr">
        <is>
          <t>not reported</t>
        </is>
      </c>
      <c r="C40" s="9" t="n">
        <v>175950</v>
      </c>
      <c r="D40" s="9" t="n">
        <v>138740</v>
      </c>
      <c r="E40" s="9" t="n">
        <v>148390</v>
      </c>
      <c r="F40" s="9" t="n">
        <v>149436</v>
      </c>
    </row>
    <row r="41">
      <c r="A41" s="8" t="inlineStr">
        <is>
          <t xml:space="preserve">    24. MISCELLANEOUS</t>
        </is>
      </c>
      <c r="B41" s="14" t="inlineStr">
        <is>
          <t>not reported</t>
        </is>
      </c>
      <c r="C41" s="9" t="n">
        <v>44581</v>
      </c>
      <c r="D41" s="9" t="n">
        <v>20499</v>
      </c>
      <c r="E41" s="9" t="n">
        <v>17354</v>
      </c>
      <c r="F41" s="9" t="n">
        <v>26031</v>
      </c>
    </row>
    <row r="42">
      <c r="A42" s="8" t="inlineStr">
        <is>
          <t xml:space="preserve">    24e. All other expenses</t>
        </is>
      </c>
      <c r="B42" s="9" t="n">
        <v>28923</v>
      </c>
      <c r="C42" s="9" t="n">
        <v>27757</v>
      </c>
      <c r="D42" s="9" t="n">
        <v>26611</v>
      </c>
      <c r="E42" s="9" t="n">
        <v>33100</v>
      </c>
      <c r="F42" s="9" t="n">
        <v>30333</v>
      </c>
    </row>
    <row r="43">
      <c r="A43" s="10" t="inlineStr">
        <is>
          <t>25. Total functional expenses</t>
        </is>
      </c>
      <c r="B43" s="11">
        <f>SUM(B7:B42)</f>
        <v/>
      </c>
      <c r="C43" s="11">
        <f>SUM(C7:C42)</f>
        <v/>
      </c>
      <c r="D43" s="11">
        <f>SUM(D7:D42)</f>
        <v/>
      </c>
      <c r="E43" s="11">
        <f>SUM(E7:E42)</f>
        <v/>
      </c>
      <c r="F43" s="11">
        <f>SUM(F7:F42)</f>
        <v/>
      </c>
    </row>
    <row r="45">
      <c r="A45" s="6" t="inlineStr">
        <is>
          <t>Functional column split - FY2024 (col A = B + C + D)</t>
        </is>
      </c>
      <c r="B45" s="7" t="n"/>
      <c r="C45" s="7" t="n"/>
      <c r="D45" s="7" t="n"/>
      <c r="E45" s="7" t="n"/>
      <c r="F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4100</v>
      </c>
      <c r="C51" s="9" t="n">
        <v>4100</v>
      </c>
      <c r="D51" s="9" t="n"/>
      <c r="E51" s="9" t="n"/>
    </row>
    <row r="52">
      <c r="A52" s="18" t="inlineStr">
        <is>
          <t>6. Compensation to disqualified persons</t>
        </is>
      </c>
      <c r="B52" s="9" t="n">
        <v>0</v>
      </c>
      <c r="C52" s="9" t="n"/>
      <c r="D52" s="9" t="n"/>
      <c r="E52" s="9" t="n"/>
    </row>
    <row r="53">
      <c r="A53" s="18" t="inlineStr">
        <is>
          <t>7. Other salaries and wages</t>
        </is>
      </c>
      <c r="B53" s="9" t="n">
        <v>0</v>
      </c>
      <c r="C53" s="9" t="n"/>
      <c r="D53" s="9" t="n"/>
      <c r="E53" s="9" t="n"/>
    </row>
    <row r="54">
      <c r="A54" s="18" t="inlineStr">
        <is>
          <t>8. Pension plan accruals and contributions</t>
        </is>
      </c>
      <c r="B54" s="9" t="n">
        <v>0</v>
      </c>
      <c r="C54" s="9" t="n"/>
      <c r="D54" s="9" t="n"/>
      <c r="E54" s="9" t="n"/>
    </row>
    <row r="55">
      <c r="A55" s="18" t="inlineStr">
        <is>
          <t>9. Other employee benefits</t>
        </is>
      </c>
      <c r="B55" s="9" t="n">
        <v>0</v>
      </c>
      <c r="C55" s="9" t="n"/>
      <c r="D55" s="9" t="n"/>
      <c r="E55" s="9" t="n"/>
    </row>
    <row r="56">
      <c r="A56" s="18" t="inlineStr">
        <is>
          <t>10. Payroll taxes</t>
        </is>
      </c>
      <c r="B56" s="9" t="n">
        <v>0</v>
      </c>
      <c r="C56" s="9" t="n"/>
      <c r="D56" s="9" t="n"/>
      <c r="E56" s="9" t="n"/>
    </row>
    <row r="57">
      <c r="A57" s="18" t="inlineStr">
        <is>
          <t>11a. Fees for services: management</t>
        </is>
      </c>
      <c r="B57" s="9" t="n">
        <v>0</v>
      </c>
      <c r="C57" s="9" t="n"/>
      <c r="D57" s="9" t="n"/>
      <c r="E57" s="9" t="n"/>
    </row>
    <row r="58">
      <c r="A58" s="18" t="inlineStr">
        <is>
          <t>11b. Fees for services: legal</t>
        </is>
      </c>
      <c r="B58" s="9" t="n">
        <v>2768</v>
      </c>
      <c r="C58" s="9" t="n">
        <v>2768</v>
      </c>
      <c r="D58" s="9" t="n"/>
      <c r="E58" s="9" t="n"/>
    </row>
    <row r="59">
      <c r="A59" s="18" t="inlineStr">
        <is>
          <t>11c. Fees for services: accounting</t>
        </is>
      </c>
      <c r="B59" s="9" t="n">
        <v>3975</v>
      </c>
      <c r="C59" s="9" t="n">
        <v>3975</v>
      </c>
      <c r="D59" s="9" t="n"/>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0</v>
      </c>
      <c r="C63" s="9" t="n"/>
      <c r="D63" s="9" t="n"/>
      <c r="E63" s="9" t="n"/>
    </row>
    <row r="64">
      <c r="A64" s="18" t="inlineStr">
        <is>
          <t>12. Advertising and promotion</t>
        </is>
      </c>
      <c r="B64" s="9" t="n">
        <v>0</v>
      </c>
      <c r="C64" s="9" t="n"/>
      <c r="D64" s="9" t="n"/>
      <c r="E64" s="9" t="n"/>
    </row>
    <row r="65">
      <c r="A65" s="18" t="inlineStr">
        <is>
          <t>13. Office expenses</t>
        </is>
      </c>
      <c r="B65" s="9" t="n">
        <v>10140</v>
      </c>
      <c r="C65" s="9" t="n">
        <v>10140</v>
      </c>
      <c r="D65" s="9" t="n"/>
      <c r="E65" s="9" t="n"/>
    </row>
    <row r="66">
      <c r="A66" s="18" t="inlineStr">
        <is>
          <t>14. Information technology</t>
        </is>
      </c>
      <c r="B66" s="9" t="n">
        <v>0</v>
      </c>
      <c r="C66" s="9" t="n"/>
      <c r="D66" s="9" t="n"/>
      <c r="E66" s="9" t="n"/>
    </row>
    <row r="67">
      <c r="A67" s="18" t="inlineStr">
        <is>
          <t>15. Royalties</t>
        </is>
      </c>
      <c r="B67" s="9" t="n">
        <v>0</v>
      </c>
      <c r="C67" s="9" t="n"/>
      <c r="D67" s="9" t="n"/>
      <c r="E67" s="9" t="n"/>
    </row>
    <row r="68">
      <c r="A68" s="18" t="inlineStr">
        <is>
          <t>16. Occupancy</t>
        </is>
      </c>
      <c r="B68" s="9" t="n">
        <v>5968</v>
      </c>
      <c r="C68" s="9" t="n">
        <v>5968</v>
      </c>
      <c r="D68" s="9" t="n"/>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0</v>
      </c>
      <c r="C71" s="9" t="n"/>
      <c r="D71" s="9" t="n"/>
      <c r="E71" s="9" t="n"/>
    </row>
    <row r="72">
      <c r="A72" s="18" t="inlineStr">
        <is>
          <t>20. Interest</t>
        </is>
      </c>
      <c r="B72" s="9" t="n">
        <v>0</v>
      </c>
      <c r="C72" s="9" t="n"/>
      <c r="D72" s="9" t="n"/>
      <c r="E72" s="9" t="n"/>
    </row>
    <row r="73">
      <c r="A73" s="18" t="inlineStr">
        <is>
          <t>21. Payments to affiliates</t>
        </is>
      </c>
      <c r="B73" s="9" t="n">
        <v>0</v>
      </c>
      <c r="C73" s="9" t="n"/>
      <c r="D73" s="9" t="n"/>
      <c r="E73" s="9" t="n"/>
    </row>
    <row r="74">
      <c r="A74" s="18" t="inlineStr">
        <is>
          <t>22. Depreciation, depletion, and amortization</t>
        </is>
      </c>
      <c r="B74" s="9" t="n">
        <v>123516</v>
      </c>
      <c r="C74" s="9" t="n">
        <v>123516</v>
      </c>
      <c r="D74" s="9" t="n"/>
      <c r="E74" s="9" t="n"/>
    </row>
    <row r="75">
      <c r="A75" s="18" t="inlineStr">
        <is>
          <t>23. Insurance</t>
        </is>
      </c>
      <c r="B75" s="9" t="n">
        <v>6094</v>
      </c>
      <c r="C75" s="9" t="n">
        <v>6094</v>
      </c>
      <c r="D75" s="9" t="n"/>
      <c r="E75" s="9" t="n"/>
    </row>
    <row r="76">
      <c r="A76" s="10" t="inlineStr">
        <is>
          <t>25. Total (filed col A / B / C / D)</t>
        </is>
      </c>
      <c r="B76" s="11" t="n">
        <v>759232</v>
      </c>
      <c r="C76" s="11" t="n">
        <v>759232</v>
      </c>
      <c r="D76" s="11" t="n">
        <v>0</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8:F78"/>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Cayucos Beach Mutual Water Company</t>
        </is>
      </c>
    </row>
    <row r="2">
      <c r="A2" s="2" t="inlineStr">
        <is>
          <t>Balance Sheet - Form 990 Part X (end of year, USD)</t>
        </is>
      </c>
    </row>
    <row r="3">
      <c r="A3" s="2" t="inlineStr">
        <is>
          <t>Entity ID: cawc_0043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1145438</v>
      </c>
      <c r="C7" s="9" t="n">
        <v>1283976</v>
      </c>
      <c r="D7" s="9" t="n">
        <v>516192</v>
      </c>
      <c r="E7" s="9" t="n">
        <v>539461</v>
      </c>
      <c r="F7" s="9" t="n">
        <v>792966</v>
      </c>
    </row>
    <row r="8">
      <c r="A8" s="8" t="inlineStr">
        <is>
          <t xml:space="preserve">    2. Savings and temporary cash investments</t>
        </is>
      </c>
      <c r="B8" s="9" t="n">
        <v>0</v>
      </c>
      <c r="C8" s="9" t="n">
        <v>0</v>
      </c>
      <c r="D8" s="9" t="n">
        <v>998838</v>
      </c>
      <c r="E8" s="9" t="n">
        <v>1039979</v>
      </c>
      <c r="F8" s="9" t="n">
        <v>1121328</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0</v>
      </c>
      <c r="C10" s="9" t="n">
        <v>0</v>
      </c>
      <c r="D10" s="9" t="n">
        <v>0</v>
      </c>
      <c r="E10" s="9" t="n">
        <v>0</v>
      </c>
      <c r="F10" s="9" t="n">
        <v>0</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0</v>
      </c>
      <c r="C15" s="9" t="n">
        <v>1005</v>
      </c>
      <c r="D15" s="9" t="n">
        <v>1029</v>
      </c>
      <c r="E15" s="9" t="n">
        <v>0</v>
      </c>
      <c r="F15" s="9" t="n">
        <v>0</v>
      </c>
    </row>
    <row r="16">
      <c r="A16" s="8" t="inlineStr">
        <is>
          <t xml:space="preserve">    10c. Land, buildings, and equipment, net</t>
        </is>
      </c>
      <c r="B16" s="9" t="n">
        <v>1356752</v>
      </c>
      <c r="C16" s="9" t="n">
        <v>1550432</v>
      </c>
      <c r="D16" s="9" t="n">
        <v>1525267</v>
      </c>
      <c r="E16" s="9" t="n">
        <v>1475033</v>
      </c>
      <c r="F16" s="9" t="n">
        <v>1383434</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638</v>
      </c>
      <c r="C21" s="9" t="n">
        <v>638</v>
      </c>
      <c r="D21" s="9" t="n">
        <v>638</v>
      </c>
      <c r="E21" s="9" t="n">
        <v>639</v>
      </c>
      <c r="F21" s="9" t="n">
        <v>638</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739</v>
      </c>
      <c r="C25" s="14" t="inlineStr">
        <is>
          <t>not reported</t>
        </is>
      </c>
      <c r="D25" s="14" t="inlineStr">
        <is>
          <t>not reported</t>
        </is>
      </c>
      <c r="E25" s="9" t="n">
        <v>3794</v>
      </c>
      <c r="F25" s="9" t="n">
        <v>2066</v>
      </c>
    </row>
    <row r="26">
      <c r="A26" s="8" t="inlineStr">
        <is>
          <t xml:space="preserve">    25. Other liabilities</t>
        </is>
      </c>
      <c r="B26" s="14" t="inlineStr">
        <is>
          <t>not reported</t>
        </is>
      </c>
      <c r="C26" s="14" t="inlineStr">
        <is>
          <t>not reported</t>
        </is>
      </c>
      <c r="D26" s="9" t="n">
        <v>11384</v>
      </c>
      <c r="E26" s="14" t="inlineStr">
        <is>
          <t>not reported</t>
        </is>
      </c>
      <c r="F26" s="14" t="inlineStr">
        <is>
          <t>not reported</t>
        </is>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30. Paid-in or capital surplus</t>
        </is>
      </c>
      <c r="B30" s="9" t="n">
        <v>64744</v>
      </c>
      <c r="C30" s="9" t="n">
        <v>64744</v>
      </c>
      <c r="D30" s="9" t="n">
        <v>64744</v>
      </c>
      <c r="E30" s="9" t="n">
        <v>64744</v>
      </c>
      <c r="F30" s="9" t="n">
        <v>64744</v>
      </c>
    </row>
    <row r="31">
      <c r="A31" s="8" t="inlineStr">
        <is>
          <t xml:space="preserve">    31. Retained earnings / accumulated funds</t>
        </is>
      </c>
      <c r="B31" s="9" t="n">
        <v>2437345</v>
      </c>
      <c r="C31" s="9" t="n">
        <v>2771307</v>
      </c>
      <c r="D31" s="9" t="n">
        <v>2965836</v>
      </c>
      <c r="E31" s="9" t="n">
        <v>2986574</v>
      </c>
      <c r="F31" s="9" t="n">
        <v>3231556</v>
      </c>
    </row>
    <row r="32">
      <c r="A32" s="10" t="inlineStr">
        <is>
          <t>32. Total net assets / fund balances</t>
        </is>
      </c>
      <c r="B32" s="11">
        <f>SUM(B30:B31)</f>
        <v/>
      </c>
      <c r="C32" s="11">
        <f>SUM(C30:C31)</f>
        <v/>
      </c>
      <c r="D32" s="11">
        <f>SUM(D30:D31)</f>
        <v/>
      </c>
      <c r="E32" s="11">
        <f>SUM(E30:E31)</f>
        <v/>
      </c>
      <c r="F32" s="11">
        <f>SUM(F30:F31)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4:F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Cayucos Beach Mutual Water Company</t>
        </is>
      </c>
    </row>
    <row r="2">
      <c r="A2" s="2" t="inlineStr">
        <is>
          <t>Reconciliation of Net Assets - Form 990 Part XI (USD)</t>
        </is>
      </c>
    </row>
    <row r="3">
      <c r="A3" s="2" t="inlineStr">
        <is>
          <t>Entity ID: cawc_0043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2711442</v>
      </c>
      <c r="C7" s="9" t="n">
        <v>2502089</v>
      </c>
      <c r="D7" s="9" t="n">
        <v>2836051</v>
      </c>
      <c r="E7" s="9" t="n">
        <v>3030580</v>
      </c>
      <c r="F7" s="9" t="n">
        <v>3051318</v>
      </c>
    </row>
    <row r="8">
      <c r="A8" s="8" t="inlineStr">
        <is>
          <t xml:space="preserve">    3. Revenue less expenses</t>
        </is>
      </c>
      <c r="B8" s="9" t="n">
        <v>-209353</v>
      </c>
      <c r="C8" s="9" t="n">
        <v>333962</v>
      </c>
      <c r="D8" s="9" t="n">
        <v>194529</v>
      </c>
      <c r="E8" s="9" t="n">
        <v>20738</v>
      </c>
      <c r="F8" s="9" t="n">
        <v>244982</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Cayucos Beach Mutual Water Company</t>
        </is>
      </c>
    </row>
    <row r="2">
      <c r="A2" s="2" t="inlineStr">
        <is>
          <t>Cash Flow Proxies - derived (USD)</t>
        </is>
      </c>
    </row>
    <row r="3">
      <c r="A3" s="2" t="inlineStr">
        <is>
          <t>Entity ID: cawc_0043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-209353</v>
      </c>
      <c r="C9" s="9" t="n">
        <v>333962</v>
      </c>
      <c r="D9" s="9" t="n">
        <v>194529</v>
      </c>
      <c r="E9" s="9" t="n">
        <v>20738</v>
      </c>
      <c r="F9" s="9" t="n">
        <v>244982</v>
      </c>
    </row>
    <row r="10">
      <c r="A10" s="8" t="inlineStr">
        <is>
          <t xml:space="preserve">    + Depreciation (reported)</t>
        </is>
      </c>
      <c r="B10" s="9" t="n">
        <v>158275</v>
      </c>
      <c r="C10" s="9" t="n">
        <v>153869</v>
      </c>
      <c r="D10" s="9" t="n">
        <v>144693</v>
      </c>
      <c r="E10" s="9" t="n">
        <v>136726</v>
      </c>
      <c r="F10" s="9" t="n">
        <v>123516</v>
      </c>
    </row>
    <row r="11">
      <c r="A11" s="8" t="inlineStr">
        <is>
          <t xml:space="preserve">    − Δ Accounts receivable</t>
        </is>
      </c>
      <c r="B11" s="9" t="n"/>
      <c r="C11" s="9" t="n">
        <v>0</v>
      </c>
      <c r="D11" s="9" t="n">
        <v>0</v>
      </c>
      <c r="E11" s="9" t="n">
        <v>0</v>
      </c>
      <c r="F11" s="9" t="n">
        <v>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-1005</v>
      </c>
      <c r="D13" s="9" t="n">
        <v>-24</v>
      </c>
      <c r="E13" s="9" t="n">
        <v>1029</v>
      </c>
      <c r="F13" s="9" t="n">
        <v>0</v>
      </c>
    </row>
    <row r="14">
      <c r="A14" s="8" t="inlineStr">
        <is>
          <t xml:space="preserve">    + Δ Accounts payable</t>
        </is>
      </c>
      <c r="B14" s="9" t="n"/>
      <c r="C14" s="9" t="n"/>
      <c r="D14" s="9" t="n"/>
      <c r="E14" s="9" t="n"/>
      <c r="F14" s="9" t="n">
        <v>-1728</v>
      </c>
    </row>
    <row r="15">
      <c r="A15" s="10" t="inlineStr">
        <is>
          <t xml:space="preserve">    Operating cash flow proxy</t>
        </is>
      </c>
      <c r="B15" s="11" t="n"/>
      <c r="C15" s="11" t="n">
        <v>486826</v>
      </c>
      <c r="D15" s="11" t="n">
        <v>339198</v>
      </c>
      <c r="E15" s="11" t="n">
        <v>158493</v>
      </c>
      <c r="F15" s="11" t="n">
        <v>366770</v>
      </c>
    </row>
    <row r="17">
      <c r="A17" s="6" t="inlineStr">
        <is>
          <t>Investing</t>
        </is>
      </c>
      <c r="B17" s="7" t="n"/>
      <c r="C17" s="7" t="n"/>
      <c r="D17" s="7" t="n"/>
      <c r="E17" s="7" t="n"/>
      <c r="F17" s="7" t="n"/>
    </row>
    <row r="18">
      <c r="A18" s="8" t="inlineStr">
        <is>
          <t xml:space="preserve">    − Δ PP&amp;E gross (capex proxy)</t>
        </is>
      </c>
      <c r="B18" s="9" t="n"/>
      <c r="C18" s="9" t="n">
        <v>-347549</v>
      </c>
      <c r="D18" s="9" t="n">
        <v>-119528</v>
      </c>
      <c r="E18" s="9" t="n">
        <v>-86491</v>
      </c>
      <c r="F18" s="9" t="n">
        <v>-31918</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138538</v>
      </c>
      <c r="D24" s="11" t="n">
        <v>231054</v>
      </c>
      <c r="E24" s="11" t="n">
        <v>64410</v>
      </c>
      <c r="F24" s="11" t="n">
        <v>334854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Cayucos Beach Mutual Water Company</t>
        </is>
      </c>
    </row>
    <row r="2">
      <c r="A2" s="2" t="inlineStr">
        <is>
          <t>Financial Ratios</t>
        </is>
      </c>
    </row>
    <row r="3">
      <c r="A3" s="2" t="inlineStr">
        <is>
          <t>Entity ID: cawc_0043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-0.2134926219394051</v>
      </c>
      <c r="C7" s="12" t="n">
        <v>0.3009884178374856</v>
      </c>
      <c r="D7" s="12" t="n">
        <v>0.2016295875553492</v>
      </c>
      <c r="E7" s="12" t="n">
        <v>0.02037055591245121</v>
      </c>
      <c r="F7" s="12" t="n">
        <v>0.2439539779369736</v>
      </c>
    </row>
    <row r="8">
      <c r="A8" s="8" t="inlineStr">
        <is>
          <t xml:space="preserve">    Expense ratio (expenses / revenue)</t>
        </is>
      </c>
      <c r="B8" s="12" t="n">
        <v>1.213492621939405</v>
      </c>
      <c r="C8" s="12" t="n">
        <v>0.6990115821625144</v>
      </c>
      <c r="D8" s="12" t="n">
        <v>0.7983704124446508</v>
      </c>
      <c r="E8" s="12" t="n">
        <v>0.9796294440875488</v>
      </c>
      <c r="F8" s="12" t="n">
        <v>0.7560460220630264</v>
      </c>
    </row>
    <row r="9">
      <c r="A9" s="8" t="inlineStr">
        <is>
          <t xml:space="preserve">    Return on assets (NI / assets)</t>
        </is>
      </c>
      <c r="B9" s="12" t="n">
        <v>-0.08364657898984669</v>
      </c>
      <c r="C9" s="12" t="n">
        <v>0.1177559923992904</v>
      </c>
      <c r="D9" s="12" t="n">
        <v>0.06394848854227071</v>
      </c>
      <c r="E9" s="12" t="n">
        <v>0.006787967184181791</v>
      </c>
      <c r="F9" s="12" t="n">
        <v>0.07427374645506291</v>
      </c>
    </row>
    <row r="10">
      <c r="A10" s="8" t="inlineStr">
        <is>
          <t xml:space="preserve">    Revenue growth (YoY)</t>
        </is>
      </c>
      <c r="B10" s="12" t="n">
        <v>0.04549554448161819</v>
      </c>
      <c r="C10" s="12" t="n">
        <v>0.1314906027880605</v>
      </c>
      <c r="D10" s="12" t="n">
        <v>-0.1304734978383148</v>
      </c>
      <c r="E10" s="12" t="n">
        <v>0.05519784739382079</v>
      </c>
      <c r="F10" s="12" t="n">
        <v>-0.01357906089949491</v>
      </c>
    </row>
    <row r="12">
      <c r="A12" s="6" t="inlineStr">
        <is>
          <t>Leverage &amp; solvency</t>
        </is>
      </c>
      <c r="B12" s="7" t="n"/>
      <c r="C12" s="7" t="n"/>
      <c r="D12" s="7" t="n"/>
      <c r="E12" s="7" t="n"/>
      <c r="F12" s="7" t="n"/>
    </row>
    <row r="13">
      <c r="A13" s="8" t="inlineStr">
        <is>
          <t xml:space="preserve">    Debt-to-assets (liab. / assets)</t>
        </is>
      </c>
      <c r="B13" s="12" t="n">
        <v>0.0002952659951063357</v>
      </c>
      <c r="C13" s="12" t="n">
        <v>0</v>
      </c>
      <c r="D13" s="12" t="n">
        <v>0.003742319106997979</v>
      </c>
      <c r="E13" s="12" t="n">
        <v>0.001241852999169916</v>
      </c>
      <c r="F13" s="12" t="n">
        <v>0.0006263707544887378</v>
      </c>
    </row>
    <row r="14">
      <c r="A14" s="8" t="inlineStr">
        <is>
          <t xml:space="preserve">    Equity ratio (net assets / assets)</t>
        </is>
      </c>
      <c r="B14" s="12" t="n">
        <v>0.9997047340048937</v>
      </c>
      <c r="C14" s="12" t="n">
        <v>1</v>
      </c>
      <c r="D14" s="12" t="n">
        <v>0.996257680893002</v>
      </c>
      <c r="E14" s="12" t="n">
        <v>0.9987581470008301</v>
      </c>
      <c r="F14" s="12" t="n">
        <v>0.9993736292455112</v>
      </c>
    </row>
    <row r="16">
      <c r="A16" s="6" t="inlineStr">
        <is>
          <t>Liquidity &amp; asset profile (derived here)</t>
        </is>
      </c>
      <c r="B16" s="7" t="n"/>
      <c r="C16" s="7" t="n"/>
      <c r="D16" s="7" t="n"/>
      <c r="E16" s="7" t="n"/>
      <c r="F16" s="7" t="n"/>
    </row>
    <row r="17">
      <c r="A17" s="8" t="inlineStr">
        <is>
          <t xml:space="preserve">    Current ratio (current assets / AP)</t>
        </is>
      </c>
      <c r="B17" s="19" t="n">
        <v>1549.983761840325</v>
      </c>
      <c r="C17" s="19" t="n"/>
      <c r="D17" s="19" t="n"/>
      <c r="E17" s="19" t="n">
        <v>416.2994201370585</v>
      </c>
      <c r="F17" s="19" t="n">
        <v>926.5701839303001</v>
      </c>
    </row>
    <row r="18">
      <c r="A18" s="8" t="inlineStr">
        <is>
          <t xml:space="preserve">    Cash ratio ((cash+temp inv.) / total liab.)</t>
        </is>
      </c>
      <c r="B18" s="19" t="n">
        <v>1549.983761840325</v>
      </c>
      <c r="C18" s="19" t="n"/>
      <c r="D18" s="19" t="n">
        <v>133.0841531974701</v>
      </c>
      <c r="E18" s="19" t="n">
        <v>416.2994201370585</v>
      </c>
      <c r="F18" s="19" t="n">
        <v>926.5701839303001</v>
      </c>
    </row>
    <row r="19">
      <c r="A19" s="8" t="inlineStr">
        <is>
          <t xml:space="preserve">    Asset age proxy (accum. deprec. / gross PP&amp;E)</t>
        </is>
      </c>
      <c r="B19" s="12" t="n">
        <v>0.6709048544706664</v>
      </c>
      <c r="C19" s="12" t="n">
        <v>0.6531645065581739</v>
      </c>
      <c r="D19" s="12" t="n">
        <v>0.667679793522568</v>
      </c>
      <c r="E19" s="12" t="n">
        <v>0.6845687199251023</v>
      </c>
      <c r="F19" s="12" t="n">
        <v>0.7061624923537008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Cayucos Beach Mutual Water Company</t>
        </is>
      </c>
    </row>
    <row r="2">
      <c r="A2" s="2" t="inlineStr">
        <is>
          <t>Unit economics - per-customer revenue by category (USD)</t>
        </is>
      </c>
    </row>
    <row r="3">
      <c r="A3" s="2" t="inlineStr">
        <is>
          <t>Entity ID: cawc_0043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778</v>
      </c>
      <c r="C6" s="22" t="inlineStr">
        <is>
          <t>State Water Board eAR Section 4 (CurTotalConnections), reporting year 2024</t>
        </is>
      </c>
    </row>
    <row r="7">
      <c r="A7" s="20" t="inlineStr">
        <is>
          <t>Total annual revenue (eAR Section 8b B1.8)</t>
        </is>
      </c>
      <c r="B7" s="9" t="n">
        <v>950417</v>
      </c>
      <c r="C7" s="22" t="inlineStr">
        <is>
          <t>State Water Board eAR Section 8b, question B1.8 (total annual revenue), reporting year 2024</t>
        </is>
      </c>
    </row>
    <row r="8">
      <c r="A8" s="20" t="inlineStr">
        <is>
          <t>Primary source</t>
        </is>
      </c>
      <c r="B8" s="23" t="inlineStr"/>
      <c r="C8" s="22"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859003</v>
      </c>
      <c r="D12" s="25" t="n">
        <v>1104.12</v>
      </c>
      <c r="E12" s="26" t="n">
        <v>0.9038</v>
      </c>
    </row>
    <row r="13">
      <c r="A13" s="8" t="inlineStr">
        <is>
          <t>Assessment revenue (990 program-service revenue not matched to eAR water-rate revenue)</t>
        </is>
      </c>
      <c r="B13" s="24" t="inlineStr">
        <is>
          <t>DERIVED</t>
        </is>
      </c>
      <c r="C13" s="9" t="n">
        <v>27653</v>
      </c>
      <c r="D13" s="25" t="n">
        <v>35.54</v>
      </c>
      <c r="E13" s="26" t="n">
        <v>0.0312</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859003</v>
      </c>
      <c r="C19" s="22" t="inlineStr">
        <is>
          <t>eAR Section 8b field B1.1 (residential water rates) + B1.2 (non-residential water rates). State Water Board eAR Section 8b, question B1.1 + B1.2 (revenue from water rates), reporting year 2024</t>
        </is>
      </c>
    </row>
    <row r="20">
      <c r="A20" s="20" t="inlineStr">
        <is>
          <t>Denominator: Total service connections</t>
        </is>
      </c>
      <c r="B20" s="21" t="n">
        <v>778</v>
      </c>
      <c r="C20" s="22" t="inlineStr">
        <is>
          <t>eAR Section 4 CurTotalConnections, reporting year 2024. State Water Board eAR Section 4 (CurTotalConnections), reporting year 2024</t>
        </is>
      </c>
    </row>
    <row r="21" ht="36" customHeight="1">
      <c r="A21" s="3" t="inlineStr">
        <is>
          <t>Per customer: water rate revenue $859,003 / 778 connections = $1,104.12 per connection</t>
        </is>
      </c>
    </row>
    <row r="22" ht="36" customHeight="1">
      <c r="A22" s="3" t="inlineStr">
        <is>
          <t>Share of revenue: water rate revenue $859,003 / total annual revenue (eAR Section 8b B1.8) $950,417 = 90.38%</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886656</v>
      </c>
      <c r="C28" s="22" t="inlineStr">
        <is>
          <t>Form 990 Part VIII line 2 (total program-service revenue), fiscal year 2024 ending December 31, 2024</t>
        </is>
      </c>
    </row>
    <row r="29">
      <c r="A29" s="20" t="inlineStr">
        <is>
          <t>Input B: eAR water-rate revenue</t>
        </is>
      </c>
      <c r="B29" s="9" t="n">
        <v>859003</v>
      </c>
      <c r="C29" s="22" t="inlineStr">
        <is>
          <t>State Water Board eAR Section 8b, question B1.1 + B1.2 (revenue from water rates), reporting year 2024</t>
        </is>
      </c>
    </row>
    <row r="30">
      <c r="A30" s="15" t="inlineStr">
        <is>
          <t>Residual (A minus B) = assessment revenue</t>
        </is>
      </c>
      <c r="B30" s="16">
        <f>B28-B29</f>
        <v/>
      </c>
      <c r="C30" s="22" t="inlineStr">
        <is>
          <t>$886,656 (990 program-service revenue) minus $859,003 (eAR water-rate revenue) = $27,653</t>
        </is>
      </c>
    </row>
    <row r="31" ht="66" customHeight="1">
      <c r="A31" s="3" t="inlineStr">
        <is>
          <t>Period alignment: Both inputs cover the same period: the eAR Section 8b is the calendar year 2024 and the Form 990 fiscal year 2024 ends December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778</v>
      </c>
      <c r="C34" s="22" t="inlineStr">
        <is>
          <t>eAR Section 4 CurTotalConnections, reporting year 2024. State Water Board eAR Section 4 (CurTotalConnections), reporting year 2024</t>
        </is>
      </c>
    </row>
    <row r="35" ht="36" customHeight="1">
      <c r="A35" s="3" t="inlineStr">
        <is>
          <t>Per customer: residual $27,653 / 778 connections = $35.54 per connection</t>
        </is>
      </c>
    </row>
    <row r="36" ht="36" customHeight="1">
      <c r="A36" s="3" t="inlineStr">
        <is>
          <t>Share of revenue: residual $27,653 / 990 program-service revenue $886,656 = 3.12%</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3"/>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Cayucos Beach Mutual Water Company</t>
        </is>
      </c>
    </row>
    <row r="2">
      <c r="A2" s="2" t="inlineStr">
        <is>
          <t>Rate structure and representative bill - eAR Section 8a (RY2024)</t>
        </is>
      </c>
    </row>
    <row r="3">
      <c r="A3" s="2" t="inlineStr">
        <is>
          <t>Entity ID: cawc_0043   |   Fiscal year ends December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51" customHeight="1">
      <c r="A6" s="29" t="inlineStr">
        <is>
          <t>Structure: Tiered increasing-block with a fixed base, billed bimonthly, priced per Thousand Gallons.</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0" t="inlineStr"/>
      <c r="B10" s="5" t="inlineStr">
        <is>
          <t>Low</t>
        </is>
      </c>
      <c r="C10" s="5" t="inlineStr">
        <is>
          <t>Median</t>
        </is>
      </c>
      <c r="D10" s="5" t="inlineStr">
        <is>
          <t>High</t>
        </is>
      </c>
    </row>
    <row r="11">
      <c r="A11" s="8" t="inlineStr">
        <is>
          <t>Defined usage level (HCF per month)</t>
        </is>
      </c>
      <c r="B11" s="31" t="n">
        <v>5</v>
      </c>
      <c r="C11" s="31" t="n">
        <v>10</v>
      </c>
      <c r="D11" s="31" t="n">
        <v>25</v>
      </c>
    </row>
    <row r="12">
      <c r="A12" s="8" t="inlineStr">
        <is>
          <t>Conversion: one HCF is this many Thousand Gallons</t>
        </is>
      </c>
      <c r="B12" s="32" t="n">
        <v>0.748</v>
      </c>
      <c r="C12" s="13" t="inlineStr">
        <is>
          <t>1 HCF = 748 gallons</t>
        </is>
      </c>
    </row>
    <row r="13">
      <c r="A13" s="8" t="inlineStr">
        <is>
          <t>Monthly usage (Thousand Gallons)</t>
        </is>
      </c>
      <c r="B13" s="31">
        <f>B11*$B$12</f>
        <v/>
      </c>
      <c r="C13" s="31">
        <f>C11*$B$12</f>
        <v/>
      </c>
      <c r="D13" s="31">
        <f>D11*$B$12</f>
        <v/>
      </c>
    </row>
    <row r="14">
      <c r="A14" s="8" t="inlineStr">
        <is>
          <t>Months per bill (from filed billing frequency)</t>
        </is>
      </c>
      <c r="B14" s="33" t="n">
        <v>2</v>
      </c>
      <c r="C14" s="13" t="inlineStr">
        <is>
          <t>bimonthly biller</t>
        </is>
      </c>
    </row>
    <row r="16">
      <c r="A16" s="6" t="inlineStr">
        <is>
          <t>Filed rate table - single-family residential (as filed, eAR Section 8a)</t>
        </is>
      </c>
      <c r="B16" s="7" t="n"/>
      <c r="C16" s="7" t="n"/>
      <c r="D16" s="7" t="n"/>
    </row>
    <row r="17">
      <c r="A17" s="8" t="inlineStr">
        <is>
          <t>Base / fixed charge per bimonthly bill ($)</t>
        </is>
      </c>
      <c r="B17" s="25" t="n">
        <v>40</v>
      </c>
    </row>
    <row r="18">
      <c r="A18" s="4" t="inlineStr">
        <is>
          <t>Tier</t>
        </is>
      </c>
      <c r="B18" s="4" t="inlineStr">
        <is>
          <t>Range (Thousand Gallons)</t>
        </is>
      </c>
      <c r="C18" s="34" t="inlineStr">
        <is>
          <t>Price ($/Thousand Gallons)</t>
        </is>
      </c>
      <c r="D18" s="34" t="inlineStr">
        <is>
          <t>Upper limit (Thousand Gallons)</t>
        </is>
      </c>
    </row>
    <row r="19">
      <c r="A19" s="8" t="inlineStr">
        <is>
          <t>Tier 1</t>
        </is>
      </c>
      <c r="B19" s="8" t="inlineStr">
        <is>
          <t>0 to 1000 Thousand Gallons</t>
        </is>
      </c>
      <c r="C19" s="35" t="n">
        <v>13.36</v>
      </c>
      <c r="D19" s="36" t="n">
        <v>1000</v>
      </c>
    </row>
    <row r="20">
      <c r="A20" s="8" t="inlineStr">
        <is>
          <t>Tier 2</t>
        </is>
      </c>
      <c r="B20" s="8" t="inlineStr">
        <is>
          <t>over 1000 Thousand Gallons</t>
        </is>
      </c>
      <c r="C20" s="35" t="n">
        <v>13.36</v>
      </c>
      <c r="D20" s="36" t="inlineStr">
        <is>
          <t>no limit</t>
        </is>
      </c>
    </row>
    <row r="22">
      <c r="A22" s="6" t="inlineStr">
        <is>
          <t>Representative monthly bill - LIVE (edit a yellow usage cell to recompute)</t>
        </is>
      </c>
      <c r="B22" s="7" t="n"/>
      <c r="C22" s="7" t="n"/>
      <c r="D22" s="7" t="n"/>
    </row>
    <row r="23">
      <c r="A23" s="30" t="inlineStr"/>
      <c r="B23" s="5" t="inlineStr">
        <is>
          <t>Low</t>
        </is>
      </c>
      <c r="C23" s="5" t="inlineStr">
        <is>
          <t>Median</t>
        </is>
      </c>
      <c r="D23" s="5" t="inlineStr">
        <is>
          <t>High</t>
        </is>
      </c>
    </row>
    <row r="24">
      <c r="A24" s="8" t="inlineStr">
        <is>
          <t>Usage per bill (Thousand Gallons)</t>
        </is>
      </c>
      <c r="B24" s="37">
        <f>B13*$B$14</f>
        <v/>
      </c>
      <c r="C24" s="37">
        <f>C13*$B$14</f>
        <v/>
      </c>
      <c r="D24" s="37">
        <f>D13*$B$14</f>
        <v/>
      </c>
    </row>
    <row r="25">
      <c r="A25" s="8" t="inlineStr">
        <is>
          <t xml:space="preserve">    Tier 1 charge per bill ($)</t>
        </is>
      </c>
      <c r="B25" s="38">
        <f>$C$19*MAX(0,MIN(B24,$D$19)-0)</f>
        <v/>
      </c>
      <c r="C25" s="38">
        <f>$C$19*MAX(0,MIN(C24,$D$19)-0)</f>
        <v/>
      </c>
      <c r="D25" s="38">
        <f>$C$19*MAX(0,MIN(D24,$D$19)-0)</f>
        <v/>
      </c>
    </row>
    <row r="26">
      <c r="A26" s="8" t="inlineStr">
        <is>
          <t xml:space="preserve">    Tier 2 charge per bill ($)</t>
        </is>
      </c>
      <c r="B26" s="38">
        <f>$C$20*MAX(0,B24-$D$19)</f>
        <v/>
      </c>
      <c r="C26" s="38">
        <f>$C$20*MAX(0,C24-$D$19)</f>
        <v/>
      </c>
      <c r="D26" s="38">
        <f>$C$20*MAX(0,D24-$D$19)</f>
        <v/>
      </c>
    </row>
    <row r="27">
      <c r="A27" s="8" t="inlineStr">
        <is>
          <t>Volumetric charge per bill ($)</t>
        </is>
      </c>
      <c r="B27" s="38">
        <f>SUM(B25,B26)</f>
        <v/>
      </c>
      <c r="C27" s="38">
        <f>SUM(C25,C26)</f>
        <v/>
      </c>
      <c r="D27" s="38">
        <f>SUM(D25,D26)</f>
        <v/>
      </c>
    </row>
    <row r="28">
      <c r="A28" s="8" t="inlineStr">
        <is>
          <t>Base charge per bill ($)</t>
        </is>
      </c>
      <c r="B28" s="38">
        <f>$B$17</f>
        <v/>
      </c>
      <c r="C28" s="38">
        <f>$B$17</f>
        <v/>
      </c>
      <c r="D28" s="38">
        <f>$B$17</f>
        <v/>
      </c>
    </row>
    <row r="29">
      <c r="A29" s="8" t="inlineStr">
        <is>
          <t>Total per bill ($)</t>
        </is>
      </c>
      <c r="B29" s="38">
        <f>B28+B27</f>
        <v/>
      </c>
      <c r="C29" s="38">
        <f>C28+C27</f>
        <v/>
      </c>
      <c r="D29" s="38">
        <f>D28+D27</f>
        <v/>
      </c>
    </row>
    <row r="30">
      <c r="A30" s="10" t="inlineStr">
        <is>
          <t>Total per MONTH ($)</t>
        </is>
      </c>
      <c r="B30" s="39">
        <f>B29/$B$14</f>
        <v/>
      </c>
      <c r="C30" s="39">
        <f>C29/$B$14</f>
        <v/>
      </c>
      <c r="D30" s="39">
        <f>D29/$B$14</f>
        <v/>
      </c>
    </row>
    <row r="31">
      <c r="A31" s="8" t="inlineStr">
        <is>
          <t xml:space="preserve">    Fixed per month ($)</t>
        </is>
      </c>
      <c r="B31" s="38">
        <f>$B$17/$B$14</f>
        <v/>
      </c>
      <c r="C31" s="38">
        <f>$B$17/$B$14</f>
        <v/>
      </c>
      <c r="D31" s="38">
        <f>$B$17/$B$14</f>
        <v/>
      </c>
    </row>
    <row r="32">
      <c r="A32" s="8" t="inlineStr">
        <is>
          <t xml:space="preserve">    Volumetric per month ($)</t>
        </is>
      </c>
      <c r="B32" s="38">
        <f>B27/$B$14</f>
        <v/>
      </c>
      <c r="C32" s="38">
        <f>C27/$B$14</f>
        <v/>
      </c>
      <c r="D32" s="38">
        <f>D27/$B$14</f>
        <v/>
      </c>
    </row>
    <row r="33">
      <c r="A33" s="8" t="inlineStr">
        <is>
          <t>Effective price ($/HCF)</t>
        </is>
      </c>
      <c r="B33" s="38">
        <f>IF(B11=0,"",B30/B11)</f>
        <v/>
      </c>
      <c r="C33" s="38">
        <f>IF(C11=0,"",C30/C11)</f>
        <v/>
      </c>
      <c r="D33" s="38">
        <f>IF(D11=0,"",D30/D11)</f>
        <v/>
      </c>
    </row>
    <row r="35">
      <c r="A35" s="6" t="inlineStr">
        <is>
          <t>Rate-structure comparison metrics</t>
        </is>
      </c>
      <c r="B35" s="7" t="n"/>
      <c r="C35" s="7" t="n"/>
      <c r="D35" s="7" t="n"/>
    </row>
    <row r="36">
      <c r="A36" s="8" t="inlineStr">
        <is>
          <t>Fixed share of the bill at median usage</t>
        </is>
      </c>
      <c r="B36" s="40">
        <f>C31/C30</f>
        <v/>
      </c>
      <c r="C36" s="13" t="inlineStr">
        <is>
          <t>fixed / total at 10 HCF/month</t>
        </is>
      </c>
    </row>
    <row r="37">
      <c r="A37" s="8" t="inlineStr">
        <is>
          <t>Tier price ratio (highest to lowest positive tier)</t>
        </is>
      </c>
      <c r="B37" s="41">
        <f>$C$19/$C$19</f>
        <v/>
      </c>
      <c r="C37" s="13" t="inlineStr">
        <is>
          <t>highest filed tier price divided by lowest filed tier price.</t>
        </is>
      </c>
    </row>
    <row r="38">
      <c r="A38" s="8" t="inlineStr">
        <is>
          <t>Rate structure (as filed)</t>
        </is>
      </c>
      <c r="B38" s="42" t="inlineStr">
        <is>
          <t>tiered (Variable Base)</t>
        </is>
      </c>
    </row>
    <row r="40">
      <c r="A40" s="6" t="inlineStr">
        <is>
          <t>Flagged (carried as filed, never reconciled)</t>
        </is>
      </c>
      <c r="B40" s="7" t="n"/>
      <c r="C40" s="7" t="n"/>
      <c r="D40" s="7" t="n"/>
    </row>
    <row r="41" ht="81" customHeight="1">
      <c r="A41" s="29" t="inlineStr">
        <is>
          <t>The single-family base charge or tier thresholds filed for RY2024 differ from RY2023, yet the eAR answer to whether rates changed is "No". Carried exactly as filed; both years are preserved and the difference is surfaced, never reconciled.</t>
        </is>
      </c>
    </row>
    <row r="42" ht="51" customHeight="1">
      <c r="A42" s="3" t="inlineStr">
        <is>
          <t>RY2023: base $80.00, tier upper thresholds [1.0, None]. RY2024: base $40.00, tier upper thresholds [1000.0, None].</t>
        </is>
      </c>
    </row>
    <row r="43" ht="66" customHeight="1">
      <c r="A43" s="3" t="inlineStr">
        <is>
          <t>State Water Board eAR Section 8a (Customer Charges), single- and multi-family residential charges grid, reporting year 2024. Rate structure only; no revenue.</t>
        </is>
      </c>
    </row>
  </sheetData>
  <mergeCells count="9">
    <mergeCell ref="A1:D1"/>
    <mergeCell ref="A5:D5"/>
    <mergeCell ref="A6:D6"/>
    <mergeCell ref="A3:D3"/>
    <mergeCell ref="A7:D7"/>
    <mergeCell ref="A43:D43"/>
    <mergeCell ref="A41:D41"/>
    <mergeCell ref="A2:D2"/>
    <mergeCell ref="A42:D4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Cayucos Beach Mutual Water Company</t>
        </is>
      </c>
    </row>
    <row r="2">
      <c r="A2" s="2" t="inlineStr">
        <is>
          <t>eAR annual revenue and expenses - State Water Board eAR Section 8b (USD)</t>
        </is>
      </c>
    </row>
    <row r="3">
      <c r="A3" s="2" t="inlineStr">
        <is>
          <t>Entity ID: cawc_0043   |   Fiscal year ends December 31.</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calendar year 2024</t>
        </is>
      </c>
      <c r="C6" s="22"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859003</v>
      </c>
      <c r="C10" s="22" t="inlineStr">
        <is>
          <t>State Water Board eAR Section 8b, question B1.1 + B1.2 (revenue from water rates), reporting year 2024</t>
        </is>
      </c>
    </row>
    <row r="11">
      <c r="A11" s="20" t="inlineStr">
        <is>
          <t>Other fees and charges</t>
        </is>
      </c>
      <c r="B11" s="9" t="n">
        <v>35514</v>
      </c>
      <c r="C11" s="22" t="inlineStr">
        <is>
          <t>State Water Board eAR Section 8b, question B1.3 + B1.4 (revenue from other fees), reporting year 2024</t>
        </is>
      </c>
    </row>
    <row r="12">
      <c r="A12" s="20" t="inlineStr">
        <is>
          <t>Non-customer revenue</t>
        </is>
      </c>
      <c r="B12" s="9" t="n">
        <v>55900</v>
      </c>
      <c r="C12" s="22" t="inlineStr">
        <is>
          <t>State Water Board eAR Section 8b, question B1.7 (grants, interest, and other non-customer), reporting year 2024</t>
        </is>
      </c>
    </row>
    <row r="13">
      <c r="A13" s="20" t="inlineStr">
        <is>
          <t>Total annual revenue</t>
        </is>
      </c>
      <c r="B13" s="43" t="n">
        <v>950417</v>
      </c>
      <c r="C13" s="22"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634089</v>
      </c>
      <c r="C17" s="22" t="inlineStr">
        <is>
          <t>State Water Board eAR Section 8b, question B2.1 (annual O and M expense), reporting year 2024</t>
        </is>
      </c>
    </row>
    <row r="18">
      <c r="A18" s="20" t="inlineStr">
        <is>
          <t>Capital</t>
        </is>
      </c>
      <c r="B18" s="9" t="n">
        <v>3355</v>
      </c>
      <c r="C18" s="22" t="inlineStr">
        <is>
          <t>State Water Board eAR Section 8b, question B2.2 (annual expenses from investing or capital), reporting year 2024</t>
        </is>
      </c>
    </row>
    <row r="19">
      <c r="A19" s="20" t="inlineStr">
        <is>
          <t>Financing</t>
        </is>
      </c>
      <c r="B19" s="9" t="n">
        <v>0</v>
      </c>
      <c r="C19" s="22" t="inlineStr">
        <is>
          <t>State Water Board eAR Section 8b, question B2.3 (annual expenses from financing), reporting year 2024</t>
        </is>
      </c>
    </row>
    <row r="20">
      <c r="A20" s="20" t="inlineStr">
        <is>
          <t>Other</t>
        </is>
      </c>
      <c r="B20" s="9" t="n">
        <v>0</v>
      </c>
      <c r="C20" s="22" t="inlineStr">
        <is>
          <t>State Water Board eAR Section 8b, question B2.4 (total other annual expenses), reporting year 2024</t>
        </is>
      </c>
    </row>
    <row r="21">
      <c r="A21" s="20" t="inlineStr">
        <is>
          <t>Total annual expenses</t>
        </is>
      </c>
      <c r="B21" s="43" t="n">
        <v>637444</v>
      </c>
      <c r="C21" s="22"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950417</v>
      </c>
      <c r="C25" s="9" t="n">
        <v>1004214</v>
      </c>
    </row>
    <row r="26">
      <c r="A26" s="15" t="inlineStr">
        <is>
          <t>Variance (eAR minus Form 990)</t>
        </is>
      </c>
      <c r="B26" s="16">
        <f>B25-C25</f>
        <v/>
      </c>
      <c r="C26" s="44" t="n"/>
    </row>
    <row r="27" ht="126" customHeight="1">
      <c r="A27" s="3" t="inlineStr">
        <is>
          <t>The eAR Section 8b total revenue (State Water Board self-report, calendar year 2024) and the Form 990 total revenue (IRS filing) are a different source and cover the same calendar year 2024. Both are carried as filed; the variance is surfaced, never reconciled.</t>
        </is>
      </c>
    </row>
    <row r="28">
      <c r="A28" s="8" t="inlineStr">
        <is>
          <t>total expenses</t>
        </is>
      </c>
      <c r="B28" s="9" t="n">
        <v>637444</v>
      </c>
      <c r="C28" s="9" t="n">
        <v>759232</v>
      </c>
    </row>
    <row r="29">
      <c r="A29" s="15" t="inlineStr">
        <is>
          <t>Variance (eAR minus Form 990)</t>
        </is>
      </c>
      <c r="B29" s="16">
        <f>B28-C28</f>
        <v/>
      </c>
      <c r="C29" s="44" t="n"/>
    </row>
    <row r="30" ht="126" customHeight="1">
      <c r="A30" s="3" t="inlineStr">
        <is>
          <t>The eAR Section 8b total expenses (State Water Board self-report, calendar year 2024) and the Form 990 total expenses (IRS filing) are a different source and cover the same calendar year 2024.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Cayucos Beach Mutual Water Company</t>
        </is>
      </c>
    </row>
    <row r="2">
      <c r="A2" s="2" t="inlineStr">
        <is>
          <t>Denominators and calendar alignment</t>
        </is>
      </c>
    </row>
    <row r="3">
      <c r="A3" s="2" t="inlineStr">
        <is>
          <t>Entity ID: cawc_0043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1" t="n">
        <v>778</v>
      </c>
      <c r="C7" s="22" t="inlineStr">
        <is>
          <t>State Water Board eAR Section 4 (CurTotalConnections), reporting year 2024</t>
        </is>
      </c>
    </row>
    <row r="8">
      <c r="A8" s="20" t="inlineStr">
        <is>
          <t>Member (shareholder)</t>
        </is>
      </c>
      <c r="B8" s="23" t="n"/>
      <c r="C8" s="22"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(2020-12-31)</t>
        </is>
      </c>
      <c r="B13" s="21" t="n">
        <v>783</v>
      </c>
      <c r="C13" s="14" t="inlineStr">
        <is>
          <t>not reported</t>
        </is>
      </c>
      <c r="D13" s="21" t="n">
        <v>162.3</v>
      </c>
      <c r="E13" s="14" t="inlineStr">
        <is>
          <t>not reported</t>
        </is>
      </c>
      <c r="F13" s="14" t="inlineStr">
        <is>
          <t>not reported</t>
        </is>
      </c>
      <c r="G13" s="23" t="inlineStr">
        <is>
          <t>eAR annual total, calendar filer, equals fiscal year (not a monthly recast)</t>
        </is>
      </c>
    </row>
    <row r="14" ht="40" customHeight="1">
      <c r="A14" s="8" t="inlineStr">
        <is>
          <t>FY2021 (2021-12-31)</t>
        </is>
      </c>
      <c r="B14" s="21" t="n">
        <v>783</v>
      </c>
      <c r="C14" s="14" t="inlineStr">
        <is>
          <t>not reported</t>
        </is>
      </c>
      <c r="D14" s="21" t="n">
        <v>162.3</v>
      </c>
      <c r="E14" s="14" t="inlineStr">
        <is>
          <t>not reported</t>
        </is>
      </c>
      <c r="F14" s="14" t="inlineStr">
        <is>
          <t>not reported</t>
        </is>
      </c>
      <c r="G14" s="23" t="inlineStr">
        <is>
          <t>eAR annual total, calendar filer, equals fiscal year (not a monthly recast)</t>
        </is>
      </c>
    </row>
    <row r="15" ht="40" customHeight="1">
      <c r="A15" s="8" t="inlineStr">
        <is>
          <t>FY2022 (2022-12-31)</t>
        </is>
      </c>
      <c r="B15" s="21" t="n">
        <v>778</v>
      </c>
      <c r="C15" s="14" t="inlineStr">
        <is>
          <t>not reported</t>
        </is>
      </c>
      <c r="D15" s="21" t="n">
        <v>162.3</v>
      </c>
      <c r="E15" s="14" t="inlineStr">
        <is>
          <t>not reported</t>
        </is>
      </c>
      <c r="F15" s="14" t="inlineStr">
        <is>
          <t>not reported</t>
        </is>
      </c>
      <c r="G15" s="23" t="inlineStr">
        <is>
          <t>eAR annual total, calendar filer, equals fiscal year (not a monthly recast)</t>
        </is>
      </c>
    </row>
    <row r="16" ht="40" customHeight="1">
      <c r="A16" s="8" t="inlineStr">
        <is>
          <t>FY2023 (2023-12-31)</t>
        </is>
      </c>
      <c r="B16" s="21" t="n">
        <v>778</v>
      </c>
      <c r="C16" s="21" t="n">
        <v>2369</v>
      </c>
      <c r="D16" s="21" t="n">
        <v>162.3</v>
      </c>
      <c r="E16" s="14" t="inlineStr">
        <is>
          <t>not reported</t>
        </is>
      </c>
      <c r="F16" s="14" t="inlineStr">
        <is>
          <t>not reported</t>
        </is>
      </c>
      <c r="G16" s="23" t="inlineStr">
        <is>
          <t>eAR annual total, calendar filer, equals fiscal year (not a monthly recast)</t>
        </is>
      </c>
    </row>
    <row r="17" ht="40" customHeight="1">
      <c r="A17" s="8" t="inlineStr">
        <is>
          <t>FY2024 (2024-12-31)</t>
        </is>
      </c>
      <c r="B17" s="21" t="n">
        <v>778</v>
      </c>
      <c r="C17" s="21" t="n">
        <v>2369</v>
      </c>
      <c r="D17" s="21" t="n">
        <v>162.3</v>
      </c>
      <c r="E17" s="14" t="inlineStr">
        <is>
          <t>not reported</t>
        </is>
      </c>
      <c r="F17" s="14" t="inlineStr">
        <is>
          <t>not reported</t>
        </is>
      </c>
      <c r="G17" s="23" t="inlineStr">
        <is>
          <t>eAR annual total, calendar filer, equals fiscal year (not a monthly recast)</t>
        </is>
      </c>
    </row>
    <row r="19">
      <c r="A19" s="6" t="inlineStr">
        <is>
          <t>Connections by class - FY2024 (eAR Section 4)</t>
        </is>
      </c>
      <c r="B19" s="7" t="n"/>
      <c r="C19" s="7" t="n"/>
      <c r="D19" s="7" t="n"/>
      <c r="E19" s="7" t="n"/>
      <c r="F19" s="7" t="n"/>
      <c r="G19" s="7" t="n"/>
    </row>
    <row r="20">
      <c r="A20" s="20" t="inlineStr">
        <is>
          <t>Single-family residential</t>
        </is>
      </c>
      <c r="B20" s="21" t="n">
        <v>632</v>
      </c>
      <c r="C20" s="22" t="inlineStr"/>
    </row>
    <row r="21">
      <c r="A21" s="20" t="inlineStr">
        <is>
          <t>Multi-family residential</t>
        </is>
      </c>
      <c r="B21" s="21" t="n">
        <v>91</v>
      </c>
      <c r="C21" s="22" t="inlineStr"/>
    </row>
    <row r="22">
      <c r="A22" s="20" t="inlineStr">
        <is>
          <t>Commercial and institutional</t>
        </is>
      </c>
      <c r="B22" s="21" t="n">
        <v>47</v>
      </c>
      <c r="C22" s="22" t="inlineStr"/>
    </row>
    <row r="23">
      <c r="A23" s="20" t="inlineStr">
        <is>
          <t>Landscape irrigation</t>
        </is>
      </c>
      <c r="B23" s="21" t="n">
        <v>8</v>
      </c>
      <c r="C23" s="22" t="inlineStr"/>
    </row>
    <row r="24">
      <c r="A24" s="20" t="inlineStr">
        <is>
          <t>Agricultural</t>
        </is>
      </c>
      <c r="B24" s="21" t="n">
        <v>0</v>
      </c>
      <c r="C24" s="22" t="inlineStr"/>
    </row>
    <row r="25" ht="81" customHeight="1">
      <c r="A25"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G2"/>
    <mergeCell ref="A25:G25"/>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Cayucos Beach Mutual Water Company</t>
        </is>
      </c>
    </row>
    <row r="2">
      <c r="A2" s="2" t="inlineStr">
        <is>
          <t>Operational metrics - plant per acre, density, terrain</t>
        </is>
      </c>
    </row>
    <row r="3">
      <c r="A3" s="2" t="inlineStr">
        <is>
          <t>Entity ID: cawc_0043   |   Fiscal year ends December 31.</t>
        </is>
      </c>
    </row>
    <row r="5">
      <c r="A5" s="6" t="inlineStr">
        <is>
          <t>Plant assets per acre</t>
        </is>
      </c>
      <c r="B5" s="7" t="n"/>
      <c r="C5" s="7" t="n"/>
    </row>
    <row r="6">
      <c r="A6" s="20" t="inlineStr">
        <is>
          <t>Service-area acres</t>
        </is>
      </c>
      <c r="B6" s="45" t="n">
        <v>162.3</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25401.565</v>
      </c>
      <c r="C8" s="9" t="n">
        <v>8359.5317</v>
      </c>
    </row>
    <row r="9">
      <c r="A9" s="18" t="inlineStr">
        <is>
          <t>FY2021</t>
        </is>
      </c>
      <c r="B9" s="9" t="n">
        <v>27542.9636</v>
      </c>
      <c r="C9" s="9" t="n">
        <v>9552.877399999999</v>
      </c>
    </row>
    <row r="10">
      <c r="A10" s="18" t="inlineStr">
        <is>
          <t>FY2022</t>
        </is>
      </c>
      <c r="B10" s="9" t="n">
        <v>28279.427</v>
      </c>
      <c r="C10" s="9" t="n">
        <v>9397.825000000001</v>
      </c>
    </row>
    <row r="11">
      <c r="A11" s="18" t="inlineStr">
        <is>
          <t>FY2023</t>
        </is>
      </c>
      <c r="B11" s="9" t="n">
        <v>28812.3352</v>
      </c>
      <c r="C11" s="9" t="n">
        <v>9088.311799999999</v>
      </c>
    </row>
    <row r="12">
      <c r="A12" s="18" t="inlineStr">
        <is>
          <t>FY2024</t>
        </is>
      </c>
      <c r="B12" s="9" t="n">
        <v>29008.9957</v>
      </c>
      <c r="C12" s="9" t="n">
        <v>8523.931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4.79</v>
      </c>
      <c r="C19" s="22" t="inlineStr">
        <is>
          <t>778 connections / 162.3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Cayucos Beach Mutual Water Company</t>
        </is>
      </c>
    </row>
    <row r="2">
      <c r="A2" s="2" t="inlineStr">
        <is>
          <t>Supply and weather indicators (DWR water year)</t>
        </is>
      </c>
    </row>
    <row r="3">
      <c r="A3" s="2" t="inlineStr">
        <is>
          <t>Entity ID: cawc_0043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6" t="inlineStr">
        <is>
          <t>Dry</t>
        </is>
      </c>
      <c r="C8" s="46" t="inlineStr">
        <is>
          <t>Critical</t>
        </is>
      </c>
      <c r="D8" s="46" t="inlineStr">
        <is>
          <t>Critical</t>
        </is>
      </c>
      <c r="E8" s="46" t="inlineStr">
        <is>
          <t>Wet</t>
        </is>
      </c>
      <c r="F8" s="46" t="inlineStr">
        <is>
          <t>Above Normal</t>
        </is>
      </c>
    </row>
    <row r="9">
      <c r="A9" s="8" t="inlineStr">
        <is>
          <t>Peak drought, San Luis Obispo County</t>
        </is>
      </c>
      <c r="B9" s="46" t="inlineStr">
        <is>
          <t>D1</t>
        </is>
      </c>
      <c r="C9" s="46" t="inlineStr">
        <is>
          <t>D4</t>
        </is>
      </c>
      <c r="D9" s="46" t="inlineStr">
        <is>
          <t>D4</t>
        </is>
      </c>
      <c r="E9" s="46" t="inlineStr">
        <is>
          <t>D4</t>
        </is>
      </c>
      <c r="F9" s="46" t="inlineStr">
        <is>
          <t>None (no D0-D4 during the fiscal year)</t>
        </is>
      </c>
    </row>
    <row r="10">
      <c r="A10" s="8" t="inlineStr">
        <is>
          <t>Precip, percent of normal (8-Station Index)</t>
        </is>
      </c>
      <c r="B10" s="46" t="inlineStr">
        <is>
          <t>63</t>
        </is>
      </c>
      <c r="C10" s="46" t="inlineStr">
        <is>
          <t>48</t>
        </is>
      </c>
      <c r="D10" s="46" t="inlineStr">
        <is>
          <t>86</t>
        </is>
      </c>
      <c r="E10" s="46" t="inlineStr">
        <is>
          <t>133</t>
        </is>
      </c>
      <c r="F10" s="46" t="inlineStr">
        <is>
          <t>96</t>
        </is>
      </c>
    </row>
    <row r="11">
      <c r="A11" s="8" t="inlineStr">
        <is>
          <t>Snowpack, April 1 percent of average</t>
        </is>
      </c>
      <c r="B11" s="46" t="inlineStr">
        <is>
          <t>53%</t>
        </is>
      </c>
      <c r="C11" s="46" t="inlineStr">
        <is>
          <t>59%</t>
        </is>
      </c>
      <c r="D11" s="46" t="inlineStr">
        <is>
          <t>38%</t>
        </is>
      </c>
      <c r="E11" s="46" t="inlineStr">
        <is>
          <t>237%</t>
        </is>
      </c>
      <c r="F11" s="46" t="inlineStr">
        <is>
          <t>110%</t>
        </is>
      </c>
    </row>
    <row r="12">
      <c r="A12" s="8" t="inlineStr">
        <is>
          <t>State Water Project allocation</t>
        </is>
      </c>
      <c r="B12" s="46" t="inlineStr">
        <is>
          <t>20%</t>
        </is>
      </c>
      <c r="C12" s="46" t="inlineStr">
        <is>
          <t>5%</t>
        </is>
      </c>
      <c r="D12" s="46" t="inlineStr">
        <is>
          <t>5%</t>
        </is>
      </c>
      <c r="E12" s="46" t="inlineStr">
        <is>
          <t>100%</t>
        </is>
      </c>
      <c r="F12" s="4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Cayucos Beach Mutual Water Company</t>
        </is>
      </c>
    </row>
    <row r="2">
      <c r="A2" s="2" t="inlineStr">
        <is>
          <t>How this was built - forensic lineage</t>
        </is>
      </c>
    </row>
    <row r="3">
      <c r="A3" s="2" t="inlineStr">
        <is>
          <t>Entity ID: cawc_0043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$886,656 (990 program-service revenue) minus $859,003 (eAR water-rate revenue) = $27,653.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4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Cayucos Beach Mutual Water Company</t>
        </is>
      </c>
    </row>
    <row r="2">
      <c r="A2" s="2" t="inlineStr">
        <is>
          <t>Sources &amp; audit - full provenance and tie-outs (kept off the statements so they read clean)</t>
        </is>
      </c>
    </row>
    <row r="3">
      <c r="A3" s="2" t="inlineStr">
        <is>
          <t>Entity ID: cawc_0043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7"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2020-12-31</t>
        </is>
      </c>
      <c r="C10" s="8" t="inlineStr">
        <is>
          <t>990</t>
        </is>
      </c>
      <c r="D10" s="8" t="inlineStr">
        <is>
          <t>high</t>
        </is>
      </c>
      <c r="E10" s="8" t="inlineStr">
        <is>
          <t>f6487562-961e-4dfb-8758-7e1d30d4110c</t>
        </is>
      </c>
      <c r="F10" s="8" t="inlineStr">
        <is>
          <t>202142879349301934</t>
        </is>
      </c>
      <c r="G10" s="8" t="inlineStr">
        <is>
          <t>claude-opus-5</t>
        </is>
      </c>
      <c r="H10" s="8" t="inlineStr">
        <is>
          <t>2026-09-16T21:34:13+00:00</t>
        </is>
      </c>
      <c r="I10" s="8" t="inlineStr">
        <is>
          <t>https://apps.irs.gov/pub/epostcard/990/xml/2021/2021_TEOS_XML_01A.zip#202142879349301934_public.xml</t>
        </is>
      </c>
    </row>
    <row r="11">
      <c r="A11" s="46" t="inlineStr">
        <is>
          <t>FY2021</t>
        </is>
      </c>
      <c r="B11" s="8" t="inlineStr">
        <is>
          <t>2021-12-31</t>
        </is>
      </c>
      <c r="C11" s="8" t="inlineStr">
        <is>
          <t>990</t>
        </is>
      </c>
      <c r="D11" s="8" t="inlineStr">
        <is>
          <t>high</t>
        </is>
      </c>
      <c r="E11" s="8" t="inlineStr">
        <is>
          <t>da73e3aa-835f-4dbc-9585-403838f89fcc</t>
        </is>
      </c>
      <c r="F11" s="8" t="inlineStr">
        <is>
          <t>202213199349326901</t>
        </is>
      </c>
      <c r="G11" s="8" t="inlineStr">
        <is>
          <t>claude-opus-5</t>
        </is>
      </c>
      <c r="H11" s="8" t="inlineStr">
        <is>
          <t>2026-09-16T21:34:13+00:00</t>
        </is>
      </c>
      <c r="I11" s="8" t="inlineStr">
        <is>
          <t>https://apps.irs.gov/pub/epostcard/990/xml/2022/2022_TEOS_XML_02A.zip#202213199349326901_public.xml</t>
        </is>
      </c>
    </row>
    <row r="12">
      <c r="A12" s="46" t="inlineStr">
        <is>
          <t>FY2022</t>
        </is>
      </c>
      <c r="B12" s="8" t="inlineStr">
        <is>
          <t>2022-12-31</t>
        </is>
      </c>
      <c r="C12" s="8" t="inlineStr">
        <is>
          <t>990</t>
        </is>
      </c>
      <c r="D12" s="8" t="inlineStr">
        <is>
          <t>high</t>
        </is>
      </c>
      <c r="E12" s="8" t="inlineStr">
        <is>
          <t>2ec633b7-0e93-4bc7-8503-365e8f052e23</t>
        </is>
      </c>
      <c r="F12" s="8" t="inlineStr">
        <is>
          <t>202342239349301239</t>
        </is>
      </c>
      <c r="G12" s="8" t="inlineStr">
        <is>
          <t>claude-opus-5</t>
        </is>
      </c>
      <c r="H12" s="8" t="inlineStr">
        <is>
          <t>2026-09-16T21:34:13+00:00</t>
        </is>
      </c>
      <c r="I12" s="8" t="inlineStr">
        <is>
          <t>https://apps.irs.gov/pub/epostcard/990/xml/2023/2023_TEOS_XML_08A.zip#202342239349301239_public.xml</t>
        </is>
      </c>
    </row>
    <row r="13">
      <c r="A13" s="46" t="inlineStr">
        <is>
          <t>FY2023</t>
        </is>
      </c>
      <c r="B13" s="8" t="inlineStr">
        <is>
          <t>2023-12-31</t>
        </is>
      </c>
      <c r="C13" s="8" t="inlineStr">
        <is>
          <t>990</t>
        </is>
      </c>
      <c r="D13" s="8" t="inlineStr">
        <is>
          <t>high</t>
        </is>
      </c>
      <c r="E13" s="8" t="inlineStr">
        <is>
          <t>a1d3aab1-800a-41e7-93bf-479f57b3a005</t>
        </is>
      </c>
      <c r="F13" s="8" t="inlineStr">
        <is>
          <t>202400939349301625</t>
        </is>
      </c>
      <c r="G13" s="8" t="inlineStr">
        <is>
          <t>claude-opus-5</t>
        </is>
      </c>
      <c r="H13" s="8" t="inlineStr">
        <is>
          <t>2026-09-16T21:34:13+00:00</t>
        </is>
      </c>
      <c r="I13" s="8" t="inlineStr">
        <is>
          <t>https://apps.irs.gov/pub/epostcard/990/xml/2024/2024_TEOS_XML_04A.zip#202400939349301625_public.xml</t>
        </is>
      </c>
    </row>
    <row r="14">
      <c r="A14" s="46" t="inlineStr">
        <is>
          <t>FY2024</t>
        </is>
      </c>
      <c r="B14" s="8" t="inlineStr">
        <is>
          <t>2024-12-31</t>
        </is>
      </c>
      <c r="C14" s="8" t="inlineStr">
        <is>
          <t>990</t>
        </is>
      </c>
      <c r="D14" s="8" t="inlineStr">
        <is>
          <t>high</t>
        </is>
      </c>
      <c r="E14" s="8" t="inlineStr">
        <is>
          <t>ecfcd59f-ffb0-49ef-b1d3-070a9adbc5c7</t>
        </is>
      </c>
      <c r="F14" s="8" t="inlineStr">
        <is>
          <t>202541269349302079</t>
        </is>
      </c>
      <c r="G14" s="8" t="inlineStr">
        <is>
          <t>claude-opus-5</t>
        </is>
      </c>
      <c r="H14" s="8" t="inlineStr">
        <is>
          <t>2026-09-16T21:34:13+00:00</t>
        </is>
      </c>
      <c r="I14" s="8" t="inlineStr">
        <is>
          <t>https://apps.irs.gov/pub/epostcard/990/xml/2025/2025_TEOS_XML_05B.zip#202541269349302079_public.xml</t>
        </is>
      </c>
    </row>
    <row r="16">
      <c r="A16" s="47"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1048347</v>
      </c>
    </row>
    <row r="19">
      <c r="A19" s="8" t="inlineStr">
        <is>
          <t>Financial Statements</t>
        </is>
      </c>
      <c r="B19" s="8" t="inlineStr">
        <is>
          <t>C74</t>
        </is>
      </c>
      <c r="C19" s="8" t="inlineStr">
        <is>
          <t>11b. Gross income from other sources</t>
        </is>
      </c>
      <c r="D19" s="8" t="inlineStr">
        <is>
          <t>11b</t>
        </is>
      </c>
      <c r="E19" s="8" t="inlineStr">
        <is>
          <t>part_v_other_irs_filings.other_sources_gross_income</t>
        </is>
      </c>
      <c r="F19" s="8" t="inlineStr">
        <is>
          <t>high</t>
        </is>
      </c>
      <c r="G19" s="9" t="n">
        <v>61204</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D7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E7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F7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908135</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1048347</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915129</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925297</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886656</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16600</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5329</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-1162</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41141</v>
      </c>
    </row>
    <row r="34">
      <c r="A34" s="8" t="inlineStr">
        <is>
          <t>Revenue (detail)</t>
        </is>
      </c>
      <c r="B34" s="8" t="inlineStr">
        <is>
          <t>F9</t>
        </is>
      </c>
      <c r="C34" s="8" t="inlineStr">
        <is>
          <t>3. Investment income</t>
        </is>
      </c>
      <c r="D34" s="8" t="inlineStr">
        <is>
          <t>3</t>
        </is>
      </c>
      <c r="E34" s="8" t="inlineStr">
        <is>
          <t>part_viii_revenue.investment_income</t>
        </is>
      </c>
      <c r="F34" s="8" t="inlineStr">
        <is>
          <t>high</t>
        </is>
      </c>
      <c r="G34" s="9" t="n">
        <v>60858</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55875</v>
      </c>
    </row>
    <row r="36">
      <c r="A36" s="8" t="inlineStr">
        <is>
          <t>Revenue (detail)</t>
        </is>
      </c>
      <c r="B36" s="8" t="inlineStr">
        <is>
          <t>C10</t>
        </is>
      </c>
      <c r="C36" s="8" t="inlineStr">
        <is>
          <t>6d. Net rental income</t>
        </is>
      </c>
      <c r="D36" s="8" t="inlineStr">
        <is>
          <t>6d</t>
        </is>
      </c>
      <c r="E36" s="8" t="inlineStr">
        <is>
          <t>part_viii_revenue.net_rental_income</t>
        </is>
      </c>
      <c r="F36" s="8" t="inlineStr">
        <is>
          <t>high</t>
        </is>
      </c>
      <c r="G36" s="9" t="n">
        <v>55875</v>
      </c>
    </row>
    <row r="37">
      <c r="A37" s="8" t="inlineStr">
        <is>
          <t>Revenue (detail)</t>
        </is>
      </c>
      <c r="B37" s="8" t="inlineStr">
        <is>
          <t>D10</t>
        </is>
      </c>
      <c r="C37" s="8" t="inlineStr">
        <is>
          <t>6d. Net rental income</t>
        </is>
      </c>
      <c r="D37" s="8" t="inlineStr">
        <is>
          <t>6d</t>
        </is>
      </c>
      <c r="E37" s="8" t="inlineStr">
        <is>
          <t>part_viii_revenue.net_rental_income</t>
        </is>
      </c>
      <c r="F37" s="8" t="inlineStr">
        <is>
          <t>high</t>
        </is>
      </c>
      <c r="G37" s="9" t="n">
        <v>50817</v>
      </c>
    </row>
    <row r="38">
      <c r="A38" s="8" t="inlineStr">
        <is>
          <t>Revenue (detail)</t>
        </is>
      </c>
      <c r="B38" s="8" t="inlineStr">
        <is>
          <t>E10</t>
        </is>
      </c>
      <c r="C38" s="8" t="inlineStr">
        <is>
          <t>6d. Net rental income</t>
        </is>
      </c>
      <c r="D38" s="8" t="inlineStr">
        <is>
          <t>6d</t>
        </is>
      </c>
      <c r="E38" s="8" t="inlineStr">
        <is>
          <t>part_viii_revenue.net_rental_income</t>
        </is>
      </c>
      <c r="F38" s="8" t="inlineStr">
        <is>
          <t>high</t>
        </is>
      </c>
      <c r="G38" s="9" t="n">
        <v>51600</v>
      </c>
    </row>
    <row r="39">
      <c r="A39" s="8" t="inlineStr">
        <is>
          <t>Revenue (detail)</t>
        </is>
      </c>
      <c r="B39" s="8" t="inlineStr">
        <is>
          <t>F10</t>
        </is>
      </c>
      <c r="C39" s="8" t="inlineStr">
        <is>
          <t>6d. Net rental income</t>
        </is>
      </c>
      <c r="D39" s="8" t="inlineStr">
        <is>
          <t>6d</t>
        </is>
      </c>
      <c r="E39" s="8" t="inlineStr">
        <is>
          <t>part_viii_revenue.net_rental_income</t>
        </is>
      </c>
      <c r="F39" s="8" t="inlineStr">
        <is>
          <t>high</t>
        </is>
      </c>
      <c r="G39" s="9" t="n">
        <v>56700</v>
      </c>
    </row>
    <row r="40">
      <c r="A40" s="8" t="inlineStr">
        <is>
          <t>Revenue (detail)</t>
        </is>
      </c>
      <c r="B40" s="8" t="inlineStr">
        <is>
          <t>B11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C11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D11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E11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F11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B12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C12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D12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E12</t>
        </is>
      </c>
      <c r="C48" s="8" t="inlineStr">
        <is>
          <t>11e. Other revenue</t>
        </is>
      </c>
      <c r="D48" s="8" t="inlineStr">
        <is>
          <t>11e</t>
        </is>
      </c>
      <c r="E48" s="8" t="inlineStr">
        <is>
          <t>part_viii_revenue.other_revenue_total</t>
        </is>
      </c>
      <c r="F48" s="8" t="inlineStr">
        <is>
          <t>high</t>
        </is>
      </c>
      <c r="G48" s="9" t="n">
        <v>0</v>
      </c>
    </row>
    <row r="49">
      <c r="A49" s="8" t="inlineStr">
        <is>
          <t>Revenue (detail)</t>
        </is>
      </c>
      <c r="B49" s="8" t="inlineStr">
        <is>
          <t>F12</t>
        </is>
      </c>
      <c r="C49" s="8" t="inlineStr">
        <is>
          <t>11e. Other revenue</t>
        </is>
      </c>
      <c r="D49" s="8" t="inlineStr">
        <is>
          <t>11e</t>
        </is>
      </c>
      <c r="E49" s="8" t="inlineStr">
        <is>
          <t>part_viii_revenue.other_revenue_total</t>
        </is>
      </c>
      <c r="F49" s="8" t="inlineStr">
        <is>
          <t>high</t>
        </is>
      </c>
      <c r="G49" s="9" t="n">
        <v>0</v>
      </c>
    </row>
    <row r="50">
      <c r="A50" s="8" t="inlineStr">
        <is>
          <t>Operating expenses (detail)</t>
        </is>
      </c>
      <c r="B50" s="8" t="inlineStr">
        <is>
          <t>B7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C7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D7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E7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F7</t>
        </is>
      </c>
      <c r="C54" s="8" t="inlineStr">
        <is>
          <t>1. Grants to domestic organizations and governments</t>
        </is>
      </c>
      <c r="D54" s="8" t="inlineStr">
        <is>
          <t>1</t>
        </is>
      </c>
      <c r="E54" s="8" t="inlineStr">
        <is>
          <t>part_ix_expenses.grants_domestic_orgs</t>
        </is>
      </c>
      <c r="F54" s="8" t="inlineStr">
        <is>
          <t>high</t>
        </is>
      </c>
      <c r="G54" s="9" t="n">
        <v>0</v>
      </c>
    </row>
    <row r="55">
      <c r="A55" s="8" t="inlineStr">
        <is>
          <t>Operating expenses (detail)</t>
        </is>
      </c>
      <c r="B55" s="8" t="inlineStr">
        <is>
          <t>B8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C8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D8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E8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F8</t>
        </is>
      </c>
      <c r="C59" s="8" t="inlineStr">
        <is>
          <t>2. Grants to domestic individuals</t>
        </is>
      </c>
      <c r="D59" s="8" t="inlineStr">
        <is>
          <t>2</t>
        </is>
      </c>
      <c r="E59" s="8" t="inlineStr">
        <is>
          <t>part_ix_expenses.grants_domestic_individuals</t>
        </is>
      </c>
      <c r="F59" s="8" t="inlineStr">
        <is>
          <t>high</t>
        </is>
      </c>
      <c r="G59" s="9" t="n">
        <v>0</v>
      </c>
    </row>
    <row r="60">
      <c r="A60" s="8" t="inlineStr">
        <is>
          <t>Operating expenses (detail)</t>
        </is>
      </c>
      <c r="B60" s="8" t="inlineStr">
        <is>
          <t>B9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C9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D9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E9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F9</t>
        </is>
      </c>
      <c r="C64" s="8" t="inlineStr">
        <is>
          <t>3. Grants to foreign organizations and individuals</t>
        </is>
      </c>
      <c r="D64" s="8" t="inlineStr">
        <is>
          <t>3</t>
        </is>
      </c>
      <c r="E64" s="8" t="inlineStr">
        <is>
          <t>part_ix_expenses.foreign_grants</t>
        </is>
      </c>
      <c r="F64" s="8" t="inlineStr">
        <is>
          <t>high</t>
        </is>
      </c>
      <c r="G64" s="9" t="n">
        <v>0</v>
      </c>
    </row>
    <row r="65">
      <c r="A65" s="8" t="inlineStr">
        <is>
          <t>Operating expenses (detail)</t>
        </is>
      </c>
      <c r="B65" s="8" t="inlineStr">
        <is>
          <t>B10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C10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D10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E10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F10</t>
        </is>
      </c>
      <c r="C69" s="8" t="inlineStr">
        <is>
          <t>4. Benefits paid to or for members</t>
        </is>
      </c>
      <c r="D69" s="8" t="inlineStr">
        <is>
          <t>4</t>
        </is>
      </c>
      <c r="E69" s="8" t="inlineStr">
        <is>
          <t>part_ix_expenses.benefits_to_members</t>
        </is>
      </c>
      <c r="F69" s="8" t="inlineStr">
        <is>
          <t>high</t>
        </is>
      </c>
      <c r="G69" s="9" t="n">
        <v>0</v>
      </c>
    </row>
    <row r="70">
      <c r="A70" s="8" t="inlineStr">
        <is>
          <t>Operating expenses (detail)</t>
        </is>
      </c>
      <c r="B70" s="8" t="inlineStr">
        <is>
          <t>B11</t>
        </is>
      </c>
      <c r="C70" s="8" t="inlineStr">
        <is>
          <t>5. Compensation of current officers, directors, trustees</t>
        </is>
      </c>
      <c r="D70" s="8" t="inlineStr">
        <is>
          <t>5</t>
        </is>
      </c>
      <c r="E70" s="8" t="inlineStr">
        <is>
          <t>part_ix_expenses.comp_current_officers</t>
        </is>
      </c>
      <c r="F70" s="8" t="inlineStr">
        <is>
          <t>high</t>
        </is>
      </c>
      <c r="G70" s="9" t="n">
        <v>4700</v>
      </c>
    </row>
    <row r="71">
      <c r="A71" s="8" t="inlineStr">
        <is>
          <t>Operating expenses (detail)</t>
        </is>
      </c>
      <c r="B71" s="8" t="inlineStr">
        <is>
          <t>C11</t>
        </is>
      </c>
      <c r="C71" s="8" t="inlineStr">
        <is>
          <t>5. Compensation of current officers, directors, trustees</t>
        </is>
      </c>
      <c r="D71" s="8" t="inlineStr">
        <is>
          <t>5</t>
        </is>
      </c>
      <c r="E71" s="8" t="inlineStr">
        <is>
          <t>part_ix_expenses.comp_current_officers</t>
        </is>
      </c>
      <c r="F71" s="8" t="inlineStr">
        <is>
          <t>high</t>
        </is>
      </c>
      <c r="G71" s="9" t="n">
        <v>4400</v>
      </c>
    </row>
    <row r="72">
      <c r="A72" s="8" t="inlineStr">
        <is>
          <t>Operating expenses (detail)</t>
        </is>
      </c>
      <c r="B72" s="8" t="inlineStr">
        <is>
          <t>D11</t>
        </is>
      </c>
      <c r="C72" s="8" t="inlineStr">
        <is>
          <t>5. Compensation of current officers, directors, trustees</t>
        </is>
      </c>
      <c r="D72" s="8" t="inlineStr">
        <is>
          <t>5</t>
        </is>
      </c>
      <c r="E72" s="8" t="inlineStr">
        <is>
          <t>part_ix_expenses.comp_current_officers</t>
        </is>
      </c>
      <c r="F72" s="8" t="inlineStr">
        <is>
          <t>high</t>
        </is>
      </c>
      <c r="G72" s="9" t="n">
        <v>3700</v>
      </c>
    </row>
    <row r="73">
      <c r="A73" s="8" t="inlineStr">
        <is>
          <t>Operating expenses (detail)</t>
        </is>
      </c>
      <c r="B73" s="8" t="inlineStr">
        <is>
          <t>E11</t>
        </is>
      </c>
      <c r="C73" s="8" t="inlineStr">
        <is>
          <t>5. Compensation of current officers, directors, trustees</t>
        </is>
      </c>
      <c r="D73" s="8" t="inlineStr">
        <is>
          <t>5</t>
        </is>
      </c>
      <c r="E73" s="8" t="inlineStr">
        <is>
          <t>part_ix_expenses.comp_current_officers</t>
        </is>
      </c>
      <c r="F73" s="8" t="inlineStr">
        <is>
          <t>high</t>
        </is>
      </c>
      <c r="G73" s="9" t="n">
        <v>4150</v>
      </c>
    </row>
    <row r="74">
      <c r="A74" s="8" t="inlineStr">
        <is>
          <t>Operating expenses (detail)</t>
        </is>
      </c>
      <c r="B74" s="8" t="inlineStr">
        <is>
          <t>F11</t>
        </is>
      </c>
      <c r="C74" s="8" t="inlineStr">
        <is>
          <t>5. Compensation of current officers, directors, trustees</t>
        </is>
      </c>
      <c r="D74" s="8" t="inlineStr">
        <is>
          <t>5</t>
        </is>
      </c>
      <c r="E74" s="8" t="inlineStr">
        <is>
          <t>part_ix_expenses.comp_current_officers</t>
        </is>
      </c>
      <c r="F74" s="8" t="inlineStr">
        <is>
          <t>high</t>
        </is>
      </c>
      <c r="G74" s="9" t="n">
        <v>4100</v>
      </c>
    </row>
    <row r="75">
      <c r="A75" s="8" t="inlineStr">
        <is>
          <t>Operating expenses (detail)</t>
        </is>
      </c>
      <c r="B75" s="8" t="inlineStr">
        <is>
          <t>B12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C12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D12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E12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F12</t>
        </is>
      </c>
      <c r="C79" s="8" t="inlineStr">
        <is>
          <t>6. Compensation to disqualified persons</t>
        </is>
      </c>
      <c r="D79" s="8" t="inlineStr">
        <is>
          <t>6</t>
        </is>
      </c>
      <c r="E79" s="8" t="inlineStr">
        <is>
          <t>part_ix_expenses.comp_disqualified_persons</t>
        </is>
      </c>
      <c r="F79" s="8" t="inlineStr">
        <is>
          <t>high</t>
        </is>
      </c>
      <c r="G79" s="9" t="n">
        <v>0</v>
      </c>
    </row>
    <row r="80">
      <c r="A80" s="8" t="inlineStr">
        <is>
          <t>Operating expenses (detail)</t>
        </is>
      </c>
      <c r="B80" s="8" t="inlineStr">
        <is>
          <t>B13</t>
        </is>
      </c>
      <c r="C80" s="8" t="inlineStr">
        <is>
          <t>7. Other salaries and wages</t>
        </is>
      </c>
      <c r="D80" s="8" t="inlineStr">
        <is>
          <t>7</t>
        </is>
      </c>
      <c r="E80" s="8" t="inlineStr">
        <is>
          <t>part_ix_expenses.other_salaries_and_wages</t>
        </is>
      </c>
      <c r="F80" s="8" t="inlineStr">
        <is>
          <t>high</t>
        </is>
      </c>
      <c r="G80" s="9" t="n">
        <v>0</v>
      </c>
    </row>
    <row r="81">
      <c r="A81" s="8" t="inlineStr">
        <is>
          <t>Operating expenses (detail)</t>
        </is>
      </c>
      <c r="B81" s="8" t="inlineStr">
        <is>
          <t>C13</t>
        </is>
      </c>
      <c r="C81" s="8" t="inlineStr">
        <is>
          <t>7. Other salaries and wages</t>
        </is>
      </c>
      <c r="D81" s="8" t="inlineStr">
        <is>
          <t>7</t>
        </is>
      </c>
      <c r="E81" s="8" t="inlineStr">
        <is>
          <t>part_ix_expenses.other_salaries_and_wages</t>
        </is>
      </c>
      <c r="F81" s="8" t="inlineStr">
        <is>
          <t>high</t>
        </is>
      </c>
      <c r="G81" s="9" t="n">
        <v>0</v>
      </c>
    </row>
    <row r="82">
      <c r="A82" s="8" t="inlineStr">
        <is>
          <t>Operating expenses (detail)</t>
        </is>
      </c>
      <c r="B82" s="8" t="inlineStr">
        <is>
          <t>D13</t>
        </is>
      </c>
      <c r="C82" s="8" t="inlineStr">
        <is>
          <t>7. Other salaries and wages</t>
        </is>
      </c>
      <c r="D82" s="8" t="inlineStr">
        <is>
          <t>7</t>
        </is>
      </c>
      <c r="E82" s="8" t="inlineStr">
        <is>
          <t>part_ix_expenses.other_salaries_and_wages</t>
        </is>
      </c>
      <c r="F82" s="8" t="inlineStr">
        <is>
          <t>high</t>
        </is>
      </c>
      <c r="G82" s="9" t="n">
        <v>0</v>
      </c>
    </row>
    <row r="83">
      <c r="A83" s="8" t="inlineStr">
        <is>
          <t>Operating expenses (detail)</t>
        </is>
      </c>
      <c r="B83" s="8" t="inlineStr">
        <is>
          <t>E13</t>
        </is>
      </c>
      <c r="C83" s="8" t="inlineStr">
        <is>
          <t>7. Other salaries and wages</t>
        </is>
      </c>
      <c r="D83" s="8" t="inlineStr">
        <is>
          <t>7</t>
        </is>
      </c>
      <c r="E83" s="8" t="inlineStr">
        <is>
          <t>part_ix_expenses.other_salaries_and_wages</t>
        </is>
      </c>
      <c r="F83" s="8" t="inlineStr">
        <is>
          <t>high</t>
        </is>
      </c>
      <c r="G83" s="9" t="n">
        <v>0</v>
      </c>
    </row>
    <row r="84">
      <c r="A84" s="8" t="inlineStr">
        <is>
          <t>Operating expenses (detail)</t>
        </is>
      </c>
      <c r="B84" s="8" t="inlineStr">
        <is>
          <t>F13</t>
        </is>
      </c>
      <c r="C84" s="8" t="inlineStr">
        <is>
          <t>7. Other salaries and wages</t>
        </is>
      </c>
      <c r="D84" s="8" t="inlineStr">
        <is>
          <t>7</t>
        </is>
      </c>
      <c r="E84" s="8" t="inlineStr">
        <is>
          <t>part_ix_expenses.other_salaries_and_wages</t>
        </is>
      </c>
      <c r="F84" s="8" t="inlineStr">
        <is>
          <t>high</t>
        </is>
      </c>
      <c r="G84" s="9" t="n">
        <v>0</v>
      </c>
    </row>
    <row r="85">
      <c r="A85" s="8" t="inlineStr">
        <is>
          <t>Operating expenses (detail)</t>
        </is>
      </c>
      <c r="B85" s="8" t="inlineStr">
        <is>
          <t>B14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C14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D14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E14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F14</t>
        </is>
      </c>
      <c r="C89" s="8" t="inlineStr">
        <is>
          <t>8. Pension plan accruals and contributions</t>
        </is>
      </c>
      <c r="D89" s="8" t="inlineStr">
        <is>
          <t>8</t>
        </is>
      </c>
      <c r="E89" s="8" t="inlineStr">
        <is>
          <t>part_ix_expenses.pension_plan_contributions</t>
        </is>
      </c>
      <c r="F89" s="8" t="inlineStr">
        <is>
          <t>high</t>
        </is>
      </c>
      <c r="G89" s="9" t="n">
        <v>0</v>
      </c>
    </row>
    <row r="90">
      <c r="A90" s="8" t="inlineStr">
        <is>
          <t>Operating expenses (detail)</t>
        </is>
      </c>
      <c r="B90" s="8" t="inlineStr">
        <is>
          <t>B15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C15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D15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E15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F15</t>
        </is>
      </c>
      <c r="C94" s="8" t="inlineStr">
        <is>
          <t>9. Other employee benefits</t>
        </is>
      </c>
      <c r="D94" s="8" t="inlineStr">
        <is>
          <t>9</t>
        </is>
      </c>
      <c r="E94" s="8" t="inlineStr">
        <is>
          <t>part_ix_expenses.other_employee_benefits</t>
        </is>
      </c>
      <c r="F94" s="8" t="inlineStr">
        <is>
          <t>high</t>
        </is>
      </c>
      <c r="G94" s="9" t="n">
        <v>0</v>
      </c>
    </row>
    <row r="95">
      <c r="A95" s="8" t="inlineStr">
        <is>
          <t>Operating expenses (detail)</t>
        </is>
      </c>
      <c r="B95" s="8" t="inlineStr">
        <is>
          <t>B16</t>
        </is>
      </c>
      <c r="C95" s="8" t="inlineStr">
        <is>
          <t>10. Payroll taxes</t>
        </is>
      </c>
      <c r="D95" s="8" t="inlineStr">
        <is>
          <t>10</t>
        </is>
      </c>
      <c r="E95" s="8" t="inlineStr">
        <is>
          <t>part_ix_expenses.payroll_taxes</t>
        </is>
      </c>
      <c r="F95" s="8" t="inlineStr">
        <is>
          <t>high</t>
        </is>
      </c>
      <c r="G95" s="9" t="n">
        <v>0</v>
      </c>
    </row>
    <row r="96">
      <c r="A96" s="8" t="inlineStr">
        <is>
          <t>Operating expenses (detail)</t>
        </is>
      </c>
      <c r="B96" s="8" t="inlineStr">
        <is>
          <t>C16</t>
        </is>
      </c>
      <c r="C96" s="8" t="inlineStr">
        <is>
          <t>10. Payroll taxes</t>
        </is>
      </c>
      <c r="D96" s="8" t="inlineStr">
        <is>
          <t>10</t>
        </is>
      </c>
      <c r="E96" s="8" t="inlineStr">
        <is>
          <t>part_ix_expenses.payroll_taxes</t>
        </is>
      </c>
      <c r="F96" s="8" t="inlineStr">
        <is>
          <t>high</t>
        </is>
      </c>
      <c r="G96" s="9" t="n">
        <v>0</v>
      </c>
    </row>
    <row r="97">
      <c r="A97" s="8" t="inlineStr">
        <is>
          <t>Operating expenses (detail)</t>
        </is>
      </c>
      <c r="B97" s="8" t="inlineStr">
        <is>
          <t>D16</t>
        </is>
      </c>
      <c r="C97" s="8" t="inlineStr">
        <is>
          <t>10. Payroll taxes</t>
        </is>
      </c>
      <c r="D97" s="8" t="inlineStr">
        <is>
          <t>10</t>
        </is>
      </c>
      <c r="E97" s="8" t="inlineStr">
        <is>
          <t>part_ix_expenses.payroll_taxes</t>
        </is>
      </c>
      <c r="F97" s="8" t="inlineStr">
        <is>
          <t>high</t>
        </is>
      </c>
      <c r="G97" s="9" t="n">
        <v>0</v>
      </c>
    </row>
    <row r="98">
      <c r="A98" s="8" t="inlineStr">
        <is>
          <t>Operating expenses (detail)</t>
        </is>
      </c>
      <c r="B98" s="8" t="inlineStr">
        <is>
          <t>E16</t>
        </is>
      </c>
      <c r="C98" s="8" t="inlineStr">
        <is>
          <t>10. Payroll taxes</t>
        </is>
      </c>
      <c r="D98" s="8" t="inlineStr">
        <is>
          <t>10</t>
        </is>
      </c>
      <c r="E98" s="8" t="inlineStr">
        <is>
          <t>part_ix_expenses.payroll_taxes</t>
        </is>
      </c>
      <c r="F98" s="8" t="inlineStr">
        <is>
          <t>high</t>
        </is>
      </c>
      <c r="G98" s="9" t="n">
        <v>0</v>
      </c>
    </row>
    <row r="99">
      <c r="A99" s="8" t="inlineStr">
        <is>
          <t>Operating expenses (detail)</t>
        </is>
      </c>
      <c r="B99" s="8" t="inlineStr">
        <is>
          <t>F16</t>
        </is>
      </c>
      <c r="C99" s="8" t="inlineStr">
        <is>
          <t>10. Payroll taxes</t>
        </is>
      </c>
      <c r="D99" s="8" t="inlineStr">
        <is>
          <t>10</t>
        </is>
      </c>
      <c r="E99" s="8" t="inlineStr">
        <is>
          <t>part_ix_expenses.payroll_taxes</t>
        </is>
      </c>
      <c r="F99" s="8" t="inlineStr">
        <is>
          <t>high</t>
        </is>
      </c>
      <c r="G99" s="9" t="n">
        <v>0</v>
      </c>
    </row>
    <row r="100">
      <c r="A100" s="8" t="inlineStr">
        <is>
          <t>Operating expenses (detail)</t>
        </is>
      </c>
      <c r="B100" s="8" t="inlineStr">
        <is>
          <t>B17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C17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D17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E17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F17</t>
        </is>
      </c>
      <c r="C104" s="8" t="inlineStr">
        <is>
          <t>11a. Fees for services: management</t>
        </is>
      </c>
      <c r="D104" s="8" t="inlineStr">
        <is>
          <t>11a</t>
        </is>
      </c>
      <c r="E104" s="8" t="inlineStr">
        <is>
          <t>part_ix_expenses.fees_management</t>
        </is>
      </c>
      <c r="F104" s="8" t="inlineStr">
        <is>
          <t>high</t>
        </is>
      </c>
      <c r="G104" s="9" t="n">
        <v>0</v>
      </c>
    </row>
    <row r="105">
      <c r="A105" s="8" t="inlineStr">
        <is>
          <t>Operating expenses (detail)</t>
        </is>
      </c>
      <c r="B105" s="8" t="inlineStr">
        <is>
          <t>B18</t>
        </is>
      </c>
      <c r="C105" s="8" t="inlineStr">
        <is>
          <t>11b. Fees for services: legal</t>
        </is>
      </c>
      <c r="D105" s="8" t="inlineStr">
        <is>
          <t>11b</t>
        </is>
      </c>
      <c r="E105" s="8" t="inlineStr">
        <is>
          <t>part_ix_expenses.fees_legal</t>
        </is>
      </c>
      <c r="F105" s="8" t="inlineStr">
        <is>
          <t>high</t>
        </is>
      </c>
      <c r="G105" s="9" t="n">
        <v>0</v>
      </c>
    </row>
    <row r="106">
      <c r="A106" s="8" t="inlineStr">
        <is>
          <t>Operating expenses (detail)</t>
        </is>
      </c>
      <c r="B106" s="8" t="inlineStr">
        <is>
          <t>C18</t>
        </is>
      </c>
      <c r="C106" s="8" t="inlineStr">
        <is>
          <t>11b. Fees for services: legal</t>
        </is>
      </c>
      <c r="D106" s="8" t="inlineStr">
        <is>
          <t>11b</t>
        </is>
      </c>
      <c r="E106" s="8" t="inlineStr">
        <is>
          <t>part_ix_expenses.fees_legal</t>
        </is>
      </c>
      <c r="F106" s="8" t="inlineStr">
        <is>
          <t>high</t>
        </is>
      </c>
      <c r="G106" s="9" t="n">
        <v>0</v>
      </c>
    </row>
    <row r="107">
      <c r="A107" s="8" t="inlineStr">
        <is>
          <t>Operating expenses (detail)</t>
        </is>
      </c>
      <c r="B107" s="8" t="inlineStr">
        <is>
          <t>D18</t>
        </is>
      </c>
      <c r="C107" s="8" t="inlineStr">
        <is>
          <t>11b. Fees for services: legal</t>
        </is>
      </c>
      <c r="D107" s="8" t="inlineStr">
        <is>
          <t>11b</t>
        </is>
      </c>
      <c r="E107" s="8" t="inlineStr">
        <is>
          <t>part_ix_expenses.fees_legal</t>
        </is>
      </c>
      <c r="F107" s="8" t="inlineStr">
        <is>
          <t>high</t>
        </is>
      </c>
      <c r="G107" s="9" t="n">
        <v>307</v>
      </c>
    </row>
    <row r="108">
      <c r="A108" s="8" t="inlineStr">
        <is>
          <t>Operating expenses (detail)</t>
        </is>
      </c>
      <c r="B108" s="8" t="inlineStr">
        <is>
          <t>E18</t>
        </is>
      </c>
      <c r="C108" s="8" t="inlineStr">
        <is>
          <t>11b. Fees for services: legal</t>
        </is>
      </c>
      <c r="D108" s="8" t="inlineStr">
        <is>
          <t>11b</t>
        </is>
      </c>
      <c r="E108" s="8" t="inlineStr">
        <is>
          <t>part_ix_expenses.fees_legal</t>
        </is>
      </c>
      <c r="F108" s="8" t="inlineStr">
        <is>
          <t>high</t>
        </is>
      </c>
      <c r="G108" s="9" t="n">
        <v>90</v>
      </c>
    </row>
    <row r="109">
      <c r="A109" s="8" t="inlineStr">
        <is>
          <t>Operating expenses (detail)</t>
        </is>
      </c>
      <c r="B109" s="8" t="inlineStr">
        <is>
          <t>F18</t>
        </is>
      </c>
      <c r="C109" s="8" t="inlineStr">
        <is>
          <t>11b. Fees for services: legal</t>
        </is>
      </c>
      <c r="D109" s="8" t="inlineStr">
        <is>
          <t>11b</t>
        </is>
      </c>
      <c r="E109" s="8" t="inlineStr">
        <is>
          <t>part_ix_expenses.fees_legal</t>
        </is>
      </c>
      <c r="F109" s="8" t="inlineStr">
        <is>
          <t>high</t>
        </is>
      </c>
      <c r="G109" s="9" t="n">
        <v>2768</v>
      </c>
    </row>
    <row r="110">
      <c r="A110" s="8" t="inlineStr">
        <is>
          <t>Operating expenses (detail)</t>
        </is>
      </c>
      <c r="B110" s="8" t="inlineStr">
        <is>
          <t>B19</t>
        </is>
      </c>
      <c r="C110" s="8" t="inlineStr">
        <is>
          <t>11c. Fees for services: accounting</t>
        </is>
      </c>
      <c r="D110" s="8" t="inlineStr">
        <is>
          <t>11c</t>
        </is>
      </c>
      <c r="E110" s="8" t="inlineStr">
        <is>
          <t>part_ix_expenses.fees_accounting</t>
        </is>
      </c>
      <c r="F110" s="8" t="inlineStr">
        <is>
          <t>high</t>
        </is>
      </c>
      <c r="G110" s="9" t="n">
        <v>0</v>
      </c>
    </row>
    <row r="111">
      <c r="A111" s="8" t="inlineStr">
        <is>
          <t>Operating expenses (detail)</t>
        </is>
      </c>
      <c r="B111" s="8" t="inlineStr">
        <is>
          <t>C19</t>
        </is>
      </c>
      <c r="C111" s="8" t="inlineStr">
        <is>
          <t>11c. Fees for services: accounting</t>
        </is>
      </c>
      <c r="D111" s="8" t="inlineStr">
        <is>
          <t>11c</t>
        </is>
      </c>
      <c r="E111" s="8" t="inlineStr">
        <is>
          <t>part_ix_expenses.fees_accounting</t>
        </is>
      </c>
      <c r="F111" s="8" t="inlineStr">
        <is>
          <t>high</t>
        </is>
      </c>
      <c r="G111" s="9" t="n">
        <v>0</v>
      </c>
    </row>
    <row r="112">
      <c r="A112" s="8" t="inlineStr">
        <is>
          <t>Operating expenses (detail)</t>
        </is>
      </c>
      <c r="B112" s="8" t="inlineStr">
        <is>
          <t>D19</t>
        </is>
      </c>
      <c r="C112" s="8" t="inlineStr">
        <is>
          <t>11c. Fees for services: accounting</t>
        </is>
      </c>
      <c r="D112" s="8" t="inlineStr">
        <is>
          <t>11c</t>
        </is>
      </c>
      <c r="E112" s="8" t="inlineStr">
        <is>
          <t>part_ix_expenses.fees_accounting</t>
        </is>
      </c>
      <c r="F112" s="8" t="inlineStr">
        <is>
          <t>high</t>
        </is>
      </c>
      <c r="G112" s="9" t="n">
        <v>1715</v>
      </c>
    </row>
    <row r="113">
      <c r="A113" s="8" t="inlineStr">
        <is>
          <t>Operating expenses (detail)</t>
        </is>
      </c>
      <c r="B113" s="8" t="inlineStr">
        <is>
          <t>E19</t>
        </is>
      </c>
      <c r="C113" s="8" t="inlineStr">
        <is>
          <t>11c. Fees for services: accounting</t>
        </is>
      </c>
      <c r="D113" s="8" t="inlineStr">
        <is>
          <t>11c</t>
        </is>
      </c>
      <c r="E113" s="8" t="inlineStr">
        <is>
          <t>part_ix_expenses.fees_accounting</t>
        </is>
      </c>
      <c r="F113" s="8" t="inlineStr">
        <is>
          <t>high</t>
        </is>
      </c>
      <c r="G113" s="9" t="n">
        <v>1984</v>
      </c>
    </row>
    <row r="114">
      <c r="A114" s="8" t="inlineStr">
        <is>
          <t>Operating expenses (detail)</t>
        </is>
      </c>
      <c r="B114" s="8" t="inlineStr">
        <is>
          <t>F19</t>
        </is>
      </c>
      <c r="C114" s="8" t="inlineStr">
        <is>
          <t>11c. Fees for services: accounting</t>
        </is>
      </c>
      <c r="D114" s="8" t="inlineStr">
        <is>
          <t>11c</t>
        </is>
      </c>
      <c r="E114" s="8" t="inlineStr">
        <is>
          <t>part_ix_expenses.fees_accounting</t>
        </is>
      </c>
      <c r="F114" s="8" t="inlineStr">
        <is>
          <t>high</t>
        </is>
      </c>
      <c r="G114" s="9" t="n">
        <v>3975</v>
      </c>
    </row>
    <row r="115">
      <c r="A115" s="8" t="inlineStr">
        <is>
          <t>Operating expenses (detail)</t>
        </is>
      </c>
      <c r="B115" s="8" t="inlineStr">
        <is>
          <t>B20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C20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D20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E20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F20</t>
        </is>
      </c>
      <c r="C119" s="8" t="inlineStr">
        <is>
          <t>11d. Fees for services: lobbying</t>
        </is>
      </c>
      <c r="D119" s="8" t="inlineStr">
        <is>
          <t>11d</t>
        </is>
      </c>
      <c r="E119" s="8" t="inlineStr">
        <is>
          <t>part_ix_expenses.fees_lobbying</t>
        </is>
      </c>
      <c r="F119" s="8" t="inlineStr">
        <is>
          <t>high</t>
        </is>
      </c>
      <c r="G119" s="9" t="n">
        <v>0</v>
      </c>
    </row>
    <row r="120">
      <c r="A120" s="8" t="inlineStr">
        <is>
          <t>Operating expenses (detail)</t>
        </is>
      </c>
      <c r="B120" s="8" t="inlineStr">
        <is>
          <t>B21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C21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D21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E21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F21</t>
        </is>
      </c>
      <c r="C124" s="8" t="inlineStr">
        <is>
          <t>11e. Fees for services: professional fundraising</t>
        </is>
      </c>
      <c r="D124" s="8" t="inlineStr">
        <is>
          <t>11e</t>
        </is>
      </c>
      <c r="E124" s="8" t="inlineStr">
        <is>
          <t>part_ix_expenses.fees_prof_fundraising</t>
        </is>
      </c>
      <c r="F124" s="8" t="inlineStr">
        <is>
          <t>high</t>
        </is>
      </c>
      <c r="G124" s="9" t="n">
        <v>0</v>
      </c>
    </row>
    <row r="125">
      <c r="A125" s="8" t="inlineStr">
        <is>
          <t>Operating expenses (detail)</t>
        </is>
      </c>
      <c r="B125" s="8" t="inlineStr">
        <is>
          <t>B22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C22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D22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E22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F22</t>
        </is>
      </c>
      <c r="C129" s="8" t="inlineStr">
        <is>
          <t>11f. Fees for services: investment management</t>
        </is>
      </c>
      <c r="D129" s="8" t="inlineStr">
        <is>
          <t>11f</t>
        </is>
      </c>
      <c r="E129" s="8" t="inlineStr">
        <is>
          <t>part_ix_expenses.fees_investment_mgmt</t>
        </is>
      </c>
      <c r="F129" s="8" t="inlineStr">
        <is>
          <t>high</t>
        </is>
      </c>
      <c r="G129" s="9" t="n">
        <v>0</v>
      </c>
    </row>
    <row r="130">
      <c r="A130" s="8" t="inlineStr">
        <is>
          <t>Operating expenses (detail)</t>
        </is>
      </c>
      <c r="B130" s="8" t="inlineStr">
        <is>
          <t>B23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C23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D23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E23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F23</t>
        </is>
      </c>
      <c r="C134" s="8" t="inlineStr">
        <is>
          <t>11g. Fees for services: other</t>
        </is>
      </c>
      <c r="D134" s="8" t="inlineStr">
        <is>
          <t>11g</t>
        </is>
      </c>
      <c r="E134" s="8" t="inlineStr">
        <is>
          <t>part_ix_expenses.fees_other</t>
        </is>
      </c>
      <c r="F134" s="8" t="inlineStr">
        <is>
          <t>high</t>
        </is>
      </c>
      <c r="G134" s="9" t="n">
        <v>0</v>
      </c>
    </row>
    <row r="135">
      <c r="A135" s="8" t="inlineStr">
        <is>
          <t>Operating expenses (detail)</t>
        </is>
      </c>
      <c r="B135" s="8" t="inlineStr">
        <is>
          <t>B24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C24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D24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E24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F24</t>
        </is>
      </c>
      <c r="C139" s="8" t="inlineStr">
        <is>
          <t>12. Advertising and promotion</t>
        </is>
      </c>
      <c r="D139" s="8" t="inlineStr">
        <is>
          <t>12</t>
        </is>
      </c>
      <c r="E139" s="8" t="inlineStr">
        <is>
          <t>part_ix_expenses.advertising</t>
        </is>
      </c>
      <c r="F139" s="8" t="inlineStr">
        <is>
          <t>high</t>
        </is>
      </c>
      <c r="G139" s="9" t="n">
        <v>0</v>
      </c>
    </row>
    <row r="140">
      <c r="A140" s="8" t="inlineStr">
        <is>
          <t>Operating expenses (detail)</t>
        </is>
      </c>
      <c r="B140" s="8" t="inlineStr">
        <is>
          <t>B25</t>
        </is>
      </c>
      <c r="C140" s="8" t="inlineStr">
        <is>
          <t>13. Office expenses</t>
        </is>
      </c>
      <c r="D140" s="8" t="inlineStr">
        <is>
          <t>13</t>
        </is>
      </c>
      <c r="E140" s="8" t="inlineStr">
        <is>
          <t>part_ix_expenses.office_expenses</t>
        </is>
      </c>
      <c r="F140" s="8" t="inlineStr">
        <is>
          <t>high</t>
        </is>
      </c>
      <c r="G140" s="9" t="n">
        <v>5909</v>
      </c>
    </row>
    <row r="141">
      <c r="A141" s="8" t="inlineStr">
        <is>
          <t>Operating expenses (detail)</t>
        </is>
      </c>
      <c r="B141" s="8" t="inlineStr">
        <is>
          <t>C25</t>
        </is>
      </c>
      <c r="C141" s="8" t="inlineStr">
        <is>
          <t>13. Office expenses</t>
        </is>
      </c>
      <c r="D141" s="8" t="inlineStr">
        <is>
          <t>13</t>
        </is>
      </c>
      <c r="E141" s="8" t="inlineStr">
        <is>
          <t>part_ix_expenses.office_expenses</t>
        </is>
      </c>
      <c r="F141" s="8" t="inlineStr">
        <is>
          <t>high</t>
        </is>
      </c>
      <c r="G141" s="9" t="n">
        <v>9013</v>
      </c>
    </row>
    <row r="142">
      <c r="A142" s="8" t="inlineStr">
        <is>
          <t>Operating expenses (detail)</t>
        </is>
      </c>
      <c r="B142" s="8" t="inlineStr">
        <is>
          <t>D25</t>
        </is>
      </c>
      <c r="C142" s="8" t="inlineStr">
        <is>
          <t>13. Office expenses</t>
        </is>
      </c>
      <c r="D142" s="8" t="inlineStr">
        <is>
          <t>13</t>
        </is>
      </c>
      <c r="E142" s="8" t="inlineStr">
        <is>
          <t>part_ix_expenses.office_expenses</t>
        </is>
      </c>
      <c r="F142" s="8" t="inlineStr">
        <is>
          <t>high</t>
        </is>
      </c>
      <c r="G142" s="9" t="n">
        <v>10477</v>
      </c>
    </row>
    <row r="143">
      <c r="A143" s="8" t="inlineStr">
        <is>
          <t>Operating expenses (detail)</t>
        </is>
      </c>
      <c r="B143" s="8" t="inlineStr">
        <is>
          <t>E25</t>
        </is>
      </c>
      <c r="C143" s="8" t="inlineStr">
        <is>
          <t>13. Office expenses</t>
        </is>
      </c>
      <c r="D143" s="8" t="inlineStr">
        <is>
          <t>13</t>
        </is>
      </c>
      <c r="E143" s="8" t="inlineStr">
        <is>
          <t>part_ix_expenses.office_expenses</t>
        </is>
      </c>
      <c r="F143" s="8" t="inlineStr">
        <is>
          <t>high</t>
        </is>
      </c>
      <c r="G143" s="9" t="n">
        <v>13208</v>
      </c>
    </row>
    <row r="144">
      <c r="A144" s="8" t="inlineStr">
        <is>
          <t>Operating expenses (detail)</t>
        </is>
      </c>
      <c r="B144" s="8" t="inlineStr">
        <is>
          <t>F25</t>
        </is>
      </c>
      <c r="C144" s="8" t="inlineStr">
        <is>
          <t>13. Office expenses</t>
        </is>
      </c>
      <c r="D144" s="8" t="inlineStr">
        <is>
          <t>13</t>
        </is>
      </c>
      <c r="E144" s="8" t="inlineStr">
        <is>
          <t>part_ix_expenses.office_expenses</t>
        </is>
      </c>
      <c r="F144" s="8" t="inlineStr">
        <is>
          <t>high</t>
        </is>
      </c>
      <c r="G144" s="9" t="n">
        <v>10140</v>
      </c>
    </row>
    <row r="145">
      <c r="A145" s="8" t="inlineStr">
        <is>
          <t>Operating expenses (detail)</t>
        </is>
      </c>
      <c r="B145" s="8" t="inlineStr">
        <is>
          <t>B26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C26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D26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E26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F26</t>
        </is>
      </c>
      <c r="C149" s="8" t="inlineStr">
        <is>
          <t>14. Information technology</t>
        </is>
      </c>
      <c r="D149" s="8" t="inlineStr">
        <is>
          <t>14</t>
        </is>
      </c>
      <c r="E149" s="8" t="inlineStr">
        <is>
          <t>part_ix_expenses.information_technology</t>
        </is>
      </c>
      <c r="F149" s="8" t="inlineStr">
        <is>
          <t>high</t>
        </is>
      </c>
      <c r="G149" s="9" t="n">
        <v>0</v>
      </c>
    </row>
    <row r="150">
      <c r="A150" s="8" t="inlineStr">
        <is>
          <t>Operating expenses (detail)</t>
        </is>
      </c>
      <c r="B150" s="8" t="inlineStr">
        <is>
          <t>B27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C27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D27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E27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F27</t>
        </is>
      </c>
      <c r="C154" s="8" t="inlineStr">
        <is>
          <t>15. Royalties</t>
        </is>
      </c>
      <c r="D154" s="8" t="inlineStr">
        <is>
          <t>15</t>
        </is>
      </c>
      <c r="E154" s="8" t="inlineStr">
        <is>
          <t>part_ix_expenses.royalties</t>
        </is>
      </c>
      <c r="F154" s="8" t="inlineStr">
        <is>
          <t>high</t>
        </is>
      </c>
      <c r="G154" s="9" t="n">
        <v>0</v>
      </c>
    </row>
    <row r="155">
      <c r="A155" s="8" t="inlineStr">
        <is>
          <t>Operating expenses (detail)</t>
        </is>
      </c>
      <c r="B155" s="8" t="inlineStr">
        <is>
          <t>B28</t>
        </is>
      </c>
      <c r="C155" s="8" t="inlineStr">
        <is>
          <t>16. Occupancy</t>
        </is>
      </c>
      <c r="D155" s="8" t="inlineStr">
        <is>
          <t>16</t>
        </is>
      </c>
      <c r="E155" s="8" t="inlineStr">
        <is>
          <t>part_ix_expenses.occupancy</t>
        </is>
      </c>
      <c r="F155" s="8" t="inlineStr">
        <is>
          <t>high</t>
        </is>
      </c>
      <c r="G155" s="9" t="n">
        <v>6359</v>
      </c>
    </row>
    <row r="156">
      <c r="A156" s="8" t="inlineStr">
        <is>
          <t>Operating expenses (detail)</t>
        </is>
      </c>
      <c r="B156" s="8" t="inlineStr">
        <is>
          <t>C28</t>
        </is>
      </c>
      <c r="C156" s="8" t="inlineStr">
        <is>
          <t>16. Occupancy</t>
        </is>
      </c>
      <c r="D156" s="8" t="inlineStr">
        <is>
          <t>16</t>
        </is>
      </c>
      <c r="E156" s="8" t="inlineStr">
        <is>
          <t>part_ix_expenses.occupancy</t>
        </is>
      </c>
      <c r="F156" s="8" t="inlineStr">
        <is>
          <t>high</t>
        </is>
      </c>
      <c r="G156" s="9" t="n">
        <v>6536</v>
      </c>
    </row>
    <row r="157">
      <c r="A157" s="8" t="inlineStr">
        <is>
          <t>Operating expenses (detail)</t>
        </is>
      </c>
      <c r="B157" s="8" t="inlineStr">
        <is>
          <t>D28</t>
        </is>
      </c>
      <c r="C157" s="8" t="inlineStr">
        <is>
          <t>16. Occupancy</t>
        </is>
      </c>
      <c r="D157" s="8" t="inlineStr">
        <is>
          <t>16</t>
        </is>
      </c>
      <c r="E157" s="8" t="inlineStr">
        <is>
          <t>part_ix_expenses.occupancy</t>
        </is>
      </c>
      <c r="F157" s="8" t="inlineStr">
        <is>
          <t>high</t>
        </is>
      </c>
      <c r="G157" s="9" t="n">
        <v>5512</v>
      </c>
    </row>
    <row r="158">
      <c r="A158" s="8" t="inlineStr">
        <is>
          <t>Operating expenses (detail)</t>
        </is>
      </c>
      <c r="B158" s="8" t="inlineStr">
        <is>
          <t>E28</t>
        </is>
      </c>
      <c r="C158" s="8" t="inlineStr">
        <is>
          <t>16. Occupancy</t>
        </is>
      </c>
      <c r="D158" s="8" t="inlineStr">
        <is>
          <t>16</t>
        </is>
      </c>
      <c r="E158" s="8" t="inlineStr">
        <is>
          <t>part_ix_expenses.occupancy</t>
        </is>
      </c>
      <c r="F158" s="8" t="inlineStr">
        <is>
          <t>high</t>
        </is>
      </c>
      <c r="G158" s="9" t="n">
        <v>5592</v>
      </c>
    </row>
    <row r="159">
      <c r="A159" s="8" t="inlineStr">
        <is>
          <t>Operating expenses (detail)</t>
        </is>
      </c>
      <c r="B159" s="8" t="inlineStr">
        <is>
          <t>F28</t>
        </is>
      </c>
      <c r="C159" s="8" t="inlineStr">
        <is>
          <t>16. Occupancy</t>
        </is>
      </c>
      <c r="D159" s="8" t="inlineStr">
        <is>
          <t>16</t>
        </is>
      </c>
      <c r="E159" s="8" t="inlineStr">
        <is>
          <t>part_ix_expenses.occupancy</t>
        </is>
      </c>
      <c r="F159" s="8" t="inlineStr">
        <is>
          <t>high</t>
        </is>
      </c>
      <c r="G159" s="9" t="n">
        <v>5968</v>
      </c>
    </row>
    <row r="160">
      <c r="A160" s="8" t="inlineStr">
        <is>
          <t>Operating expenses (detail)</t>
        </is>
      </c>
      <c r="B160" s="8" t="inlineStr">
        <is>
          <t>B29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C29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D29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E29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F29</t>
        </is>
      </c>
      <c r="C164" s="8" t="inlineStr">
        <is>
          <t>17. Travel</t>
        </is>
      </c>
      <c r="D164" s="8" t="inlineStr">
        <is>
          <t>17</t>
        </is>
      </c>
      <c r="E164" s="8" t="inlineStr">
        <is>
          <t>part_ix_expenses.travel</t>
        </is>
      </c>
      <c r="F164" s="8" t="inlineStr">
        <is>
          <t>high</t>
        </is>
      </c>
      <c r="G164" s="9" t="n">
        <v>0</v>
      </c>
    </row>
    <row r="165">
      <c r="A165" s="8" t="inlineStr">
        <is>
          <t>Operating expenses (detail)</t>
        </is>
      </c>
      <c r="B165" s="8" t="inlineStr">
        <is>
          <t>B30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C30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D30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E30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F30</t>
        </is>
      </c>
      <c r="C169" s="8" t="inlineStr">
        <is>
          <t>18. Payments of travel/entertainment for public officials</t>
        </is>
      </c>
      <c r="D169" s="8" t="inlineStr">
        <is>
          <t>18</t>
        </is>
      </c>
      <c r="E169" s="8" t="inlineStr">
        <is>
          <t>part_ix_expenses.travel_entertainment_public_officials</t>
        </is>
      </c>
      <c r="F169" s="8" t="inlineStr">
        <is>
          <t>high</t>
        </is>
      </c>
      <c r="G169" s="9" t="n">
        <v>0</v>
      </c>
    </row>
    <row r="170">
      <c r="A170" s="8" t="inlineStr">
        <is>
          <t>Operating expenses (detail)</t>
        </is>
      </c>
      <c r="B170" s="8" t="inlineStr">
        <is>
          <t>B31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C31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D31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E31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F31</t>
        </is>
      </c>
      <c r="C174" s="8" t="inlineStr">
        <is>
          <t>19. Conferences, conventions, and meetings</t>
        </is>
      </c>
      <c r="D174" s="8" t="inlineStr">
        <is>
          <t>19</t>
        </is>
      </c>
      <c r="E174" s="8" t="inlineStr">
        <is>
          <t>part_ix_expenses.conferences_conventions_meetings</t>
        </is>
      </c>
      <c r="F174" s="8" t="inlineStr">
        <is>
          <t>high</t>
        </is>
      </c>
      <c r="G174" s="9" t="n">
        <v>0</v>
      </c>
    </row>
    <row r="175">
      <c r="A175" s="8" t="inlineStr">
        <is>
          <t>Operating expenses (detail)</t>
        </is>
      </c>
      <c r="B175" s="8" t="inlineStr">
        <is>
          <t>B32</t>
        </is>
      </c>
      <c r="C175" s="8" t="inlineStr">
        <is>
          <t>20. Interest</t>
        </is>
      </c>
      <c r="D175" s="8" t="inlineStr">
        <is>
          <t>20</t>
        </is>
      </c>
      <c r="E175" s="8" t="inlineStr">
        <is>
          <t>part_ix_expenses.interest</t>
        </is>
      </c>
      <c r="F175" s="8" t="inlineStr">
        <is>
          <t>high</t>
        </is>
      </c>
      <c r="G175" s="9" t="n">
        <v>0</v>
      </c>
    </row>
    <row r="176">
      <c r="A176" s="8" t="inlineStr">
        <is>
          <t>Operating expenses (detail)</t>
        </is>
      </c>
      <c r="B176" s="8" t="inlineStr">
        <is>
          <t>C32</t>
        </is>
      </c>
      <c r="C176" s="8" t="inlineStr">
        <is>
          <t>20. Interest</t>
        </is>
      </c>
      <c r="D176" s="8" t="inlineStr">
        <is>
          <t>20</t>
        </is>
      </c>
      <c r="E176" s="8" t="inlineStr">
        <is>
          <t>part_ix_expenses.interest</t>
        </is>
      </c>
      <c r="F176" s="8" t="inlineStr">
        <is>
          <t>high</t>
        </is>
      </c>
      <c r="G176" s="9" t="n">
        <v>0</v>
      </c>
    </row>
    <row r="177">
      <c r="A177" s="8" t="inlineStr">
        <is>
          <t>Operating expenses (detail)</t>
        </is>
      </c>
      <c r="B177" s="8" t="inlineStr">
        <is>
          <t>D32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E32</t>
        </is>
      </c>
      <c r="C178" s="8" t="inlineStr">
        <is>
          <t>20. Interest</t>
        </is>
      </c>
      <c r="D178" s="8" t="inlineStr">
        <is>
          <t>20</t>
        </is>
      </c>
      <c r="E178" s="8" t="inlineStr">
        <is>
          <t>part_ix_expenses.interest</t>
        </is>
      </c>
      <c r="F178" s="8" t="inlineStr">
        <is>
          <t>high</t>
        </is>
      </c>
      <c r="G178" s="9" t="n">
        <v>0</v>
      </c>
    </row>
    <row r="179">
      <c r="A179" s="8" t="inlineStr">
        <is>
          <t>Operating expenses (detail)</t>
        </is>
      </c>
      <c r="B179" s="8" t="inlineStr">
        <is>
          <t>F32</t>
        </is>
      </c>
      <c r="C179" s="8" t="inlineStr">
        <is>
          <t>20. Interest</t>
        </is>
      </c>
      <c r="D179" s="8" t="inlineStr">
        <is>
          <t>20</t>
        </is>
      </c>
      <c r="E179" s="8" t="inlineStr">
        <is>
          <t>part_ix_expenses.interest</t>
        </is>
      </c>
      <c r="F179" s="8" t="inlineStr">
        <is>
          <t>high</t>
        </is>
      </c>
      <c r="G179" s="9" t="n">
        <v>0</v>
      </c>
    </row>
    <row r="180">
      <c r="A180" s="8" t="inlineStr">
        <is>
          <t>Operating expenses (detail)</t>
        </is>
      </c>
      <c r="B180" s="8" t="inlineStr">
        <is>
          <t>B33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C33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D33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E33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F33</t>
        </is>
      </c>
      <c r="C184" s="8" t="inlineStr">
        <is>
          <t>21. Payments to affiliates</t>
        </is>
      </c>
      <c r="D184" s="8" t="inlineStr">
        <is>
          <t>21</t>
        </is>
      </c>
      <c r="E184" s="8" t="inlineStr">
        <is>
          <t>part_ix_expenses.payments_to_affiliates</t>
        </is>
      </c>
      <c r="F184" s="8" t="inlineStr">
        <is>
          <t>high</t>
        </is>
      </c>
      <c r="G184" s="9" t="n">
        <v>0</v>
      </c>
    </row>
    <row r="185">
      <c r="A185" s="8" t="inlineStr">
        <is>
          <t>Operating expenses (detail)</t>
        </is>
      </c>
      <c r="B185" s="8" t="inlineStr">
        <is>
          <t>B34</t>
        </is>
      </c>
      <c r="C185" s="8" t="inlineStr">
        <is>
          <t>22. Depreciation, depletion, and amortization</t>
        </is>
      </c>
      <c r="D185" s="8" t="inlineStr">
        <is>
          <t>22</t>
        </is>
      </c>
      <c r="E185" s="8" t="inlineStr">
        <is>
          <t>part_ix_expenses.depreciation</t>
        </is>
      </c>
      <c r="F185" s="8" t="inlineStr">
        <is>
          <t>high</t>
        </is>
      </c>
      <c r="G185" s="9" t="n">
        <v>158275</v>
      </c>
    </row>
    <row r="186">
      <c r="A186" s="8" t="inlineStr">
        <is>
          <t>Operating expenses (detail)</t>
        </is>
      </c>
      <c r="B186" s="8" t="inlineStr">
        <is>
          <t>C34</t>
        </is>
      </c>
      <c r="C186" s="8" t="inlineStr">
        <is>
          <t>22. Depreciation, depletion, and amortization</t>
        </is>
      </c>
      <c r="D186" s="8" t="inlineStr">
        <is>
          <t>22</t>
        </is>
      </c>
      <c r="E186" s="8" t="inlineStr">
        <is>
          <t>part_ix_expenses.depreciation</t>
        </is>
      </c>
      <c r="F186" s="8" t="inlineStr">
        <is>
          <t>high</t>
        </is>
      </c>
      <c r="G186" s="9" t="n">
        <v>153869</v>
      </c>
    </row>
    <row r="187">
      <c r="A187" s="8" t="inlineStr">
        <is>
          <t>Operating expenses (detail)</t>
        </is>
      </c>
      <c r="B187" s="8" t="inlineStr">
        <is>
          <t>D34</t>
        </is>
      </c>
      <c r="C187" s="8" t="inlineStr">
        <is>
          <t>22. Depreciation, depletion, and amortization</t>
        </is>
      </c>
      <c r="D187" s="8" t="inlineStr">
        <is>
          <t>22</t>
        </is>
      </c>
      <c r="E187" s="8" t="inlineStr">
        <is>
          <t>part_ix_expenses.depreciation</t>
        </is>
      </c>
      <c r="F187" s="8" t="inlineStr">
        <is>
          <t>high</t>
        </is>
      </c>
      <c r="G187" s="9" t="n">
        <v>144693</v>
      </c>
    </row>
    <row r="188">
      <c r="A188" s="8" t="inlineStr">
        <is>
          <t>Operating expenses (detail)</t>
        </is>
      </c>
      <c r="B188" s="8" t="inlineStr">
        <is>
          <t>E34</t>
        </is>
      </c>
      <c r="C188" s="8" t="inlineStr">
        <is>
          <t>22. Depreciation, depletion, and amortization</t>
        </is>
      </c>
      <c r="D188" s="8" t="inlineStr">
        <is>
          <t>22</t>
        </is>
      </c>
      <c r="E188" s="8" t="inlineStr">
        <is>
          <t>part_ix_expenses.depreciation</t>
        </is>
      </c>
      <c r="F188" s="8" t="inlineStr">
        <is>
          <t>high</t>
        </is>
      </c>
      <c r="G188" s="9" t="n">
        <v>136726</v>
      </c>
    </row>
    <row r="189">
      <c r="A189" s="8" t="inlineStr">
        <is>
          <t>Operating expenses (detail)</t>
        </is>
      </c>
      <c r="B189" s="8" t="inlineStr">
        <is>
          <t>F34</t>
        </is>
      </c>
      <c r="C189" s="8" t="inlineStr">
        <is>
          <t>22. Depreciation, depletion, and amortization</t>
        </is>
      </c>
      <c r="D189" s="8" t="inlineStr">
        <is>
          <t>22</t>
        </is>
      </c>
      <c r="E189" s="8" t="inlineStr">
        <is>
          <t>part_ix_expenses.depreciation</t>
        </is>
      </c>
      <c r="F189" s="8" t="inlineStr">
        <is>
          <t>high</t>
        </is>
      </c>
      <c r="G189" s="9" t="n">
        <v>123516</v>
      </c>
    </row>
    <row r="190">
      <c r="A190" s="8" t="inlineStr">
        <is>
          <t>Operating expenses (detail)</t>
        </is>
      </c>
      <c r="B190" s="8" t="inlineStr">
        <is>
          <t>B35</t>
        </is>
      </c>
      <c r="C190" s="8" t="inlineStr">
        <is>
          <t>23. Insurance</t>
        </is>
      </c>
      <c r="D190" s="8" t="inlineStr">
        <is>
          <t>23</t>
        </is>
      </c>
      <c r="E190" s="8" t="inlineStr">
        <is>
          <t>part_ix_expenses.insurance</t>
        </is>
      </c>
      <c r="F190" s="8" t="inlineStr">
        <is>
          <t>high</t>
        </is>
      </c>
      <c r="G190" s="9" t="n">
        <v>6078</v>
      </c>
    </row>
    <row r="191">
      <c r="A191" s="8" t="inlineStr">
        <is>
          <t>Operating expenses (detail)</t>
        </is>
      </c>
      <c r="B191" s="8" t="inlineStr">
        <is>
          <t>C35</t>
        </is>
      </c>
      <c r="C191" s="8" t="inlineStr">
        <is>
          <t>23. Insurance</t>
        </is>
      </c>
      <c r="D191" s="8" t="inlineStr">
        <is>
          <t>23</t>
        </is>
      </c>
      <c r="E191" s="8" t="inlineStr">
        <is>
          <t>part_ix_expenses.insurance</t>
        </is>
      </c>
      <c r="F191" s="8" t="inlineStr">
        <is>
          <t>high</t>
        </is>
      </c>
      <c r="G191" s="9" t="n">
        <v>5998</v>
      </c>
    </row>
    <row r="192">
      <c r="A192" s="8" t="inlineStr">
        <is>
          <t>Operating expenses (detail)</t>
        </is>
      </c>
      <c r="B192" s="8" t="inlineStr">
        <is>
          <t>D35</t>
        </is>
      </c>
      <c r="C192" s="8" t="inlineStr">
        <is>
          <t>23. Insurance</t>
        </is>
      </c>
      <c r="D192" s="8" t="inlineStr">
        <is>
          <t>23</t>
        </is>
      </c>
      <c r="E192" s="8" t="inlineStr">
        <is>
          <t>part_ix_expenses.insurance</t>
        </is>
      </c>
      <c r="F192" s="8" t="inlineStr">
        <is>
          <t>high</t>
        </is>
      </c>
      <c r="G192" s="9" t="n">
        <v>6590</v>
      </c>
    </row>
    <row r="193">
      <c r="A193" s="8" t="inlineStr">
        <is>
          <t>Operating expenses (detail)</t>
        </is>
      </c>
      <c r="B193" s="8" t="inlineStr">
        <is>
          <t>E35</t>
        </is>
      </c>
      <c r="C193" s="8" t="inlineStr">
        <is>
          <t>23. Insurance</t>
        </is>
      </c>
      <c r="D193" s="8" t="inlineStr">
        <is>
          <t>23</t>
        </is>
      </c>
      <c r="E193" s="8" t="inlineStr">
        <is>
          <t>part_ix_expenses.insurance</t>
        </is>
      </c>
      <c r="F193" s="8" t="inlineStr">
        <is>
          <t>high</t>
        </is>
      </c>
      <c r="G193" s="9" t="n">
        <v>6567</v>
      </c>
    </row>
    <row r="194">
      <c r="A194" s="8" t="inlineStr">
        <is>
          <t>Operating expenses (detail)</t>
        </is>
      </c>
      <c r="B194" s="8" t="inlineStr">
        <is>
          <t>F35</t>
        </is>
      </c>
      <c r="C194" s="8" t="inlineStr">
        <is>
          <t>23. Insurance</t>
        </is>
      </c>
      <c r="D194" s="8" t="inlineStr">
        <is>
          <t>23</t>
        </is>
      </c>
      <c r="E194" s="8" t="inlineStr">
        <is>
          <t>part_ix_expenses.insurance</t>
        </is>
      </c>
      <c r="F194" s="8" t="inlineStr">
        <is>
          <t>high</t>
        </is>
      </c>
      <c r="G194" s="9" t="n">
        <v>6094</v>
      </c>
    </row>
    <row r="195">
      <c r="A195" s="8" t="inlineStr">
        <is>
          <t>Operating expenses (detail)</t>
        </is>
      </c>
      <c r="B195" s="8" t="inlineStr">
        <is>
          <t>B42</t>
        </is>
      </c>
      <c r="C195" s="8" t="inlineStr">
        <is>
          <t>24e. All other expenses</t>
        </is>
      </c>
      <c r="D195" s="8" t="inlineStr">
        <is>
          <t>24e</t>
        </is>
      </c>
      <c r="E195" s="8" t="inlineStr">
        <is>
          <t>part_ix_expenses.all_other_expenses</t>
        </is>
      </c>
      <c r="F195" s="8" t="inlineStr">
        <is>
          <t>high</t>
        </is>
      </c>
      <c r="G195" s="9" t="n">
        <v>28923</v>
      </c>
    </row>
    <row r="196">
      <c r="A196" s="8" t="inlineStr">
        <is>
          <t>Operating expenses (detail)</t>
        </is>
      </c>
      <c r="B196" s="8" t="inlineStr">
        <is>
          <t>C42</t>
        </is>
      </c>
      <c r="C196" s="8" t="inlineStr">
        <is>
          <t>24e. All other expenses</t>
        </is>
      </c>
      <c r="D196" s="8" t="inlineStr">
        <is>
          <t>24e</t>
        </is>
      </c>
      <c r="E196" s="8" t="inlineStr">
        <is>
          <t>part_ix_expenses.all_other_expenses</t>
        </is>
      </c>
      <c r="F196" s="8" t="inlineStr">
        <is>
          <t>high</t>
        </is>
      </c>
      <c r="G196" s="9" t="n">
        <v>27757</v>
      </c>
    </row>
    <row r="197">
      <c r="A197" s="8" t="inlineStr">
        <is>
          <t>Operating expenses (detail)</t>
        </is>
      </c>
      <c r="B197" s="8" t="inlineStr">
        <is>
          <t>D42</t>
        </is>
      </c>
      <c r="C197" s="8" t="inlineStr">
        <is>
          <t>24e. All other expenses</t>
        </is>
      </c>
      <c r="D197" s="8" t="inlineStr">
        <is>
          <t>24e</t>
        </is>
      </c>
      <c r="E197" s="8" t="inlineStr">
        <is>
          <t>part_ix_expenses.all_other_expenses</t>
        </is>
      </c>
      <c r="F197" s="8" t="inlineStr">
        <is>
          <t>high</t>
        </is>
      </c>
      <c r="G197" s="9" t="n">
        <v>26611</v>
      </c>
    </row>
    <row r="198">
      <c r="A198" s="8" t="inlineStr">
        <is>
          <t>Operating expenses (detail)</t>
        </is>
      </c>
      <c r="B198" s="8" t="inlineStr">
        <is>
          <t>E42</t>
        </is>
      </c>
      <c r="C198" s="8" t="inlineStr">
        <is>
          <t>24e. All other expenses</t>
        </is>
      </c>
      <c r="D198" s="8" t="inlineStr">
        <is>
          <t>24e</t>
        </is>
      </c>
      <c r="E198" s="8" t="inlineStr">
        <is>
          <t>part_ix_expenses.all_other_expenses</t>
        </is>
      </c>
      <c r="F198" s="8" t="inlineStr">
        <is>
          <t>high</t>
        </is>
      </c>
      <c r="G198" s="9" t="n">
        <v>33100</v>
      </c>
    </row>
    <row r="199">
      <c r="A199" s="8" t="inlineStr">
        <is>
          <t>Operating expenses (detail)</t>
        </is>
      </c>
      <c r="B199" s="8" t="inlineStr">
        <is>
          <t>F42</t>
        </is>
      </c>
      <c r="C199" s="8" t="inlineStr">
        <is>
          <t>24e. All other expenses</t>
        </is>
      </c>
      <c r="D199" s="8" t="inlineStr">
        <is>
          <t>24e</t>
        </is>
      </c>
      <c r="E199" s="8" t="inlineStr">
        <is>
          <t>part_ix_expenses.all_other_expenses</t>
        </is>
      </c>
      <c r="F199" s="8" t="inlineStr">
        <is>
          <t>high</t>
        </is>
      </c>
      <c r="G199" s="9" t="n">
        <v>30333</v>
      </c>
    </row>
    <row r="200">
      <c r="A200" s="8" t="inlineStr">
        <is>
          <t>Balance sheet (detail)</t>
        </is>
      </c>
      <c r="B200" s="8" t="inlineStr">
        <is>
          <t>B7</t>
        </is>
      </c>
      <c r="C200" s="8" t="inlineStr">
        <is>
          <t>1. Cash - non-interest-bearing</t>
        </is>
      </c>
      <c r="D200" s="8" t="inlineStr">
        <is>
          <t>1E</t>
        </is>
      </c>
      <c r="E200" s="8" t="inlineStr">
        <is>
          <t>part_x_balance_sheet.cash_noninterest_eoy</t>
        </is>
      </c>
      <c r="F200" s="8" t="inlineStr">
        <is>
          <t>high</t>
        </is>
      </c>
      <c r="G200" s="9" t="n">
        <v>1145438</v>
      </c>
    </row>
    <row r="201">
      <c r="A201" s="8" t="inlineStr">
        <is>
          <t>Balance sheet (detail)</t>
        </is>
      </c>
      <c r="B201" s="8" t="inlineStr">
        <is>
          <t>C7</t>
        </is>
      </c>
      <c r="C201" s="8" t="inlineStr">
        <is>
          <t>1. Cash - non-interest-bearing</t>
        </is>
      </c>
      <c r="D201" s="8" t="inlineStr">
        <is>
          <t>1E</t>
        </is>
      </c>
      <c r="E201" s="8" t="inlineStr">
        <is>
          <t>part_x_balance_sheet.cash_noninterest_eoy</t>
        </is>
      </c>
      <c r="F201" s="8" t="inlineStr">
        <is>
          <t>high</t>
        </is>
      </c>
      <c r="G201" s="9" t="n">
        <v>1283976</v>
      </c>
    </row>
    <row r="202">
      <c r="A202" s="8" t="inlineStr">
        <is>
          <t>Balance sheet (detail)</t>
        </is>
      </c>
      <c r="B202" s="8" t="inlineStr">
        <is>
          <t>D7</t>
        </is>
      </c>
      <c r="C202" s="8" t="inlineStr">
        <is>
          <t>1. Cash - non-interest-bearing</t>
        </is>
      </c>
      <c r="D202" s="8" t="inlineStr">
        <is>
          <t>1E</t>
        </is>
      </c>
      <c r="E202" s="8" t="inlineStr">
        <is>
          <t>part_x_balance_sheet.cash_noninterest_eoy</t>
        </is>
      </c>
      <c r="F202" s="8" t="inlineStr">
        <is>
          <t>high</t>
        </is>
      </c>
      <c r="G202" s="9" t="n">
        <v>516192</v>
      </c>
    </row>
    <row r="203">
      <c r="A203" s="8" t="inlineStr">
        <is>
          <t>Balance sheet (detail)</t>
        </is>
      </c>
      <c r="B203" s="8" t="inlineStr">
        <is>
          <t>E7</t>
        </is>
      </c>
      <c r="C203" s="8" t="inlineStr">
        <is>
          <t>1. Cash - non-interest-bearing</t>
        </is>
      </c>
      <c r="D203" s="8" t="inlineStr">
        <is>
          <t>1E</t>
        </is>
      </c>
      <c r="E203" s="8" t="inlineStr">
        <is>
          <t>part_x_balance_sheet.cash_noninterest_eoy</t>
        </is>
      </c>
      <c r="F203" s="8" t="inlineStr">
        <is>
          <t>high</t>
        </is>
      </c>
      <c r="G203" s="9" t="n">
        <v>539461</v>
      </c>
    </row>
    <row r="204">
      <c r="A204" s="8" t="inlineStr">
        <is>
          <t>Balance sheet (detail)</t>
        </is>
      </c>
      <c r="B204" s="8" t="inlineStr">
        <is>
          <t>F7</t>
        </is>
      </c>
      <c r="C204" s="8" t="inlineStr">
        <is>
          <t>1. Cash - non-interest-bearing</t>
        </is>
      </c>
      <c r="D204" s="8" t="inlineStr">
        <is>
          <t>1E</t>
        </is>
      </c>
      <c r="E204" s="8" t="inlineStr">
        <is>
          <t>part_x_balance_sheet.cash_noninterest_eoy</t>
        </is>
      </c>
      <c r="F204" s="8" t="inlineStr">
        <is>
          <t>high</t>
        </is>
      </c>
      <c r="G204" s="9" t="n">
        <v>792966</v>
      </c>
    </row>
    <row r="205">
      <c r="A205" s="8" t="inlineStr">
        <is>
          <t>Balance sheet (detail)</t>
        </is>
      </c>
      <c r="B205" s="8" t="inlineStr">
        <is>
          <t>B8</t>
        </is>
      </c>
      <c r="C205" s="8" t="inlineStr">
        <is>
          <t>2. Savings and temporary cash investments</t>
        </is>
      </c>
      <c r="D205" s="8" t="inlineStr">
        <is>
          <t>2E</t>
        </is>
      </c>
      <c r="E205" s="8" t="inlineStr">
        <is>
          <t>part_x_balance_sheet.savings_temp_invest_eoy</t>
        </is>
      </c>
      <c r="F205" s="8" t="inlineStr">
        <is>
          <t>high</t>
        </is>
      </c>
      <c r="G205" s="9" t="n">
        <v>0</v>
      </c>
    </row>
    <row r="206">
      <c r="A206" s="8" t="inlineStr">
        <is>
          <t>Balance sheet (detail)</t>
        </is>
      </c>
      <c r="B206" s="8" t="inlineStr">
        <is>
          <t>C8</t>
        </is>
      </c>
      <c r="C206" s="8" t="inlineStr">
        <is>
          <t>2. Savings and temporary cash investments</t>
        </is>
      </c>
      <c r="D206" s="8" t="inlineStr">
        <is>
          <t>2E</t>
        </is>
      </c>
      <c r="E206" s="8" t="inlineStr">
        <is>
          <t>part_x_balance_sheet.savings_temp_invest_eoy</t>
        </is>
      </c>
      <c r="F206" s="8" t="inlineStr">
        <is>
          <t>high</t>
        </is>
      </c>
      <c r="G206" s="9" t="n">
        <v>0</v>
      </c>
    </row>
    <row r="207">
      <c r="A207" s="8" t="inlineStr">
        <is>
          <t>Balance sheet (detail)</t>
        </is>
      </c>
      <c r="B207" s="8" t="inlineStr">
        <is>
          <t>D8</t>
        </is>
      </c>
      <c r="C207" s="8" t="inlineStr">
        <is>
          <t>2. Savings and temporary cash investments</t>
        </is>
      </c>
      <c r="D207" s="8" t="inlineStr">
        <is>
          <t>2E</t>
        </is>
      </c>
      <c r="E207" s="8" t="inlineStr">
        <is>
          <t>part_x_balance_sheet.savings_temp_invest_eoy</t>
        </is>
      </c>
      <c r="F207" s="8" t="inlineStr">
        <is>
          <t>high</t>
        </is>
      </c>
      <c r="G207" s="9" t="n">
        <v>998838</v>
      </c>
    </row>
    <row r="208">
      <c r="A208" s="8" t="inlineStr">
        <is>
          <t>Balance sheet (detail)</t>
        </is>
      </c>
      <c r="B208" s="8" t="inlineStr">
        <is>
          <t>E8</t>
        </is>
      </c>
      <c r="C208" s="8" t="inlineStr">
        <is>
          <t>2. Savings and temporary cash investments</t>
        </is>
      </c>
      <c r="D208" s="8" t="inlineStr">
        <is>
          <t>2E</t>
        </is>
      </c>
      <c r="E208" s="8" t="inlineStr">
        <is>
          <t>part_x_balance_sheet.savings_temp_invest_eoy</t>
        </is>
      </c>
      <c r="F208" s="8" t="inlineStr">
        <is>
          <t>high</t>
        </is>
      </c>
      <c r="G208" s="9" t="n">
        <v>1039979</v>
      </c>
    </row>
    <row r="209">
      <c r="A209" s="8" t="inlineStr">
        <is>
          <t>Balance sheet (detail)</t>
        </is>
      </c>
      <c r="B209" s="8" t="inlineStr">
        <is>
          <t>F8</t>
        </is>
      </c>
      <c r="C209" s="8" t="inlineStr">
        <is>
          <t>2. Savings and temporary cash investments</t>
        </is>
      </c>
      <c r="D209" s="8" t="inlineStr">
        <is>
          <t>2E</t>
        </is>
      </c>
      <c r="E209" s="8" t="inlineStr">
        <is>
          <t>part_x_balance_sheet.savings_temp_invest_eoy</t>
        </is>
      </c>
      <c r="F209" s="8" t="inlineStr">
        <is>
          <t>high</t>
        </is>
      </c>
      <c r="G209" s="9" t="n">
        <v>1121328</v>
      </c>
    </row>
    <row r="210">
      <c r="A210" s="8" t="inlineStr">
        <is>
          <t>Balance sheet (detail)</t>
        </is>
      </c>
      <c r="B210" s="8" t="inlineStr">
        <is>
          <t>B9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C9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D9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E9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F9</t>
        </is>
      </c>
      <c r="C214" s="8" t="inlineStr">
        <is>
          <t>3. Pledges and grants receivable, net</t>
        </is>
      </c>
      <c r="D214" s="8" t="inlineStr">
        <is>
          <t>3E</t>
        </is>
      </c>
      <c r="E214" s="8" t="inlineStr">
        <is>
          <t>part_x_balance_sheet.pledges_grants_receivable_eoy</t>
        </is>
      </c>
      <c r="F214" s="8" t="inlineStr">
        <is>
          <t>high</t>
        </is>
      </c>
      <c r="G214" s="9" t="n">
        <v>0</v>
      </c>
    </row>
    <row r="215">
      <c r="A215" s="8" t="inlineStr">
        <is>
          <t>Balance sheet (detail)</t>
        </is>
      </c>
      <c r="B215" s="8" t="inlineStr">
        <is>
          <t>B10</t>
        </is>
      </c>
      <c r="C215" s="8" t="inlineStr">
        <is>
          <t>4. Accounts receivable, net</t>
        </is>
      </c>
      <c r="D215" s="8" t="inlineStr">
        <is>
          <t>4E</t>
        </is>
      </c>
      <c r="E215" s="8" t="inlineStr">
        <is>
          <t>part_x_balance_sheet.accounts_receivable_eoy</t>
        </is>
      </c>
      <c r="F215" s="8" t="inlineStr">
        <is>
          <t>high</t>
        </is>
      </c>
      <c r="G215" s="9" t="n">
        <v>0</v>
      </c>
    </row>
    <row r="216">
      <c r="A216" s="8" t="inlineStr">
        <is>
          <t>Balance sheet (detail)</t>
        </is>
      </c>
      <c r="B216" s="8" t="inlineStr">
        <is>
          <t>C10</t>
        </is>
      </c>
      <c r="C216" s="8" t="inlineStr">
        <is>
          <t>4. Accounts receivable, net</t>
        </is>
      </c>
      <c r="D216" s="8" t="inlineStr">
        <is>
          <t>4E</t>
        </is>
      </c>
      <c r="E216" s="8" t="inlineStr">
        <is>
          <t>part_x_balance_sheet.accounts_receivable_eoy</t>
        </is>
      </c>
      <c r="F216" s="8" t="inlineStr">
        <is>
          <t>high</t>
        </is>
      </c>
      <c r="G216" s="9" t="n">
        <v>0</v>
      </c>
    </row>
    <row r="217">
      <c r="A217" s="8" t="inlineStr">
        <is>
          <t>Balance sheet (detail)</t>
        </is>
      </c>
      <c r="B217" s="8" t="inlineStr">
        <is>
          <t>D10</t>
        </is>
      </c>
      <c r="C217" s="8" t="inlineStr">
        <is>
          <t>4. Accounts receivable, net</t>
        </is>
      </c>
      <c r="D217" s="8" t="inlineStr">
        <is>
          <t>4E</t>
        </is>
      </c>
      <c r="E217" s="8" t="inlineStr">
        <is>
          <t>part_x_balance_sheet.accounts_receivable_eoy</t>
        </is>
      </c>
      <c r="F217" s="8" t="inlineStr">
        <is>
          <t>high</t>
        </is>
      </c>
      <c r="G217" s="9" t="n">
        <v>0</v>
      </c>
    </row>
    <row r="218">
      <c r="A218" s="8" t="inlineStr">
        <is>
          <t>Balance sheet (detail)</t>
        </is>
      </c>
      <c r="B218" s="8" t="inlineStr">
        <is>
          <t>E10</t>
        </is>
      </c>
      <c r="C218" s="8" t="inlineStr">
        <is>
          <t>4. Accounts receivable, net</t>
        </is>
      </c>
      <c r="D218" s="8" t="inlineStr">
        <is>
          <t>4E</t>
        </is>
      </c>
      <c r="E218" s="8" t="inlineStr">
        <is>
          <t>part_x_balance_sheet.accounts_receivable_eoy</t>
        </is>
      </c>
      <c r="F218" s="8" t="inlineStr">
        <is>
          <t>high</t>
        </is>
      </c>
      <c r="G218" s="9" t="n">
        <v>0</v>
      </c>
    </row>
    <row r="219">
      <c r="A219" s="8" t="inlineStr">
        <is>
          <t>Balance sheet (detail)</t>
        </is>
      </c>
      <c r="B219" s="8" t="inlineStr">
        <is>
          <t>F10</t>
        </is>
      </c>
      <c r="C219" s="8" t="inlineStr">
        <is>
          <t>4. Accounts receivable, net</t>
        </is>
      </c>
      <c r="D219" s="8" t="inlineStr">
        <is>
          <t>4E</t>
        </is>
      </c>
      <c r="E219" s="8" t="inlineStr">
        <is>
          <t>part_x_balance_sheet.accounts_receivable_eoy</t>
        </is>
      </c>
      <c r="F219" s="8" t="inlineStr">
        <is>
          <t>high</t>
        </is>
      </c>
      <c r="G219" s="9" t="n">
        <v>0</v>
      </c>
    </row>
    <row r="220">
      <c r="A220" s="8" t="inlineStr">
        <is>
          <t>Balance sheet (detail)</t>
        </is>
      </c>
      <c r="B220" s="8" t="inlineStr">
        <is>
          <t>B11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C11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D11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E11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F11</t>
        </is>
      </c>
      <c r="C224" s="8" t="inlineStr">
        <is>
          <t>5. Receivables from officers/directors/trustees</t>
        </is>
      </c>
      <c r="D224" s="8" t="inlineStr">
        <is>
          <t>5E</t>
        </is>
      </c>
      <c r="E224" s="8" t="inlineStr">
        <is>
          <t>part_x_balance_sheet.receivables_officers_eoy</t>
        </is>
      </c>
      <c r="F224" s="8" t="inlineStr">
        <is>
          <t>high</t>
        </is>
      </c>
      <c r="G224" s="9" t="n">
        <v>0</v>
      </c>
    </row>
    <row r="225">
      <c r="A225" s="8" t="inlineStr">
        <is>
          <t>Balance sheet (detail)</t>
        </is>
      </c>
      <c r="B225" s="8" t="inlineStr">
        <is>
          <t>B12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C12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D12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E12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F12</t>
        </is>
      </c>
      <c r="C229" s="8" t="inlineStr">
        <is>
          <t>6. Receivables from disqualified persons</t>
        </is>
      </c>
      <c r="D229" s="8" t="inlineStr">
        <is>
          <t>6E</t>
        </is>
      </c>
      <c r="E229" s="8" t="inlineStr">
        <is>
          <t>part_x_balance_sheet.receivables_disqualified_eoy</t>
        </is>
      </c>
      <c r="F229" s="8" t="inlineStr">
        <is>
          <t>high</t>
        </is>
      </c>
      <c r="G229" s="9" t="n">
        <v>0</v>
      </c>
    </row>
    <row r="230">
      <c r="A230" s="8" t="inlineStr">
        <is>
          <t>Balance sheet (detail)</t>
        </is>
      </c>
      <c r="B230" s="8" t="inlineStr">
        <is>
          <t>B13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C13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D13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E13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F13</t>
        </is>
      </c>
      <c r="C234" s="8" t="inlineStr">
        <is>
          <t>7. Notes and loans receivable, net</t>
        </is>
      </c>
      <c r="D234" s="8" t="inlineStr">
        <is>
          <t>7E</t>
        </is>
      </c>
      <c r="E234" s="8" t="inlineStr">
        <is>
          <t>part_x_balance_sheet.notes_loans_receivable_eoy</t>
        </is>
      </c>
      <c r="F234" s="8" t="inlineStr">
        <is>
          <t>high</t>
        </is>
      </c>
      <c r="G234" s="9" t="n">
        <v>0</v>
      </c>
    </row>
    <row r="235">
      <c r="A235" s="8" t="inlineStr">
        <is>
          <t>Balance sheet (detail)</t>
        </is>
      </c>
      <c r="B235" s="8" t="inlineStr">
        <is>
          <t>B14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C14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D14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E14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F14</t>
        </is>
      </c>
      <c r="C239" s="8" t="inlineStr">
        <is>
          <t>8. Inventories for sale or use</t>
        </is>
      </c>
      <c r="D239" s="8" t="inlineStr">
        <is>
          <t>8E</t>
        </is>
      </c>
      <c r="E239" s="8" t="inlineStr">
        <is>
          <t>part_x_balance_sheet.inventories_eoy</t>
        </is>
      </c>
      <c r="F239" s="8" t="inlineStr">
        <is>
          <t>high</t>
        </is>
      </c>
      <c r="G239" s="9" t="n">
        <v>0</v>
      </c>
    </row>
    <row r="240">
      <c r="A240" s="8" t="inlineStr">
        <is>
          <t>Balance sheet (detail)</t>
        </is>
      </c>
      <c r="B240" s="8" t="inlineStr">
        <is>
          <t>B15</t>
        </is>
      </c>
      <c r="C240" s="8" t="inlineStr">
        <is>
          <t>9. Prepaid expenses and deferred charges</t>
        </is>
      </c>
      <c r="D240" s="8" t="inlineStr">
        <is>
          <t>9E</t>
        </is>
      </c>
      <c r="E240" s="8" t="inlineStr">
        <is>
          <t>part_x_balance_sheet.prepaid_expenses_eoy</t>
        </is>
      </c>
      <c r="F240" s="8" t="inlineStr">
        <is>
          <t>high</t>
        </is>
      </c>
      <c r="G240" s="9" t="n">
        <v>0</v>
      </c>
    </row>
    <row r="241">
      <c r="A241" s="8" t="inlineStr">
        <is>
          <t>Balance sheet (detail)</t>
        </is>
      </c>
      <c r="B241" s="8" t="inlineStr">
        <is>
          <t>C15</t>
        </is>
      </c>
      <c r="C241" s="8" t="inlineStr">
        <is>
          <t>9. Prepaid expenses and deferred charges</t>
        </is>
      </c>
      <c r="D241" s="8" t="inlineStr">
        <is>
          <t>9E</t>
        </is>
      </c>
      <c r="E241" s="8" t="inlineStr">
        <is>
          <t>part_x_balance_sheet.prepaid_expenses_eoy</t>
        </is>
      </c>
      <c r="F241" s="8" t="inlineStr">
        <is>
          <t>high</t>
        </is>
      </c>
      <c r="G241" s="9" t="n">
        <v>1005</v>
      </c>
    </row>
    <row r="242">
      <c r="A242" s="8" t="inlineStr">
        <is>
          <t>Balance sheet (detail)</t>
        </is>
      </c>
      <c r="B242" s="8" t="inlineStr">
        <is>
          <t>D15</t>
        </is>
      </c>
      <c r="C242" s="8" t="inlineStr">
        <is>
          <t>9. Prepaid expenses and deferred charges</t>
        </is>
      </c>
      <c r="D242" s="8" t="inlineStr">
        <is>
          <t>9E</t>
        </is>
      </c>
      <c r="E242" s="8" t="inlineStr">
        <is>
          <t>part_x_balance_sheet.prepaid_expenses_eoy</t>
        </is>
      </c>
      <c r="F242" s="8" t="inlineStr">
        <is>
          <t>high</t>
        </is>
      </c>
      <c r="G242" s="9" t="n">
        <v>1029</v>
      </c>
    </row>
    <row r="243">
      <c r="A243" s="8" t="inlineStr">
        <is>
          <t>Balance sheet (detail)</t>
        </is>
      </c>
      <c r="B243" s="8" t="inlineStr">
        <is>
          <t>E15</t>
        </is>
      </c>
      <c r="C243" s="8" t="inlineStr">
        <is>
          <t>9. Prepaid expenses and deferred charges</t>
        </is>
      </c>
      <c r="D243" s="8" t="inlineStr">
        <is>
          <t>9E</t>
        </is>
      </c>
      <c r="E243" s="8" t="inlineStr">
        <is>
          <t>part_x_balance_sheet.prepaid_expenses_eoy</t>
        </is>
      </c>
      <c r="F243" s="8" t="inlineStr">
        <is>
          <t>high</t>
        </is>
      </c>
      <c r="G243" s="9" t="n">
        <v>0</v>
      </c>
    </row>
    <row r="244">
      <c r="A244" s="8" t="inlineStr">
        <is>
          <t>Balance sheet (detail)</t>
        </is>
      </c>
      <c r="B244" s="8" t="inlineStr">
        <is>
          <t>F15</t>
        </is>
      </c>
      <c r="C244" s="8" t="inlineStr">
        <is>
          <t>9. Prepaid expenses and deferred charges</t>
        </is>
      </c>
      <c r="D244" s="8" t="inlineStr">
        <is>
          <t>9E</t>
        </is>
      </c>
      <c r="E244" s="8" t="inlineStr">
        <is>
          <t>part_x_balance_sheet.prepaid_expenses_eoy</t>
        </is>
      </c>
      <c r="F244" s="8" t="inlineStr">
        <is>
          <t>high</t>
        </is>
      </c>
      <c r="G244" s="9" t="n">
        <v>0</v>
      </c>
    </row>
    <row r="245">
      <c r="A245" s="8" t="inlineStr">
        <is>
          <t>Balance sheet (detail)</t>
        </is>
      </c>
      <c r="B245" s="8" t="inlineStr">
        <is>
          <t>B16</t>
        </is>
      </c>
      <c r="C245" s="8" t="inlineStr">
        <is>
          <t>10c. Land, buildings, and equipment, net</t>
        </is>
      </c>
      <c r="D245" s="8" t="inlineStr">
        <is>
          <t>10cE</t>
        </is>
      </c>
      <c r="E245" s="8" t="inlineStr">
        <is>
          <t>part_x_balance_sheet.land_bldg_equip_net_eoy</t>
        </is>
      </c>
      <c r="F245" s="8" t="inlineStr">
        <is>
          <t>high</t>
        </is>
      </c>
      <c r="G245" s="9" t="n">
        <v>1356752</v>
      </c>
    </row>
    <row r="246">
      <c r="A246" s="8" t="inlineStr">
        <is>
          <t>Balance sheet (detail)</t>
        </is>
      </c>
      <c r="B246" s="8" t="inlineStr">
        <is>
          <t>C16</t>
        </is>
      </c>
      <c r="C246" s="8" t="inlineStr">
        <is>
          <t>10c. Land, buildings, and equipment, net</t>
        </is>
      </c>
      <c r="D246" s="8" t="inlineStr">
        <is>
          <t>10cE</t>
        </is>
      </c>
      <c r="E246" s="8" t="inlineStr">
        <is>
          <t>part_x_balance_sheet.land_bldg_equip_net_eoy</t>
        </is>
      </c>
      <c r="F246" s="8" t="inlineStr">
        <is>
          <t>high</t>
        </is>
      </c>
      <c r="G246" s="9" t="n">
        <v>1550432</v>
      </c>
    </row>
    <row r="247">
      <c r="A247" s="8" t="inlineStr">
        <is>
          <t>Balance sheet (detail)</t>
        </is>
      </c>
      <c r="B247" s="8" t="inlineStr">
        <is>
          <t>D16</t>
        </is>
      </c>
      <c r="C247" s="8" t="inlineStr">
        <is>
          <t>10c. Land, buildings, and equipment, net</t>
        </is>
      </c>
      <c r="D247" s="8" t="inlineStr">
        <is>
          <t>10cE</t>
        </is>
      </c>
      <c r="E247" s="8" t="inlineStr">
        <is>
          <t>part_x_balance_sheet.land_bldg_equip_net_eoy</t>
        </is>
      </c>
      <c r="F247" s="8" t="inlineStr">
        <is>
          <t>high</t>
        </is>
      </c>
      <c r="G247" s="9" t="n">
        <v>1525267</v>
      </c>
    </row>
    <row r="248">
      <c r="A248" s="8" t="inlineStr">
        <is>
          <t>Balance sheet (detail)</t>
        </is>
      </c>
      <c r="B248" s="8" t="inlineStr">
        <is>
          <t>E16</t>
        </is>
      </c>
      <c r="C248" s="8" t="inlineStr">
        <is>
          <t>10c. Land, buildings, and equipment, net</t>
        </is>
      </c>
      <c r="D248" s="8" t="inlineStr">
        <is>
          <t>10cE</t>
        </is>
      </c>
      <c r="E248" s="8" t="inlineStr">
        <is>
          <t>part_x_balance_sheet.land_bldg_equip_net_eoy</t>
        </is>
      </c>
      <c r="F248" s="8" t="inlineStr">
        <is>
          <t>high</t>
        </is>
      </c>
      <c r="G248" s="9" t="n">
        <v>1475033</v>
      </c>
    </row>
    <row r="249">
      <c r="A249" s="8" t="inlineStr">
        <is>
          <t>Balance sheet (detail)</t>
        </is>
      </c>
      <c r="B249" s="8" t="inlineStr">
        <is>
          <t>F16</t>
        </is>
      </c>
      <c r="C249" s="8" t="inlineStr">
        <is>
          <t>10c. Land, buildings, and equipment, net</t>
        </is>
      </c>
      <c r="D249" s="8" t="inlineStr">
        <is>
          <t>10cE</t>
        </is>
      </c>
      <c r="E249" s="8" t="inlineStr">
        <is>
          <t>part_x_balance_sheet.land_bldg_equip_net_eoy</t>
        </is>
      </c>
      <c r="F249" s="8" t="inlineStr">
        <is>
          <t>high</t>
        </is>
      </c>
      <c r="G249" s="9" t="n">
        <v>1383434</v>
      </c>
    </row>
    <row r="250">
      <c r="A250" s="8" t="inlineStr">
        <is>
          <t>Balance sheet (detail)</t>
        </is>
      </c>
      <c r="B250" s="8" t="inlineStr">
        <is>
          <t>B17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C17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D17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E17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F17</t>
        </is>
      </c>
      <c r="C254" s="8" t="inlineStr">
        <is>
          <t>11. Investments - publicly traded securities</t>
        </is>
      </c>
      <c r="D254" s="8" t="inlineStr">
        <is>
          <t>11E</t>
        </is>
      </c>
      <c r="E254" s="8" t="inlineStr">
        <is>
          <t>part_x_balance_sheet.investments_public_securities_eoy</t>
        </is>
      </c>
      <c r="F254" s="8" t="inlineStr">
        <is>
          <t>high</t>
        </is>
      </c>
      <c r="G254" s="9" t="n">
        <v>0</v>
      </c>
    </row>
    <row r="255">
      <c r="A255" s="8" t="inlineStr">
        <is>
          <t>Balance sheet (detail)</t>
        </is>
      </c>
      <c r="B255" s="8" t="inlineStr">
        <is>
          <t>B18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C18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D18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E18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F18</t>
        </is>
      </c>
      <c r="C259" s="8" t="inlineStr">
        <is>
          <t>12. Investments - other securities</t>
        </is>
      </c>
      <c r="D259" s="8" t="inlineStr">
        <is>
          <t>12E</t>
        </is>
      </c>
      <c r="E259" s="8" t="inlineStr">
        <is>
          <t>part_x_balance_sheet.investments_other_securities_eoy</t>
        </is>
      </c>
      <c r="F259" s="8" t="inlineStr">
        <is>
          <t>high</t>
        </is>
      </c>
      <c r="G259" s="9" t="n">
        <v>0</v>
      </c>
    </row>
    <row r="260">
      <c r="A260" s="8" t="inlineStr">
        <is>
          <t>Balance sheet (detail)</t>
        </is>
      </c>
      <c r="B260" s="8" t="inlineStr">
        <is>
          <t>B19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C19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D19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E19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F19</t>
        </is>
      </c>
      <c r="C264" s="8" t="inlineStr">
        <is>
          <t>13. Investments - program-related</t>
        </is>
      </c>
      <c r="D264" s="8" t="inlineStr">
        <is>
          <t>13E</t>
        </is>
      </c>
      <c r="E264" s="8" t="inlineStr">
        <is>
          <t>part_x_balance_sheet.investments_program_related_eoy</t>
        </is>
      </c>
      <c r="F264" s="8" t="inlineStr">
        <is>
          <t>high</t>
        </is>
      </c>
      <c r="G264" s="9" t="n">
        <v>0</v>
      </c>
    </row>
    <row r="265">
      <c r="A265" s="8" t="inlineStr">
        <is>
          <t>Balance sheet (detail)</t>
        </is>
      </c>
      <c r="B265" s="8" t="inlineStr">
        <is>
          <t>B20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C20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D20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E20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F20</t>
        </is>
      </c>
      <c r="C269" s="8" t="inlineStr">
        <is>
          <t>14. Intangible assets</t>
        </is>
      </c>
      <c r="D269" s="8" t="inlineStr">
        <is>
          <t>14E</t>
        </is>
      </c>
      <c r="E269" s="8" t="inlineStr">
        <is>
          <t>part_x_balance_sheet.intangible_assets_eoy</t>
        </is>
      </c>
      <c r="F269" s="8" t="inlineStr">
        <is>
          <t>high</t>
        </is>
      </c>
      <c r="G269" s="9" t="n">
        <v>0</v>
      </c>
    </row>
    <row r="270">
      <c r="A270" s="8" t="inlineStr">
        <is>
          <t>Balance sheet (detail)</t>
        </is>
      </c>
      <c r="B270" s="8" t="inlineStr">
        <is>
          <t>B21</t>
        </is>
      </c>
      <c r="C270" s="8" t="inlineStr">
        <is>
          <t>15. Other assets</t>
        </is>
      </c>
      <c r="D270" s="8" t="inlineStr">
        <is>
          <t>15E</t>
        </is>
      </c>
      <c r="E270" s="8" t="inlineStr">
        <is>
          <t>part_x_balance_sheet.other_assets_eoy</t>
        </is>
      </c>
      <c r="F270" s="8" t="inlineStr">
        <is>
          <t>high</t>
        </is>
      </c>
      <c r="G270" s="9" t="n">
        <v>638</v>
      </c>
    </row>
    <row r="271">
      <c r="A271" s="8" t="inlineStr">
        <is>
          <t>Balance sheet (detail)</t>
        </is>
      </c>
      <c r="B271" s="8" t="inlineStr">
        <is>
          <t>C21</t>
        </is>
      </c>
      <c r="C271" s="8" t="inlineStr">
        <is>
          <t>15. Other assets</t>
        </is>
      </c>
      <c r="D271" s="8" t="inlineStr">
        <is>
          <t>15E</t>
        </is>
      </c>
      <c r="E271" s="8" t="inlineStr">
        <is>
          <t>part_x_balance_sheet.other_assets_eoy</t>
        </is>
      </c>
      <c r="F271" s="8" t="inlineStr">
        <is>
          <t>high</t>
        </is>
      </c>
      <c r="G271" s="9" t="n">
        <v>638</v>
      </c>
    </row>
    <row r="272">
      <c r="A272" s="8" t="inlineStr">
        <is>
          <t>Balance sheet (detail)</t>
        </is>
      </c>
      <c r="B272" s="8" t="inlineStr">
        <is>
          <t>D21</t>
        </is>
      </c>
      <c r="C272" s="8" t="inlineStr">
        <is>
          <t>15. Other assets</t>
        </is>
      </c>
      <c r="D272" s="8" t="inlineStr">
        <is>
          <t>15E</t>
        </is>
      </c>
      <c r="E272" s="8" t="inlineStr">
        <is>
          <t>part_x_balance_sheet.other_assets_eoy</t>
        </is>
      </c>
      <c r="F272" s="8" t="inlineStr">
        <is>
          <t>high</t>
        </is>
      </c>
      <c r="G272" s="9" t="n">
        <v>638</v>
      </c>
    </row>
    <row r="273">
      <c r="A273" s="8" t="inlineStr">
        <is>
          <t>Balance sheet (detail)</t>
        </is>
      </c>
      <c r="B273" s="8" t="inlineStr">
        <is>
          <t>E21</t>
        </is>
      </c>
      <c r="C273" s="8" t="inlineStr">
        <is>
          <t>15. Other assets</t>
        </is>
      </c>
      <c r="D273" s="8" t="inlineStr">
        <is>
          <t>15E</t>
        </is>
      </c>
      <c r="E273" s="8" t="inlineStr">
        <is>
          <t>part_x_balance_sheet.other_assets_eoy</t>
        </is>
      </c>
      <c r="F273" s="8" t="inlineStr">
        <is>
          <t>high</t>
        </is>
      </c>
      <c r="G273" s="9" t="n">
        <v>639</v>
      </c>
    </row>
    <row r="274">
      <c r="A274" s="8" t="inlineStr">
        <is>
          <t>Balance sheet (detail)</t>
        </is>
      </c>
      <c r="B274" s="8" t="inlineStr">
        <is>
          <t>F21</t>
        </is>
      </c>
      <c r="C274" s="8" t="inlineStr">
        <is>
          <t>15. Other assets</t>
        </is>
      </c>
      <c r="D274" s="8" t="inlineStr">
        <is>
          <t>15E</t>
        </is>
      </c>
      <c r="E274" s="8" t="inlineStr">
        <is>
          <t>part_x_balance_sheet.other_assets_eoy</t>
        </is>
      </c>
      <c r="F274" s="8" t="inlineStr">
        <is>
          <t>high</t>
        </is>
      </c>
      <c r="G274" s="9" t="n">
        <v>638</v>
      </c>
    </row>
    <row r="275">
      <c r="A275" s="8" t="inlineStr">
        <is>
          <t>Balance sheet (detail)</t>
        </is>
      </c>
      <c r="B275" s="8" t="inlineStr">
        <is>
          <t>B25</t>
        </is>
      </c>
      <c r="C275" s="8" t="inlineStr">
        <is>
          <t>17. Accounts payable and accrued expenses</t>
        </is>
      </c>
      <c r="D275" s="8" t="inlineStr">
        <is>
          <t>17E</t>
        </is>
      </c>
      <c r="E275" s="8" t="inlineStr">
        <is>
          <t>part_x_balance_sheet.accounts_payable_eoy</t>
        </is>
      </c>
      <c r="F275" s="8" t="inlineStr">
        <is>
          <t>high</t>
        </is>
      </c>
      <c r="G275" s="9" t="n">
        <v>739</v>
      </c>
    </row>
    <row r="276">
      <c r="A276" s="8" t="inlineStr">
        <is>
          <t>Balance sheet (detail)</t>
        </is>
      </c>
      <c r="B276" s="8" t="inlineStr">
        <is>
          <t>E25</t>
        </is>
      </c>
      <c r="C276" s="8" t="inlineStr">
        <is>
          <t>17. Accounts payable and accrued expenses</t>
        </is>
      </c>
      <c r="D276" s="8" t="inlineStr">
        <is>
          <t>17E</t>
        </is>
      </c>
      <c r="E276" s="8" t="inlineStr">
        <is>
          <t>part_x_balance_sheet.accounts_payable_eoy</t>
        </is>
      </c>
      <c r="F276" s="8" t="inlineStr">
        <is>
          <t>high</t>
        </is>
      </c>
      <c r="G276" s="9" t="n">
        <v>3794</v>
      </c>
    </row>
    <row r="277">
      <c r="A277" s="8" t="inlineStr">
        <is>
          <t>Balance sheet (detail)</t>
        </is>
      </c>
      <c r="B277" s="8" t="inlineStr">
        <is>
          <t>F25</t>
        </is>
      </c>
      <c r="C277" s="8" t="inlineStr">
        <is>
          <t>17. Accounts payable and accrued expenses</t>
        </is>
      </c>
      <c r="D277" s="8" t="inlineStr">
        <is>
          <t>17E</t>
        </is>
      </c>
      <c r="E277" s="8" t="inlineStr">
        <is>
          <t>part_x_balance_sheet.accounts_payable_eoy</t>
        </is>
      </c>
      <c r="F277" s="8" t="inlineStr">
        <is>
          <t>high</t>
        </is>
      </c>
      <c r="G277" s="9" t="n">
        <v>2066</v>
      </c>
    </row>
    <row r="278">
      <c r="A278" s="8" t="inlineStr">
        <is>
          <t>Balance sheet (detail)</t>
        </is>
      </c>
      <c r="B278" s="8" t="inlineStr">
        <is>
          <t>D26</t>
        </is>
      </c>
      <c r="C278" s="8" t="inlineStr">
        <is>
          <t>25. Other liabilities</t>
        </is>
      </c>
      <c r="D278" s="8" t="inlineStr">
        <is>
          <t>25E</t>
        </is>
      </c>
      <c r="E278" s="8" t="inlineStr">
        <is>
          <t>part_x_balance_sheet.other_liabilities_eoy</t>
        </is>
      </c>
      <c r="F278" s="8" t="inlineStr">
        <is>
          <t>high</t>
        </is>
      </c>
      <c r="G278" s="9" t="n">
        <v>11384</v>
      </c>
    </row>
    <row r="279">
      <c r="A279" s="8" t="inlineStr">
        <is>
          <t>Balance sheet (detail)</t>
        </is>
      </c>
      <c r="B279" s="8" t="inlineStr">
        <is>
          <t>B30</t>
        </is>
      </c>
      <c r="C279" s="8" t="inlineStr">
        <is>
          <t>30. Paid-in or capital surplus</t>
        </is>
      </c>
      <c r="D279" s="8" t="inlineStr">
        <is>
          <t>30E</t>
        </is>
      </c>
      <c r="E279" s="8" t="inlineStr">
        <is>
          <t>part_x_balance_sheet.paid_in_capital_eoy</t>
        </is>
      </c>
      <c r="F279" s="8" t="inlineStr">
        <is>
          <t>high</t>
        </is>
      </c>
      <c r="G279" s="9" t="n">
        <v>64744</v>
      </c>
    </row>
    <row r="280">
      <c r="A280" s="8" t="inlineStr">
        <is>
          <t>Balance sheet (detail)</t>
        </is>
      </c>
      <c r="B280" s="8" t="inlineStr">
        <is>
          <t>C30</t>
        </is>
      </c>
      <c r="C280" s="8" t="inlineStr">
        <is>
          <t>30. Paid-in or capital surplus</t>
        </is>
      </c>
      <c r="D280" s="8" t="inlineStr">
        <is>
          <t>30E</t>
        </is>
      </c>
      <c r="E280" s="8" t="inlineStr">
        <is>
          <t>part_x_balance_sheet.paid_in_capital_eoy</t>
        </is>
      </c>
      <c r="F280" s="8" t="inlineStr">
        <is>
          <t>high</t>
        </is>
      </c>
      <c r="G280" s="9" t="n">
        <v>64744</v>
      </c>
    </row>
    <row r="281">
      <c r="A281" s="8" t="inlineStr">
        <is>
          <t>Balance sheet (detail)</t>
        </is>
      </c>
      <c r="B281" s="8" t="inlineStr">
        <is>
          <t>D30</t>
        </is>
      </c>
      <c r="C281" s="8" t="inlineStr">
        <is>
          <t>30. Paid-in or capital surplus</t>
        </is>
      </c>
      <c r="D281" s="8" t="inlineStr">
        <is>
          <t>30E</t>
        </is>
      </c>
      <c r="E281" s="8" t="inlineStr">
        <is>
          <t>part_x_balance_sheet.paid_in_capital_eoy</t>
        </is>
      </c>
      <c r="F281" s="8" t="inlineStr">
        <is>
          <t>high</t>
        </is>
      </c>
      <c r="G281" s="9" t="n">
        <v>64744</v>
      </c>
    </row>
    <row r="282">
      <c r="A282" s="8" t="inlineStr">
        <is>
          <t>Balance sheet (detail)</t>
        </is>
      </c>
      <c r="B282" s="8" t="inlineStr">
        <is>
          <t>E30</t>
        </is>
      </c>
      <c r="C282" s="8" t="inlineStr">
        <is>
          <t>30. Paid-in or capital surplus</t>
        </is>
      </c>
      <c r="D282" s="8" t="inlineStr">
        <is>
          <t>30E</t>
        </is>
      </c>
      <c r="E282" s="8" t="inlineStr">
        <is>
          <t>part_x_balance_sheet.paid_in_capital_eoy</t>
        </is>
      </c>
      <c r="F282" s="8" t="inlineStr">
        <is>
          <t>high</t>
        </is>
      </c>
      <c r="G282" s="9" t="n">
        <v>64744</v>
      </c>
    </row>
    <row r="283">
      <c r="A283" s="8" t="inlineStr">
        <is>
          <t>Balance sheet (detail)</t>
        </is>
      </c>
      <c r="B283" s="8" t="inlineStr">
        <is>
          <t>F30</t>
        </is>
      </c>
      <c r="C283" s="8" t="inlineStr">
        <is>
          <t>30. Paid-in or capital surplus</t>
        </is>
      </c>
      <c r="D283" s="8" t="inlineStr">
        <is>
          <t>30E</t>
        </is>
      </c>
      <c r="E283" s="8" t="inlineStr">
        <is>
          <t>part_x_balance_sheet.paid_in_capital_eoy</t>
        </is>
      </c>
      <c r="F283" s="8" t="inlineStr">
        <is>
          <t>high</t>
        </is>
      </c>
      <c r="G283" s="9" t="n">
        <v>64744</v>
      </c>
    </row>
    <row r="284">
      <c r="A284" s="8" t="inlineStr">
        <is>
          <t>Balance sheet (detail)</t>
        </is>
      </c>
      <c r="B284" s="8" t="inlineStr">
        <is>
          <t>B31</t>
        </is>
      </c>
      <c r="C284" s="8" t="inlineStr">
        <is>
          <t>31. Retained earnings / accumulated funds</t>
        </is>
      </c>
      <c r="D284" s="8" t="inlineStr">
        <is>
          <t>31E</t>
        </is>
      </c>
      <c r="E284" s="8" t="inlineStr">
        <is>
          <t>part_x_balance_sheet.retained_earnings_eoy</t>
        </is>
      </c>
      <c r="F284" s="8" t="inlineStr">
        <is>
          <t>high</t>
        </is>
      </c>
      <c r="G284" s="9" t="n">
        <v>2437345</v>
      </c>
    </row>
    <row r="285">
      <c r="A285" s="8" t="inlineStr">
        <is>
          <t>Balance sheet (detail)</t>
        </is>
      </c>
      <c r="B285" s="8" t="inlineStr">
        <is>
          <t>C31</t>
        </is>
      </c>
      <c r="C285" s="8" t="inlineStr">
        <is>
          <t>31. Retained earnings / accumulated funds</t>
        </is>
      </c>
      <c r="D285" s="8" t="inlineStr">
        <is>
          <t>31E</t>
        </is>
      </c>
      <c r="E285" s="8" t="inlineStr">
        <is>
          <t>part_x_balance_sheet.retained_earnings_eoy</t>
        </is>
      </c>
      <c r="F285" s="8" t="inlineStr">
        <is>
          <t>high</t>
        </is>
      </c>
      <c r="G285" s="9" t="n">
        <v>2771307</v>
      </c>
    </row>
    <row r="286">
      <c r="A286" s="8" t="inlineStr">
        <is>
          <t>Balance sheet (detail)</t>
        </is>
      </c>
      <c r="B286" s="8" t="inlineStr">
        <is>
          <t>D31</t>
        </is>
      </c>
      <c r="C286" s="8" t="inlineStr">
        <is>
          <t>31. Retained earnings / accumulated funds</t>
        </is>
      </c>
      <c r="D286" s="8" t="inlineStr">
        <is>
          <t>31E</t>
        </is>
      </c>
      <c r="E286" s="8" t="inlineStr">
        <is>
          <t>part_x_balance_sheet.retained_earnings_eoy</t>
        </is>
      </c>
      <c r="F286" s="8" t="inlineStr">
        <is>
          <t>high</t>
        </is>
      </c>
      <c r="G286" s="9" t="n">
        <v>2965836</v>
      </c>
    </row>
    <row r="287">
      <c r="A287" s="8" t="inlineStr">
        <is>
          <t>Balance sheet (detail)</t>
        </is>
      </c>
      <c r="B287" s="8" t="inlineStr">
        <is>
          <t>E31</t>
        </is>
      </c>
      <c r="C287" s="8" t="inlineStr">
        <is>
          <t>31. Retained earnings / accumulated funds</t>
        </is>
      </c>
      <c r="D287" s="8" t="inlineStr">
        <is>
          <t>31E</t>
        </is>
      </c>
      <c r="E287" s="8" t="inlineStr">
        <is>
          <t>part_x_balance_sheet.retained_earnings_eoy</t>
        </is>
      </c>
      <c r="F287" s="8" t="inlineStr">
        <is>
          <t>high</t>
        </is>
      </c>
      <c r="G287" s="9" t="n">
        <v>2986574</v>
      </c>
    </row>
    <row r="288">
      <c r="A288" s="8" t="inlineStr">
        <is>
          <t>Balance sheet (detail)</t>
        </is>
      </c>
      <c r="B288" s="8" t="inlineStr">
        <is>
          <t>F31</t>
        </is>
      </c>
      <c r="C288" s="8" t="inlineStr">
        <is>
          <t>31. Retained earnings / accumulated funds</t>
        </is>
      </c>
      <c r="D288" s="8" t="inlineStr">
        <is>
          <t>31E</t>
        </is>
      </c>
      <c r="E288" s="8" t="inlineStr">
        <is>
          <t>part_x_balance_sheet.retained_earnings_eoy</t>
        </is>
      </c>
      <c r="F288" s="8" t="inlineStr">
        <is>
          <t>high</t>
        </is>
      </c>
      <c r="G288" s="9" t="n">
        <v>3231556</v>
      </c>
    </row>
    <row r="289">
      <c r="A289" s="8" t="inlineStr">
        <is>
          <t>Net-assets reconciliation</t>
        </is>
      </c>
      <c r="B289" s="8" t="inlineStr">
        <is>
          <t>B7</t>
        </is>
      </c>
      <c r="C289" s="8" t="inlineStr">
        <is>
          <t>4. Net assets, beginning of year</t>
        </is>
      </c>
      <c r="D289" s="8" t="inlineStr">
        <is>
          <t>Part XI line 4</t>
        </is>
      </c>
      <c r="E289" s="8" t="inlineStr">
        <is>
          <t>part_xi_reconciliation.net_assets_boy</t>
        </is>
      </c>
      <c r="F289" s="8" t="inlineStr">
        <is>
          <t>high</t>
        </is>
      </c>
      <c r="G289" s="9" t="n">
        <v>2711442</v>
      </c>
    </row>
    <row r="290">
      <c r="A290" s="8" t="inlineStr">
        <is>
          <t>Net-assets reconciliation</t>
        </is>
      </c>
      <c r="B290" s="8" t="inlineStr">
        <is>
          <t>C7</t>
        </is>
      </c>
      <c r="C290" s="8" t="inlineStr">
        <is>
          <t>4. Net assets, beginning of year</t>
        </is>
      </c>
      <c r="D290" s="8" t="inlineStr">
        <is>
          <t>Part XI line 4</t>
        </is>
      </c>
      <c r="E290" s="8" t="inlineStr">
        <is>
          <t>part_xi_reconciliation.net_assets_boy</t>
        </is>
      </c>
      <c r="F290" s="8" t="inlineStr">
        <is>
          <t>high</t>
        </is>
      </c>
      <c r="G290" s="9" t="n">
        <v>2502089</v>
      </c>
    </row>
    <row r="291">
      <c r="A291" s="8" t="inlineStr">
        <is>
          <t>Net-assets reconciliation</t>
        </is>
      </c>
      <c r="B291" s="8" t="inlineStr">
        <is>
          <t>D7</t>
        </is>
      </c>
      <c r="C291" s="8" t="inlineStr">
        <is>
          <t>4. Net assets, beginning of year</t>
        </is>
      </c>
      <c r="D291" s="8" t="inlineStr">
        <is>
          <t>Part XI line 4</t>
        </is>
      </c>
      <c r="E291" s="8" t="inlineStr">
        <is>
          <t>part_xi_reconciliation.net_assets_boy</t>
        </is>
      </c>
      <c r="F291" s="8" t="inlineStr">
        <is>
          <t>high</t>
        </is>
      </c>
      <c r="G291" s="9" t="n">
        <v>2836051</v>
      </c>
    </row>
    <row r="292">
      <c r="A292" s="8" t="inlineStr">
        <is>
          <t>Net-assets reconciliation</t>
        </is>
      </c>
      <c r="B292" s="8" t="inlineStr">
        <is>
          <t>E7</t>
        </is>
      </c>
      <c r="C292" s="8" t="inlineStr">
        <is>
          <t>4. Net assets, beginning of year</t>
        </is>
      </c>
      <c r="D292" s="8" t="inlineStr">
        <is>
          <t>Part XI line 4</t>
        </is>
      </c>
      <c r="E292" s="8" t="inlineStr">
        <is>
          <t>part_xi_reconciliation.net_assets_boy</t>
        </is>
      </c>
      <c r="F292" s="8" t="inlineStr">
        <is>
          <t>high</t>
        </is>
      </c>
      <c r="G292" s="9" t="n">
        <v>3030580</v>
      </c>
    </row>
    <row r="293">
      <c r="A293" s="8" t="inlineStr">
        <is>
          <t>Net-assets reconciliation</t>
        </is>
      </c>
      <c r="B293" s="8" t="inlineStr">
        <is>
          <t>F7</t>
        </is>
      </c>
      <c r="C293" s="8" t="inlineStr">
        <is>
          <t>4. Net assets, beginning of year</t>
        </is>
      </c>
      <c r="D293" s="8" t="inlineStr">
        <is>
          <t>Part XI line 4</t>
        </is>
      </c>
      <c r="E293" s="8" t="inlineStr">
        <is>
          <t>part_xi_reconciliation.net_assets_boy</t>
        </is>
      </c>
      <c r="F293" s="8" t="inlineStr">
        <is>
          <t>high</t>
        </is>
      </c>
      <c r="G293" s="9" t="n">
        <v>3051318</v>
      </c>
    </row>
    <row r="294">
      <c r="A294" s="8" t="inlineStr">
        <is>
          <t>Net-assets reconciliation</t>
        </is>
      </c>
      <c r="B294" s="8" t="inlineStr">
        <is>
          <t>B8</t>
        </is>
      </c>
      <c r="C294" s="8" t="inlineStr">
        <is>
          <t>3. Revenue less expenses</t>
        </is>
      </c>
      <c r="D294" s="8" t="inlineStr">
        <is>
          <t>Part XI line 3</t>
        </is>
      </c>
      <c r="E294" s="8" t="inlineStr">
        <is>
          <t>part_xi_reconciliation.reconciliation_revenue_expenses</t>
        </is>
      </c>
      <c r="F294" s="8" t="inlineStr">
        <is>
          <t>high</t>
        </is>
      </c>
      <c r="G294" s="9" t="n">
        <v>-209353</v>
      </c>
    </row>
    <row r="295">
      <c r="A295" s="8" t="inlineStr">
        <is>
          <t>Net-assets reconciliation</t>
        </is>
      </c>
      <c r="B295" s="8" t="inlineStr">
        <is>
          <t>C8</t>
        </is>
      </c>
      <c r="C295" s="8" t="inlineStr">
        <is>
          <t>3. Revenue less expenses</t>
        </is>
      </c>
      <c r="D295" s="8" t="inlineStr">
        <is>
          <t>Part XI line 3</t>
        </is>
      </c>
      <c r="E295" s="8" t="inlineStr">
        <is>
          <t>part_xi_reconciliation.reconciliation_revenue_expenses</t>
        </is>
      </c>
      <c r="F295" s="8" t="inlineStr">
        <is>
          <t>high</t>
        </is>
      </c>
      <c r="G295" s="9" t="n">
        <v>333962</v>
      </c>
    </row>
    <row r="296">
      <c r="A296" s="8" t="inlineStr">
        <is>
          <t>Net-assets reconciliation</t>
        </is>
      </c>
      <c r="B296" s="8" t="inlineStr">
        <is>
          <t>D8</t>
        </is>
      </c>
      <c r="C296" s="8" t="inlineStr">
        <is>
          <t>3. Revenue less expenses</t>
        </is>
      </c>
      <c r="D296" s="8" t="inlineStr">
        <is>
          <t>Part XI line 3</t>
        </is>
      </c>
      <c r="E296" s="8" t="inlineStr">
        <is>
          <t>part_xi_reconciliation.reconciliation_revenue_expenses</t>
        </is>
      </c>
      <c r="F296" s="8" t="inlineStr">
        <is>
          <t>high</t>
        </is>
      </c>
      <c r="G296" s="9" t="n">
        <v>194529</v>
      </c>
    </row>
    <row r="297">
      <c r="A297" s="8" t="inlineStr">
        <is>
          <t>Net-assets reconciliation</t>
        </is>
      </c>
      <c r="B297" s="8" t="inlineStr">
        <is>
          <t>E8</t>
        </is>
      </c>
      <c r="C297" s="8" t="inlineStr">
        <is>
          <t>3. Revenue less expenses</t>
        </is>
      </c>
      <c r="D297" s="8" t="inlineStr">
        <is>
          <t>Part XI line 3</t>
        </is>
      </c>
      <c r="E297" s="8" t="inlineStr">
        <is>
          <t>part_xi_reconciliation.reconciliation_revenue_expenses</t>
        </is>
      </c>
      <c r="F297" s="8" t="inlineStr">
        <is>
          <t>high</t>
        </is>
      </c>
      <c r="G297" s="9" t="n">
        <v>20738</v>
      </c>
    </row>
    <row r="298">
      <c r="A298" s="8" t="inlineStr">
        <is>
          <t>Net-assets reconciliation</t>
        </is>
      </c>
      <c r="B298" s="8" t="inlineStr">
        <is>
          <t>F8</t>
        </is>
      </c>
      <c r="C298" s="8" t="inlineStr">
        <is>
          <t>3. Revenue less expenses</t>
        </is>
      </c>
      <c r="D298" s="8" t="inlineStr">
        <is>
          <t>Part XI line 3</t>
        </is>
      </c>
      <c r="E298" s="8" t="inlineStr">
        <is>
          <t>part_xi_reconciliation.reconciliation_revenue_expenses</t>
        </is>
      </c>
      <c r="F298" s="8" t="inlineStr">
        <is>
          <t>high</t>
        </is>
      </c>
      <c r="G298" s="9" t="n">
        <v>244982</v>
      </c>
    </row>
    <row r="300">
      <c r="A300" s="47" t="inlineStr">
        <is>
          <t>C. Tie-out checks (filed vs computed; any nonzero variance is flagged red)</t>
        </is>
      </c>
      <c r="B300" s="7" t="n"/>
      <c r="C300" s="7" t="n"/>
      <c r="D300" s="7" t="n"/>
      <c r="E300" s="7" t="n"/>
      <c r="F300" s="7" t="n"/>
      <c r="G300" s="7" t="n"/>
      <c r="H300" s="7" t="n"/>
      <c r="I300" s="7" t="n"/>
      <c r="J300" s="7" t="n"/>
      <c r="K300" s="7" t="n"/>
    </row>
    <row r="301">
      <c r="A301" s="5" t="inlineStr">
        <is>
          <t>Tab</t>
        </is>
      </c>
      <c r="B301" s="5" t="inlineStr">
        <is>
          <t>Check</t>
        </is>
      </c>
      <c r="C301" s="5" t="inlineStr">
        <is>
          <t>Fiscal year</t>
        </is>
      </c>
      <c r="D301" s="5" t="inlineStr">
        <is>
          <t>Filed</t>
        </is>
      </c>
      <c r="E301" s="5" t="inlineStr">
        <is>
          <t>Computed</t>
        </is>
      </c>
      <c r="F301" s="5" t="inlineStr">
        <is>
          <t>Variance (computed - filed)</t>
        </is>
      </c>
    </row>
    <row r="302">
      <c r="A302" s="18" t="inlineStr">
        <is>
          <t>Revenue (detail)</t>
        </is>
      </c>
      <c r="B302" s="18" t="inlineStr">
        <is>
          <t>12. Total revenue</t>
        </is>
      </c>
      <c r="C302" s="18" t="inlineStr">
        <is>
          <t>FY2020</t>
        </is>
      </c>
      <c r="D302" s="9" t="n">
        <v>980610</v>
      </c>
      <c r="E302" s="9">
        <f>'Revenue (detail)'!B13</f>
        <v/>
      </c>
      <c r="F302" s="9">
        <f>E302-D302</f>
        <v/>
      </c>
    </row>
    <row r="303">
      <c r="A303" s="18" t="inlineStr">
        <is>
          <t>Revenue (detail)</t>
        </is>
      </c>
      <c r="B303" s="18" t="inlineStr">
        <is>
          <t>12. Total revenue</t>
        </is>
      </c>
      <c r="C303" s="18" t="inlineStr">
        <is>
          <t>FY2021</t>
        </is>
      </c>
      <c r="D303" s="9" t="n">
        <v>1109551</v>
      </c>
      <c r="E303" s="9">
        <f>'Revenue (detail)'!C13</f>
        <v/>
      </c>
      <c r="F303" s="9">
        <f>E303-D303</f>
        <v/>
      </c>
    </row>
    <row r="304">
      <c r="A304" s="18" t="inlineStr">
        <is>
          <t>Revenue (detail)</t>
        </is>
      </c>
      <c r="B304" s="18" t="inlineStr">
        <is>
          <t>12. Total revenue</t>
        </is>
      </c>
      <c r="C304" s="18" t="inlineStr">
        <is>
          <t>FY2022</t>
        </is>
      </c>
      <c r="D304" s="9" t="n">
        <v>964784</v>
      </c>
      <c r="E304" s="9">
        <f>'Revenue (detail)'!D13</f>
        <v/>
      </c>
      <c r="F304" s="9">
        <f>E304-D304</f>
        <v/>
      </c>
    </row>
    <row r="305">
      <c r="A305" s="18" t="inlineStr">
        <is>
          <t>Revenue (detail)</t>
        </is>
      </c>
      <c r="B305" s="18" t="inlineStr">
        <is>
          <t>12. Total revenue</t>
        </is>
      </c>
      <c r="C305" s="18" t="inlineStr">
        <is>
          <t>FY2023</t>
        </is>
      </c>
      <c r="D305" s="9" t="n">
        <v>1018038</v>
      </c>
      <c r="E305" s="9">
        <f>'Revenue (detail)'!E13</f>
        <v/>
      </c>
      <c r="F305" s="9">
        <f>E305-D305</f>
        <v/>
      </c>
    </row>
    <row r="306">
      <c r="A306" s="18" t="inlineStr">
        <is>
          <t>Revenue (detail)</t>
        </is>
      </c>
      <c r="B306" s="18" t="inlineStr">
        <is>
          <t>12. Total revenue</t>
        </is>
      </c>
      <c r="C306" s="18" t="inlineStr">
        <is>
          <t>FY2024</t>
        </is>
      </c>
      <c r="D306" s="9" t="n">
        <v>1004214</v>
      </c>
      <c r="E306" s="9">
        <f>'Revenue (detail)'!F13</f>
        <v/>
      </c>
      <c r="F306" s="9">
        <f>E306-D306</f>
        <v/>
      </c>
    </row>
    <row r="307">
      <c r="A307" s="18" t="inlineStr">
        <is>
          <t>Revenue (detail)</t>
        </is>
      </c>
      <c r="B307" s="18" t="inlineStr">
        <is>
          <t>2g program service revenue = sum of lines 2a-2f (FY2024)</t>
        </is>
      </c>
      <c r="C307" s="18" t="inlineStr">
        <is>
          <t>FY2024</t>
        </is>
      </c>
      <c r="D307" s="9" t="n">
        <v>886656</v>
      </c>
      <c r="E307" s="9">
        <f>SUM('Revenue (detail)'!C17:C21)</f>
        <v/>
      </c>
      <c r="F307" s="9">
        <f>E307-D307</f>
        <v/>
      </c>
    </row>
    <row r="308">
      <c r="A308" s="18" t="inlineStr">
        <is>
          <t>Operating expenses (detail)</t>
        </is>
      </c>
      <c r="B308" s="18" t="inlineStr">
        <is>
          <t>25. Total functional expenses</t>
        </is>
      </c>
      <c r="C308" s="18" t="inlineStr">
        <is>
          <t>FY2020</t>
        </is>
      </c>
      <c r="D308" s="9" t="n">
        <v>1189963</v>
      </c>
      <c r="E308" s="9">
        <f>'Operating expenses (detail)'!B43</f>
        <v/>
      </c>
      <c r="F308" s="9">
        <f>E308-D308</f>
        <v/>
      </c>
    </row>
    <row r="309">
      <c r="A309" s="18" t="inlineStr">
        <is>
          <t>Operating expenses (detail)</t>
        </is>
      </c>
      <c r="B309" s="18" t="inlineStr">
        <is>
          <t>25. Total functional expenses</t>
        </is>
      </c>
      <c r="C309" s="18" t="inlineStr">
        <is>
          <t>FY2021</t>
        </is>
      </c>
      <c r="D309" s="9" t="n">
        <v>775589</v>
      </c>
      <c r="E309" s="9">
        <f>'Operating expenses (detail)'!C43</f>
        <v/>
      </c>
      <c r="F309" s="9">
        <f>E309-D309</f>
        <v/>
      </c>
    </row>
    <row r="310">
      <c r="A310" s="18" t="inlineStr">
        <is>
          <t>Operating expenses (detail)</t>
        </is>
      </c>
      <c r="B310" s="18" t="inlineStr">
        <is>
          <t>25. Total functional expenses</t>
        </is>
      </c>
      <c r="C310" s="18" t="inlineStr">
        <is>
          <t>FY2022</t>
        </is>
      </c>
      <c r="D310" s="9" t="n">
        <v>770255</v>
      </c>
      <c r="E310" s="9">
        <f>'Operating expenses (detail)'!D43</f>
        <v/>
      </c>
      <c r="F310" s="9">
        <f>E310-D310</f>
        <v/>
      </c>
    </row>
    <row r="311">
      <c r="A311" s="18" t="inlineStr">
        <is>
          <t>Operating expenses (detail)</t>
        </is>
      </c>
      <c r="B311" s="18" t="inlineStr">
        <is>
          <t>25. Total functional expenses</t>
        </is>
      </c>
      <c r="C311" s="18" t="inlineStr">
        <is>
          <t>FY2023</t>
        </is>
      </c>
      <c r="D311" s="9" t="n">
        <v>997300</v>
      </c>
      <c r="E311" s="9">
        <f>'Operating expenses (detail)'!E43</f>
        <v/>
      </c>
      <c r="F311" s="9">
        <f>E311-D311</f>
        <v/>
      </c>
    </row>
    <row r="312">
      <c r="A312" s="18" t="inlineStr">
        <is>
          <t>Operating expenses (detail)</t>
        </is>
      </c>
      <c r="B312" s="18" t="inlineStr">
        <is>
          <t>25. Total functional expenses</t>
        </is>
      </c>
      <c r="C312" s="18" t="inlineStr">
        <is>
          <t>FY2024</t>
        </is>
      </c>
      <c r="D312" s="9" t="n">
        <v>759232</v>
      </c>
      <c r="E312" s="9">
        <f>'Operating expenses (detail)'!F43</f>
        <v/>
      </c>
      <c r="F312" s="9">
        <f>E312-D312</f>
        <v/>
      </c>
    </row>
    <row r="313">
      <c r="A313" s="18" t="inlineStr">
        <is>
          <t>Operating expenses (detail)</t>
        </is>
      </c>
      <c r="B313" s="18" t="inlineStr">
        <is>
          <t>Part IX column split: col A = B + C + D (FY2024)</t>
        </is>
      </c>
      <c r="C313" s="18" t="inlineStr">
        <is>
          <t>FY2024</t>
        </is>
      </c>
      <c r="D313" s="9">
        <f>'Operating expenses (detail)'!B76</f>
        <v/>
      </c>
      <c r="E313" s="9">
        <f>'Operating expenses (detail)'!C76+'Operating expenses (detail)'!D76+'Operating expenses (detail)'!E76</f>
        <v/>
      </c>
      <c r="F313" s="9">
        <f>E313-D313</f>
        <v/>
      </c>
    </row>
    <row r="314">
      <c r="A314" s="18" t="inlineStr">
        <is>
          <t>Balance sheet (detail)</t>
        </is>
      </c>
      <c r="B314" s="18" t="inlineStr">
        <is>
          <t>16. Total assets</t>
        </is>
      </c>
      <c r="C314" s="18" t="inlineStr">
        <is>
          <t>FY2020</t>
        </is>
      </c>
      <c r="D314" s="9" t="n">
        <v>2502828</v>
      </c>
      <c r="E314" s="9">
        <f>'Balance sheet (detail)'!B22</f>
        <v/>
      </c>
      <c r="F314" s="9">
        <f>E314-D314</f>
        <v/>
      </c>
    </row>
    <row r="315">
      <c r="A315" s="18" t="inlineStr">
        <is>
          <t>Balance sheet (detail)</t>
        </is>
      </c>
      <c r="B315" s="18" t="inlineStr">
        <is>
          <t>16. Total assets</t>
        </is>
      </c>
      <c r="C315" s="18" t="inlineStr">
        <is>
          <t>FY2021</t>
        </is>
      </c>
      <c r="D315" s="9" t="n">
        <v>2836051</v>
      </c>
      <c r="E315" s="9">
        <f>'Balance sheet (detail)'!C22</f>
        <v/>
      </c>
      <c r="F315" s="9">
        <f>E315-D315</f>
        <v/>
      </c>
    </row>
    <row r="316">
      <c r="A316" s="18" t="inlineStr">
        <is>
          <t>Balance sheet (detail)</t>
        </is>
      </c>
      <c r="B316" s="18" t="inlineStr">
        <is>
          <t>16. Total assets</t>
        </is>
      </c>
      <c r="C316" s="18" t="inlineStr">
        <is>
          <t>FY2022</t>
        </is>
      </c>
      <c r="D316" s="9" t="n">
        <v>3041964</v>
      </c>
      <c r="E316" s="9">
        <f>'Balance sheet (detail)'!D22</f>
        <v/>
      </c>
      <c r="F316" s="9">
        <f>E316-D316</f>
        <v/>
      </c>
    </row>
    <row r="317">
      <c r="A317" s="18" t="inlineStr">
        <is>
          <t>Balance sheet (detail)</t>
        </is>
      </c>
      <c r="B317" s="18" t="inlineStr">
        <is>
          <t>16. Total assets</t>
        </is>
      </c>
      <c r="C317" s="18" t="inlineStr">
        <is>
          <t>FY2023</t>
        </is>
      </c>
      <c r="D317" s="9" t="n">
        <v>3055112</v>
      </c>
      <c r="E317" s="9">
        <f>'Balance sheet (detail)'!E22</f>
        <v/>
      </c>
      <c r="F317" s="9">
        <f>E317-D317</f>
        <v/>
      </c>
    </row>
    <row r="318">
      <c r="A318" s="18" t="inlineStr">
        <is>
          <t>Balance sheet (detail)</t>
        </is>
      </c>
      <c r="B318" s="18" t="inlineStr">
        <is>
          <t>16. Total assets</t>
        </is>
      </c>
      <c r="C318" s="18" t="inlineStr">
        <is>
          <t>FY2024</t>
        </is>
      </c>
      <c r="D318" s="9" t="n">
        <v>3298366</v>
      </c>
      <c r="E318" s="9">
        <f>'Balance sheet (detail)'!F22</f>
        <v/>
      </c>
      <c r="F318" s="9">
        <f>E318-D318</f>
        <v/>
      </c>
    </row>
    <row r="319">
      <c r="A319" s="18" t="inlineStr">
        <is>
          <t>Balance sheet (detail)</t>
        </is>
      </c>
      <c r="B319" s="18" t="inlineStr">
        <is>
          <t>26. Total liabilities</t>
        </is>
      </c>
      <c r="C319" s="18" t="inlineStr">
        <is>
          <t>FY2020</t>
        </is>
      </c>
      <c r="D319" s="9" t="n">
        <v>739</v>
      </c>
      <c r="E319" s="9">
        <f>'Balance sheet (detail)'!B27</f>
        <v/>
      </c>
      <c r="F319" s="9">
        <f>E319-D319</f>
        <v/>
      </c>
    </row>
    <row r="320">
      <c r="A320" s="18" t="inlineStr">
        <is>
          <t>Balance sheet (detail)</t>
        </is>
      </c>
      <c r="B320" s="18" t="inlineStr">
        <is>
          <t>26. Total liabilities</t>
        </is>
      </c>
      <c r="C320" s="18" t="inlineStr">
        <is>
          <t>FY2021</t>
        </is>
      </c>
      <c r="D320" s="9" t="n">
        <v>0</v>
      </c>
      <c r="E320" s="9">
        <f>'Balance sheet (detail)'!C27</f>
        <v/>
      </c>
      <c r="F320" s="9">
        <f>E320-D320</f>
        <v/>
      </c>
    </row>
    <row r="321">
      <c r="A321" s="18" t="inlineStr">
        <is>
          <t>Balance sheet (detail)</t>
        </is>
      </c>
      <c r="B321" s="18" t="inlineStr">
        <is>
          <t>26. Total liabilities</t>
        </is>
      </c>
      <c r="C321" s="18" t="inlineStr">
        <is>
          <t>FY2022</t>
        </is>
      </c>
      <c r="D321" s="9" t="n">
        <v>11384</v>
      </c>
      <c r="E321" s="9">
        <f>'Balance sheet (detail)'!D27</f>
        <v/>
      </c>
      <c r="F321" s="9">
        <f>E321-D321</f>
        <v/>
      </c>
    </row>
    <row r="322">
      <c r="A322" s="18" t="inlineStr">
        <is>
          <t>Balance sheet (detail)</t>
        </is>
      </c>
      <c r="B322" s="18" t="inlineStr">
        <is>
          <t>26. Total liabilities</t>
        </is>
      </c>
      <c r="C322" s="18" t="inlineStr">
        <is>
          <t>FY2023</t>
        </is>
      </c>
      <c r="D322" s="9" t="n">
        <v>3794</v>
      </c>
      <c r="E322" s="9">
        <f>'Balance sheet (detail)'!E27</f>
        <v/>
      </c>
      <c r="F322" s="9">
        <f>E322-D322</f>
        <v/>
      </c>
    </row>
    <row r="323">
      <c r="A323" s="18" t="inlineStr">
        <is>
          <t>Balance sheet (detail)</t>
        </is>
      </c>
      <c r="B323" s="18" t="inlineStr">
        <is>
          <t>26. Total liabilities</t>
        </is>
      </c>
      <c r="C323" s="18" t="inlineStr">
        <is>
          <t>FY2024</t>
        </is>
      </c>
      <c r="D323" s="9" t="n">
        <v>2066</v>
      </c>
      <c r="E323" s="9">
        <f>'Balance sheet (detail)'!F27</f>
        <v/>
      </c>
      <c r="F323" s="9">
        <f>E323-D323</f>
        <v/>
      </c>
    </row>
    <row r="324">
      <c r="A324" s="18" t="inlineStr">
        <is>
          <t>Balance sheet (detail)</t>
        </is>
      </c>
      <c r="B324" s="18" t="inlineStr">
        <is>
          <t>32. Total net assets / fund balances</t>
        </is>
      </c>
      <c r="C324" s="18" t="inlineStr">
        <is>
          <t>FY2020</t>
        </is>
      </c>
      <c r="D324" s="9" t="n">
        <v>2502089</v>
      </c>
      <c r="E324" s="9">
        <f>'Balance sheet (detail)'!B32</f>
        <v/>
      </c>
      <c r="F324" s="9">
        <f>E324-D324</f>
        <v/>
      </c>
    </row>
    <row r="325">
      <c r="A325" s="18" t="inlineStr">
        <is>
          <t>Balance sheet (detail)</t>
        </is>
      </c>
      <c r="B325" s="18" t="inlineStr">
        <is>
          <t>32. Total net assets / fund balances</t>
        </is>
      </c>
      <c r="C325" s="18" t="inlineStr">
        <is>
          <t>FY2021</t>
        </is>
      </c>
      <c r="D325" s="9" t="n">
        <v>2836051</v>
      </c>
      <c r="E325" s="9">
        <f>'Balance sheet (detail)'!C32</f>
        <v/>
      </c>
      <c r="F325" s="9">
        <f>E325-D325</f>
        <v/>
      </c>
    </row>
    <row r="326">
      <c r="A326" s="18" t="inlineStr">
        <is>
          <t>Balance sheet (detail)</t>
        </is>
      </c>
      <c r="B326" s="18" t="inlineStr">
        <is>
          <t>32. Total net assets / fund balances</t>
        </is>
      </c>
      <c r="C326" s="18" t="inlineStr">
        <is>
          <t>FY2022</t>
        </is>
      </c>
      <c r="D326" s="9" t="n">
        <v>3030580</v>
      </c>
      <c r="E326" s="9">
        <f>'Balance sheet (detail)'!D32</f>
        <v/>
      </c>
      <c r="F326" s="9">
        <f>E326-D326</f>
        <v/>
      </c>
    </row>
    <row r="327">
      <c r="A327" s="18" t="inlineStr">
        <is>
          <t>Balance sheet (detail)</t>
        </is>
      </c>
      <c r="B327" s="18" t="inlineStr">
        <is>
          <t>32. Total net assets / fund balances</t>
        </is>
      </c>
      <c r="C327" s="18" t="inlineStr">
        <is>
          <t>FY2023</t>
        </is>
      </c>
      <c r="D327" s="9" t="n">
        <v>3051318</v>
      </c>
      <c r="E327" s="9">
        <f>'Balance sheet (detail)'!E32</f>
        <v/>
      </c>
      <c r="F327" s="9">
        <f>E327-D327</f>
        <v/>
      </c>
    </row>
    <row r="328">
      <c r="A328" s="18" t="inlineStr">
        <is>
          <t>Balance sheet (detail)</t>
        </is>
      </c>
      <c r="B328" s="18" t="inlineStr">
        <is>
          <t>32. Total net assets / fund balances</t>
        </is>
      </c>
      <c r="C328" s="18" t="inlineStr">
        <is>
          <t>FY2024</t>
        </is>
      </c>
      <c r="D328" s="9" t="n">
        <v>3296300</v>
      </c>
      <c r="E328" s="9">
        <f>'Balance sheet (detail)'!F32</f>
        <v/>
      </c>
      <c r="F328" s="9">
        <f>E328-D328</f>
        <v/>
      </c>
    </row>
    <row r="329">
      <c r="A329" s="18" t="inlineStr">
        <is>
          <t>Balance sheet (detail)</t>
        </is>
      </c>
      <c r="B329" s="18" t="inlineStr">
        <is>
          <t>Balance sheet identity: line 16 = line 26 + line 32 (EOY)</t>
        </is>
      </c>
      <c r="C329" s="18" t="inlineStr">
        <is>
          <t>FY2020</t>
        </is>
      </c>
      <c r="D329" s="9">
        <f>'Balance sheet (detail)'!B22</f>
        <v/>
      </c>
      <c r="E329" s="9">
        <f>SUM('Balance sheet (detail)'!B27,'Balance sheet (detail)'!B32)</f>
        <v/>
      </c>
      <c r="F329" s="9">
        <f>E329-D329</f>
        <v/>
      </c>
    </row>
    <row r="330">
      <c r="A330" s="18" t="inlineStr">
        <is>
          <t>Balance sheet (detail)</t>
        </is>
      </c>
      <c r="B330" s="18" t="inlineStr">
        <is>
          <t>Balance sheet identity: line 16 = line 26 + line 32 (EOY)</t>
        </is>
      </c>
      <c r="C330" s="18" t="inlineStr">
        <is>
          <t>FY2021</t>
        </is>
      </c>
      <c r="D330" s="9">
        <f>'Balance sheet (detail)'!C22</f>
        <v/>
      </c>
      <c r="E330" s="9">
        <f>SUM('Balance sheet (detail)'!C27,'Balance sheet (detail)'!C32)</f>
        <v/>
      </c>
      <c r="F330" s="9">
        <f>E330-D330</f>
        <v/>
      </c>
    </row>
    <row r="331">
      <c r="A331" s="18" t="inlineStr">
        <is>
          <t>Balance sheet (detail)</t>
        </is>
      </c>
      <c r="B331" s="18" t="inlineStr">
        <is>
          <t>Balance sheet identity: line 16 = line 26 + line 32 (EOY)</t>
        </is>
      </c>
      <c r="C331" s="18" t="inlineStr">
        <is>
          <t>FY2022</t>
        </is>
      </c>
      <c r="D331" s="9">
        <f>'Balance sheet (detail)'!D22</f>
        <v/>
      </c>
      <c r="E331" s="9">
        <f>SUM('Balance sheet (detail)'!D27,'Balance sheet (detail)'!D32)</f>
        <v/>
      </c>
      <c r="F331" s="9">
        <f>E331-D331</f>
        <v/>
      </c>
    </row>
    <row r="332">
      <c r="A332" s="18" t="inlineStr">
        <is>
          <t>Balance sheet (detail)</t>
        </is>
      </c>
      <c r="B332" s="18" t="inlineStr">
        <is>
          <t>Balance sheet identity: line 16 = line 26 + line 32 (EOY)</t>
        </is>
      </c>
      <c r="C332" s="18" t="inlineStr">
        <is>
          <t>FY2023</t>
        </is>
      </c>
      <c r="D332" s="9">
        <f>'Balance sheet (detail)'!E22</f>
        <v/>
      </c>
      <c r="E332" s="9">
        <f>SUM('Balance sheet (detail)'!E27,'Balance sheet (detail)'!E32)</f>
        <v/>
      </c>
      <c r="F332" s="9">
        <f>E332-D332</f>
        <v/>
      </c>
    </row>
    <row r="333">
      <c r="A333" s="18" t="inlineStr">
        <is>
          <t>Balance sheet (detail)</t>
        </is>
      </c>
      <c r="B333" s="18" t="inlineStr">
        <is>
          <t>Balance sheet identity: line 16 = line 26 + line 32 (EOY)</t>
        </is>
      </c>
      <c r="C333" s="18" t="inlineStr">
        <is>
          <t>FY2024</t>
        </is>
      </c>
      <c r="D333" s="9">
        <f>'Balance sheet (detail)'!F22</f>
        <v/>
      </c>
      <c r="E333" s="9">
        <f>SUM('Balance sheet (detail)'!F27,'Balance sheet (detail)'!F32)</f>
        <v/>
      </c>
      <c r="F333" s="9">
        <f>E333-D333</f>
        <v/>
      </c>
    </row>
    <row r="334">
      <c r="A334" s="18" t="inlineStr">
        <is>
          <t>Net-assets reconciliation</t>
        </is>
      </c>
      <c r="B334" s="18" t="inlineStr">
        <is>
          <t>10. Net assets, end of year</t>
        </is>
      </c>
      <c r="C334" s="18" t="inlineStr">
        <is>
          <t>FY2020</t>
        </is>
      </c>
      <c r="D334" s="9" t="n">
        <v>2502089</v>
      </c>
      <c r="E334" s="9">
        <f>'Net-assets reconciliation'!B11</f>
        <v/>
      </c>
      <c r="F334" s="9">
        <f>E334-D334</f>
        <v/>
      </c>
    </row>
    <row r="335">
      <c r="A335" s="18" t="inlineStr">
        <is>
          <t>Net-assets reconciliation</t>
        </is>
      </c>
      <c r="B335" s="18" t="inlineStr">
        <is>
          <t>10. Net assets, end of year</t>
        </is>
      </c>
      <c r="C335" s="18" t="inlineStr">
        <is>
          <t>FY2021</t>
        </is>
      </c>
      <c r="D335" s="9" t="n">
        <v>2836051</v>
      </c>
      <c r="E335" s="9">
        <f>'Net-assets reconciliation'!C11</f>
        <v/>
      </c>
      <c r="F335" s="9">
        <f>E335-D335</f>
        <v/>
      </c>
    </row>
    <row r="336">
      <c r="A336" s="18" t="inlineStr">
        <is>
          <t>Net-assets reconciliation</t>
        </is>
      </c>
      <c r="B336" s="18" t="inlineStr">
        <is>
          <t>10. Net assets, end of year</t>
        </is>
      </c>
      <c r="C336" s="18" t="inlineStr">
        <is>
          <t>FY2022</t>
        </is>
      </c>
      <c r="D336" s="9" t="n">
        <v>3030580</v>
      </c>
      <c r="E336" s="9">
        <f>'Net-assets reconciliation'!D11</f>
        <v/>
      </c>
      <c r="F336" s="9">
        <f>E336-D336</f>
        <v/>
      </c>
    </row>
    <row r="337">
      <c r="A337" s="18" t="inlineStr">
        <is>
          <t>Net-assets reconciliation</t>
        </is>
      </c>
      <c r="B337" s="18" t="inlineStr">
        <is>
          <t>10. Net assets, end of year</t>
        </is>
      </c>
      <c r="C337" s="18" t="inlineStr">
        <is>
          <t>FY2023</t>
        </is>
      </c>
      <c r="D337" s="9" t="n">
        <v>3051318</v>
      </c>
      <c r="E337" s="9">
        <f>'Net-assets reconciliation'!E11</f>
        <v/>
      </c>
      <c r="F337" s="9">
        <f>E337-D337</f>
        <v/>
      </c>
    </row>
    <row r="338">
      <c r="A338" s="18" t="inlineStr">
        <is>
          <t>Net-assets reconciliation</t>
        </is>
      </c>
      <c r="B338" s="18" t="inlineStr">
        <is>
          <t>10. Net assets, end of year</t>
        </is>
      </c>
      <c r="C338" s="18" t="inlineStr">
        <is>
          <t>FY2024</t>
        </is>
      </c>
      <c r="D338" s="9" t="n">
        <v>3296300</v>
      </c>
      <c r="E338" s="9">
        <f>'Net-assets reconciliation'!F11</f>
        <v/>
      </c>
      <c r="F338" s="9">
        <f>E338-D338</f>
        <v/>
      </c>
    </row>
    <row r="340">
      <c r="A340" s="47" t="inlineStr">
        <is>
          <t>D. Preparer / auditor trail (one row per fiscal year, as filed)</t>
        </is>
      </c>
      <c r="B340" s="7" t="n"/>
      <c r="C340" s="7" t="n"/>
      <c r="D340" s="7" t="n"/>
      <c r="E340" s="7" t="n"/>
      <c r="F340" s="7" t="n"/>
      <c r="G340" s="7" t="n"/>
      <c r="H340" s="7" t="n"/>
      <c r="I340" s="7" t="n"/>
      <c r="J340" s="7" t="n"/>
      <c r="K340" s="7" t="n"/>
    </row>
    <row r="341">
      <c r="A341" s="5" t="inlineStr">
        <is>
          <t>Fiscal year</t>
        </is>
      </c>
      <c r="B341" s="5" t="inlineStr">
        <is>
          <t>Paid preparer</t>
        </is>
      </c>
      <c r="C341" s="5" t="inlineStr">
        <is>
          <t>Preparer firm</t>
        </is>
      </c>
      <c r="D341" s="5" t="inlineStr">
        <is>
          <t>Independent auditor</t>
        </is>
      </c>
      <c r="E341" s="5" t="inlineStr">
        <is>
          <t>Citation</t>
        </is>
      </c>
    </row>
    <row r="342" ht="42" customHeight="1">
      <c r="A342" s="46" t="inlineStr">
        <is>
          <t>FY2020</t>
        </is>
      </c>
      <c r="B342" s="8" t="inlineStr">
        <is>
          <t>Ron Levy CPA</t>
        </is>
      </c>
      <c r="C342" s="8" t="inlineStr">
        <is>
          <t>Moss Levy &amp; Hartzheim LLP</t>
        </is>
      </c>
      <c r="D342" s="48" t="inlineStr">
        <is>
          <t>not reported</t>
        </is>
      </c>
      <c r="E342" s="23" t="inlineStr">
        <is>
          <t>Form 990 Return Header, Paid Preparer block (return_header.preparer_person_name / preparer_firm_name); auditor: Part XII line 2 reports audited financial statements but does not name the firm.</t>
        </is>
      </c>
    </row>
    <row r="343" ht="42" customHeight="1">
      <c r="A343" s="46" t="inlineStr">
        <is>
          <t>FY2021</t>
        </is>
      </c>
      <c r="B343" s="8" t="inlineStr">
        <is>
          <t>Ron Levy CPA</t>
        </is>
      </c>
      <c r="C343" s="8" t="inlineStr">
        <is>
          <t>Moss Levy &amp; Hartzheim LLP</t>
        </is>
      </c>
      <c r="D343" s="48" t="inlineStr">
        <is>
          <t>not reported</t>
        </is>
      </c>
      <c r="E343" s="23" t="inlineStr">
        <is>
          <t>Form 990 Return Header, Paid Preparer block (return_header.preparer_person_name / preparer_firm_name); auditor: Part XII line 2 reports audited financial statements but does not name the firm.</t>
        </is>
      </c>
    </row>
    <row r="344" ht="42" customHeight="1">
      <c r="A344" s="46" t="inlineStr">
        <is>
          <t>FY2022</t>
        </is>
      </c>
      <c r="B344" s="8" t="inlineStr">
        <is>
          <t>Travis Hole CPA</t>
        </is>
      </c>
      <c r="C344" s="8" t="inlineStr">
        <is>
          <t>Moss Levy &amp; Hartzheim LLP</t>
        </is>
      </c>
      <c r="D344" s="48" t="inlineStr">
        <is>
          <t>not reported</t>
        </is>
      </c>
      <c r="E344" s="23" t="inlineStr">
        <is>
          <t>Form 990 Return Header, Paid Preparer block (return_header.preparer_person_name / preparer_firm_name); auditor: Part XII line 2 reports audited financial statements but does not name the firm.</t>
        </is>
      </c>
    </row>
    <row r="345" ht="42" customHeight="1">
      <c r="A345" s="46" t="inlineStr">
        <is>
          <t>FY2023</t>
        </is>
      </c>
      <c r="B345" s="8" t="inlineStr">
        <is>
          <t>Travis Hole CPA</t>
        </is>
      </c>
      <c r="C345" s="8" t="inlineStr">
        <is>
          <t>Moss Levy &amp; Hartzheim LLP</t>
        </is>
      </c>
      <c r="D345" s="48" t="inlineStr">
        <is>
          <t>not reported</t>
        </is>
      </c>
      <c r="E345" s="23" t="inlineStr">
        <is>
          <t>Form 990 Return Header, Paid Preparer block (return_header.preparer_person_name / preparer_firm_name); auditor: Part XII line 2 reports audited financial statements but does not name the firm.</t>
        </is>
      </c>
    </row>
    <row r="346" ht="42" customHeight="1">
      <c r="A346" s="46" t="inlineStr">
        <is>
          <t>FY2024</t>
        </is>
      </c>
      <c r="B346" s="8" t="inlineStr">
        <is>
          <t>Travis Hole CPA</t>
        </is>
      </c>
      <c r="C346" s="8" t="inlineStr">
        <is>
          <t>Moss Levy &amp; Hartzheim LLP</t>
        </is>
      </c>
      <c r="D346" s="48" t="inlineStr">
        <is>
          <t>not reported</t>
        </is>
      </c>
      <c r="E346" s="23" t="inlineStr">
        <is>
          <t>Form 990 Return Header, Paid Preparer block (return_header.preparer_person_name / preparer_firm_name); auditor: Part XII line 2 reports audited financial statements but does not name the firm.</t>
        </is>
      </c>
    </row>
    <row r="348" ht="42" customHeight="1">
      <c r="A34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348:K348"/>
    <mergeCell ref="A5:K5"/>
    <mergeCell ref="A1:K1"/>
  </mergeCells>
  <conditionalFormatting sqref="F302:F338">
    <cfRule type="cellIs" priority="1" operator="notEqual" dxfId="0">
      <formula>0</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