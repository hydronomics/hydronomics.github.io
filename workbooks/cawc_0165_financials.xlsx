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Clear Water Mutual Water Company</t>
        </is>
      </c>
    </row>
    <row r="2">
      <c r="A2" s="2" t="inlineStr">
        <is>
          <t>Financial Summary - multi-year overview (USD)</t>
        </is>
      </c>
    </row>
    <row r="3">
      <c r="A3" s="2" t="inlineStr">
        <is>
          <t>Entity ID: cawc_0165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row>
    <row r="9">
      <c r="A9" s="6" t="inlineStr">
        <is>
          <t>Operating results (USD)</t>
        </is>
      </c>
      <c r="B9" s="7" t="n"/>
      <c r="C9" s="7" t="n"/>
      <c r="D9" s="7" t="n"/>
      <c r="E9" s="7" t="n"/>
    </row>
    <row r="10">
      <c r="A10" s="8" t="inlineStr">
        <is>
          <t xml:space="preserve">    Total revenue</t>
        </is>
      </c>
      <c r="B10" s="9" t="n">
        <v>218417</v>
      </c>
      <c r="C10" s="9" t="n">
        <v>94582</v>
      </c>
      <c r="D10" s="9" t="n">
        <v>165552</v>
      </c>
      <c r="E10" s="9" t="n">
        <v>148330</v>
      </c>
    </row>
    <row r="11">
      <c r="A11" s="8" t="inlineStr">
        <is>
          <t xml:space="preserve">    Total expenses</t>
        </is>
      </c>
      <c r="B11" s="9" t="n">
        <v>132205</v>
      </c>
      <c r="C11" s="9" t="n">
        <v>124898</v>
      </c>
      <c r="D11" s="9" t="n">
        <v>157244</v>
      </c>
      <c r="E11" s="9" t="n">
        <v>186592</v>
      </c>
    </row>
    <row r="12">
      <c r="A12" s="10" t="inlineStr">
        <is>
          <t xml:space="preserve">    Net income</t>
        </is>
      </c>
      <c r="B12" s="11" t="n">
        <v>86212</v>
      </c>
      <c r="C12" s="11" t="n">
        <v>-30316</v>
      </c>
      <c r="D12" s="11" t="n">
        <v>8308</v>
      </c>
      <c r="E12" s="11" t="n">
        <v>-38262</v>
      </c>
    </row>
    <row r="14">
      <c r="A14" s="6" t="inlineStr">
        <is>
          <t>Financial position (USD, end of year)</t>
        </is>
      </c>
      <c r="B14" s="7" t="n"/>
      <c r="C14" s="7" t="n"/>
      <c r="D14" s="7" t="n"/>
      <c r="E14" s="7" t="n"/>
    </row>
    <row r="15">
      <c r="A15" s="8" t="inlineStr">
        <is>
          <t xml:space="preserve">    Total assets</t>
        </is>
      </c>
      <c r="B15" s="9" t="n">
        <v>450771</v>
      </c>
      <c r="C15" s="9" t="n">
        <v>423841</v>
      </c>
      <c r="D15" s="9" t="n">
        <v>432149</v>
      </c>
      <c r="E15" s="9" t="n">
        <v>417305</v>
      </c>
    </row>
    <row r="16">
      <c r="A16" s="8" t="inlineStr">
        <is>
          <t xml:space="preserve">    Total liabilities</t>
        </is>
      </c>
      <c r="B16" s="9" t="n">
        <v>258747</v>
      </c>
      <c r="C16" s="9" t="n">
        <v>262133</v>
      </c>
      <c r="D16" s="9" t="n">
        <v>262133</v>
      </c>
      <c r="E16" s="9" t="n">
        <v>286745</v>
      </c>
    </row>
    <row r="17">
      <c r="A17" s="10" t="inlineStr">
        <is>
          <t xml:space="preserve">    Net assets</t>
        </is>
      </c>
      <c r="B17" s="11" t="n">
        <v>192024</v>
      </c>
      <c r="C17" s="11" t="n">
        <v>161708</v>
      </c>
      <c r="D17" s="11" t="n">
        <v>170016</v>
      </c>
      <c r="E17" s="11" t="n">
        <v>130560</v>
      </c>
    </row>
    <row r="19">
      <c r="A19" s="6" t="inlineStr">
        <is>
          <t>Headline ratios</t>
        </is>
      </c>
      <c r="B19" s="7" t="n"/>
      <c r="C19" s="7" t="n"/>
      <c r="D19" s="7" t="n"/>
      <c r="E19" s="7" t="n"/>
    </row>
    <row r="20">
      <c r="A20" s="8" t="inlineStr">
        <is>
          <t xml:space="preserve">    Operating margin</t>
        </is>
      </c>
      <c r="B20" s="12" t="n">
        <v>0.3947128657567863</v>
      </c>
      <c r="C20" s="12" t="n">
        <v>-0.3205261043327483</v>
      </c>
      <c r="D20" s="12" t="n">
        <v>0.05018362810476466</v>
      </c>
      <c r="E20" s="12" t="n">
        <v>-0.2579518640868334</v>
      </c>
    </row>
    <row r="21">
      <c r="A21" s="8" t="inlineStr">
        <is>
          <t xml:space="preserve">    Revenue growth (YoY)</t>
        </is>
      </c>
      <c r="B21" s="12" t="n">
        <v>0.7966209046565381</v>
      </c>
      <c r="C21" s="12" t="n">
        <v>-0.5669659412957783</v>
      </c>
      <c r="D21" s="12" t="n">
        <v>0.7503541900150135</v>
      </c>
      <c r="E21" s="12" t="n"/>
    </row>
    <row r="22">
      <c r="A22" s="8" t="inlineStr">
        <is>
          <t xml:space="preserve">    Return on assets</t>
        </is>
      </c>
      <c r="B22" s="12" t="n">
        <v>0.1912545394446404</v>
      </c>
      <c r="C22" s="12" t="n">
        <v>-0.07152682255845942</v>
      </c>
      <c r="D22" s="12" t="n">
        <v>0.01922485068807286</v>
      </c>
      <c r="E22" s="12" t="n">
        <v>-0.09168833347311918</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Clear Water Mutual Water Company</t>
        </is>
      </c>
    </row>
    <row r="2">
      <c r="A2" s="2" t="inlineStr">
        <is>
          <t>Financial Statements - income statement, balance sheet, cash flow, member income test (USD)</t>
        </is>
      </c>
    </row>
    <row r="3">
      <c r="A3" s="2" t="inlineStr">
        <is>
          <t>Entity ID: cawc_0165   |   Fiscal year ends March 31.</t>
        </is>
      </c>
    </row>
    <row r="5">
      <c r="A5" s="6" t="inlineStr">
        <is>
          <t>INCOME STATEMENT - as reported (USD)</t>
        </is>
      </c>
      <c r="B5" s="7" t="n"/>
      <c r="C5" s="7" t="n"/>
      <c r="D5" s="7" t="n"/>
      <c r="E5" s="7" t="n"/>
    </row>
    <row r="6">
      <c r="A6" s="4" t="inlineStr">
        <is>
          <t>Line item</t>
        </is>
      </c>
      <c r="B6" s="5" t="inlineStr">
        <is>
          <t>FY2020</t>
        </is>
      </c>
      <c r="C6" s="5" t="inlineStr">
        <is>
          <t>FY2021</t>
        </is>
      </c>
      <c r="D6" s="5" t="inlineStr">
        <is>
          <t>FY2022</t>
        </is>
      </c>
      <c r="E6" s="5" t="inlineStr">
        <is>
          <t>FY2023</t>
        </is>
      </c>
    </row>
    <row r="7">
      <c r="A7" s="6" t="inlineStr">
        <is>
          <t>Revenue</t>
        </is>
      </c>
      <c r="B7" s="7" t="n"/>
      <c r="C7" s="7" t="n"/>
      <c r="D7" s="7" t="n"/>
      <c r="E7" s="7" t="n"/>
    </row>
    <row r="8">
      <c r="A8" s="8" t="inlineStr">
        <is>
          <t xml:space="preserve">    Program service revenue</t>
        </is>
      </c>
      <c r="B8" s="9" t="n">
        <v>218417</v>
      </c>
      <c r="C8" s="9" t="n">
        <v>94582</v>
      </c>
      <c r="D8" s="9" t="n">
        <v>165552</v>
      </c>
      <c r="E8" s="9" t="n"/>
    </row>
    <row r="9">
      <c r="A9" s="8" t="inlineStr">
        <is>
          <t xml:space="preserve">    Investment income</t>
        </is>
      </c>
      <c r="B9" s="9" t="n">
        <v>0</v>
      </c>
      <c r="C9" s="9" t="n"/>
      <c r="D9" s="9" t="n"/>
      <c r="E9" s="9" t="n"/>
    </row>
    <row r="10">
      <c r="A10" s="8" t="inlineStr">
        <is>
          <t xml:space="preserve">    Net rental income</t>
        </is>
      </c>
      <c r="B10" s="9" t="n">
        <v>0</v>
      </c>
      <c r="C10" s="9" t="n"/>
      <c r="D10" s="9" t="n"/>
      <c r="E10" s="9" t="n"/>
    </row>
    <row r="11">
      <c r="A11" s="8" t="inlineStr">
        <is>
          <t xml:space="preserve">    Net gain/(loss) on investment sales</t>
        </is>
      </c>
      <c r="B11" s="9" t="n">
        <v>0</v>
      </c>
      <c r="C11" s="9" t="n"/>
      <c r="D11" s="9" t="n"/>
      <c r="E11" s="9" t="n"/>
    </row>
    <row r="12">
      <c r="A12" s="8" t="inlineStr">
        <is>
          <t xml:space="preserve">    Other revenue</t>
        </is>
      </c>
      <c r="B12" s="9" t="n">
        <v>0</v>
      </c>
      <c r="C12" s="9" t="n"/>
      <c r="D12" s="9" t="n"/>
      <c r="E12" s="9" t="n"/>
    </row>
    <row r="13">
      <c r="A13" s="8" t="inlineStr">
        <is>
          <t xml:space="preserve">    Contributions &amp; grants</t>
        </is>
      </c>
      <c r="B13" s="9" t="n">
        <v>0</v>
      </c>
      <c r="C13" s="9" t="n"/>
      <c r="D13" s="9" t="n"/>
      <c r="E13" s="9" t="n"/>
    </row>
    <row r="14">
      <c r="A14" s="10" t="inlineStr">
        <is>
          <t>Total revenue</t>
        </is>
      </c>
      <c r="B14" s="11" t="n">
        <v>218417</v>
      </c>
      <c r="C14" s="11" t="n">
        <v>94582</v>
      </c>
      <c r="D14" s="11" t="n">
        <v>165552</v>
      </c>
      <c r="E14" s="11" t="n"/>
    </row>
    <row r="16">
      <c r="A16" s="6" t="inlineStr">
        <is>
          <t>Expenses</t>
        </is>
      </c>
      <c r="B16" s="7" t="n"/>
      <c r="C16" s="7" t="n"/>
      <c r="D16" s="7" t="n"/>
      <c r="E16" s="7" t="n"/>
    </row>
    <row r="17">
      <c r="A17" s="8" t="inlineStr">
        <is>
          <t xml:space="preserve">    Depreciation</t>
        </is>
      </c>
      <c r="B17" s="9" t="n">
        <v>7770</v>
      </c>
      <c r="C17" s="9" t="n">
        <v>8899</v>
      </c>
      <c r="D17" s="9" t="n">
        <v>9756</v>
      </c>
      <c r="E17" s="9" t="n"/>
    </row>
    <row r="18">
      <c r="A18" s="8" t="inlineStr">
        <is>
          <t xml:space="preserve">    Interest expense</t>
        </is>
      </c>
      <c r="B18" s="9" t="n">
        <v>4011</v>
      </c>
      <c r="C18" s="9" t="n">
        <v>3987</v>
      </c>
      <c r="D18" s="9" t="n">
        <v>7974</v>
      </c>
      <c r="E18" s="9" t="n"/>
    </row>
    <row r="19">
      <c r="A19" s="10" t="inlineStr">
        <is>
          <t>Total expenses</t>
        </is>
      </c>
      <c r="B19" s="11" t="n">
        <v>132205</v>
      </c>
      <c r="C19" s="11" t="n">
        <v>124898</v>
      </c>
      <c r="D19" s="11" t="n">
        <v>157244</v>
      </c>
      <c r="E19" s="11" t="n">
        <v>186592</v>
      </c>
    </row>
    <row r="21">
      <c r="A21" s="10" t="inlineStr">
        <is>
          <t>Net income</t>
        </is>
      </c>
      <c r="B21" s="11" t="n">
        <v>86212</v>
      </c>
      <c r="C21" s="11" t="n">
        <v>-30316</v>
      </c>
      <c r="D21" s="11" t="n">
        <v>8308</v>
      </c>
      <c r="E21" s="11" t="n">
        <v>-38262</v>
      </c>
    </row>
    <row r="24">
      <c r="A24" s="6" t="inlineStr">
        <is>
          <t>BALANCE SHEET - as reported (USD, end of year)</t>
        </is>
      </c>
      <c r="B24" s="7" t="n"/>
      <c r="C24" s="7" t="n"/>
      <c r="D24" s="7" t="n"/>
      <c r="E24" s="7" t="n"/>
    </row>
    <row r="25">
      <c r="A25" s="4" t="inlineStr">
        <is>
          <t>Line item</t>
        </is>
      </c>
      <c r="B25" s="5" t="inlineStr">
        <is>
          <t>FY2020</t>
        </is>
      </c>
      <c r="C25" s="5" t="inlineStr">
        <is>
          <t>FY2021</t>
        </is>
      </c>
      <c r="D25" s="5" t="inlineStr">
        <is>
          <t>FY2022</t>
        </is>
      </c>
      <c r="E25" s="5" t="inlineStr">
        <is>
          <t>FY2023</t>
        </is>
      </c>
    </row>
    <row r="26">
      <c r="A26" s="6" t="inlineStr">
        <is>
          <t>Assets</t>
        </is>
      </c>
      <c r="B26" s="7" t="n"/>
      <c r="C26" s="7" t="n"/>
      <c r="D26" s="7" t="n"/>
      <c r="E26" s="7" t="n"/>
    </row>
    <row r="27">
      <c r="A27" s="8" t="inlineStr">
        <is>
          <t xml:space="preserve">    Cash</t>
        </is>
      </c>
      <c r="B27" s="9" t="n">
        <v>30398</v>
      </c>
      <c r="C27" s="9" t="n">
        <v>11978</v>
      </c>
      <c r="D27" s="9" t="n">
        <v>23386</v>
      </c>
      <c r="E27" s="9" t="n">
        <v>1967</v>
      </c>
    </row>
    <row r="28">
      <c r="A28" s="8" t="inlineStr">
        <is>
          <t xml:space="preserve">    Savings &amp; temporary investments</t>
        </is>
      </c>
      <c r="B28" s="9" t="n">
        <v>0</v>
      </c>
      <c r="C28" s="9" t="n"/>
      <c r="D28" s="9" t="n"/>
      <c r="E28" s="9" t="n"/>
    </row>
    <row r="29">
      <c r="A29" s="8" t="inlineStr">
        <is>
          <t xml:space="preserve">    Accounts receivable</t>
        </is>
      </c>
      <c r="B29" s="9" t="n">
        <v>0</v>
      </c>
      <c r="C29" s="9" t="n"/>
      <c r="D29" s="9" t="n"/>
      <c r="E29" s="9" t="n"/>
    </row>
    <row r="30">
      <c r="A30" s="8" t="inlineStr">
        <is>
          <t xml:space="preserve">    Inventories</t>
        </is>
      </c>
      <c r="B30" s="9" t="n">
        <v>0</v>
      </c>
      <c r="C30" s="9" t="n"/>
      <c r="D30" s="9" t="n"/>
      <c r="E30" s="9" t="n"/>
    </row>
    <row r="31">
      <c r="A31" s="8" t="inlineStr">
        <is>
          <t xml:space="preserve">    Prepaid expenses</t>
        </is>
      </c>
      <c r="B31" s="9" t="n">
        <v>0</v>
      </c>
      <c r="C31" s="9" t="n"/>
      <c r="D31" s="9" t="n"/>
      <c r="E31" s="9" t="n"/>
    </row>
    <row r="32">
      <c r="A32" s="8" t="inlineStr">
        <is>
          <t xml:space="preserve">    Property, plant &amp; equipment (gross)</t>
        </is>
      </c>
      <c r="B32" s="9" t="n">
        <v>329460</v>
      </c>
      <c r="C32" s="9" t="n">
        <v>428903</v>
      </c>
      <c r="D32" s="9" t="n">
        <v>428903</v>
      </c>
      <c r="E32" s="9" t="n"/>
    </row>
    <row r="33">
      <c r="A33" s="8" t="inlineStr">
        <is>
          <t xml:space="preserve">    Less: accumulated depreciation</t>
        </is>
      </c>
      <c r="B33" s="9" t="n">
        <v>-184570</v>
      </c>
      <c r="C33" s="9" t="n">
        <v>-193469</v>
      </c>
      <c r="D33" s="9" t="n">
        <v>-203225</v>
      </c>
      <c r="E33" s="9" t="n"/>
    </row>
    <row r="34">
      <c r="A34" s="10" t="inlineStr">
        <is>
          <t xml:space="preserve">    Net property, plant &amp; equipment</t>
        </is>
      </c>
      <c r="B34" s="11" t="n">
        <v>144890</v>
      </c>
      <c r="C34" s="11" t="n">
        <v>235434</v>
      </c>
      <c r="D34" s="11" t="n">
        <v>225678</v>
      </c>
      <c r="E34" s="11" t="n">
        <v>17359</v>
      </c>
    </row>
    <row r="35">
      <c r="A35" s="10" t="inlineStr">
        <is>
          <t>Total assets</t>
        </is>
      </c>
      <c r="B35" s="11" t="n">
        <v>450771</v>
      </c>
      <c r="C35" s="11" t="n">
        <v>423841</v>
      </c>
      <c r="D35" s="11" t="n">
        <v>432149</v>
      </c>
      <c r="E35" s="11" t="n">
        <v>417305</v>
      </c>
    </row>
    <row r="37">
      <c r="A37" s="6" t="inlineStr">
        <is>
          <t>Liabilities</t>
        </is>
      </c>
      <c r="B37" s="7" t="n"/>
      <c r="C37" s="7" t="n"/>
      <c r="D37" s="7" t="n"/>
      <c r="E37" s="7" t="n"/>
    </row>
    <row r="38">
      <c r="A38" s="8" t="inlineStr">
        <is>
          <t xml:space="preserve">    Accounts payable</t>
        </is>
      </c>
      <c r="B38" s="9" t="n"/>
      <c r="C38" s="9" t="n"/>
      <c r="D38" s="9" t="n"/>
      <c r="E38" s="9" t="n"/>
    </row>
    <row r="39">
      <c r="A39" s="8" t="inlineStr">
        <is>
          <t xml:space="preserve">    Mortgages &amp; notes payable</t>
        </is>
      </c>
      <c r="B39" s="9" t="n"/>
      <c r="C39" s="9" t="n"/>
      <c r="D39" s="9" t="n"/>
      <c r="E39" s="9" t="n"/>
    </row>
    <row r="40">
      <c r="A40" s="10" t="inlineStr">
        <is>
          <t>Total liabilities</t>
        </is>
      </c>
      <c r="B40" s="11" t="n">
        <v>258747</v>
      </c>
      <c r="C40" s="11" t="n">
        <v>262133</v>
      </c>
      <c r="D40" s="11" t="n">
        <v>262133</v>
      </c>
      <c r="E40" s="11" t="n">
        <v>286745</v>
      </c>
    </row>
    <row r="42">
      <c r="A42" s="6" t="inlineStr">
        <is>
          <t>Net Assets / Equity</t>
        </is>
      </c>
      <c r="B42" s="7" t="n"/>
      <c r="C42" s="7" t="n"/>
      <c r="D42" s="7" t="n"/>
      <c r="E42" s="7" t="n"/>
    </row>
    <row r="43">
      <c r="A43" s="8" t="inlineStr">
        <is>
          <t xml:space="preserve">    Capital stock</t>
        </is>
      </c>
      <c r="B43" s="9" t="n"/>
      <c r="C43" s="9" t="n"/>
      <c r="D43" s="9" t="n"/>
      <c r="E43" s="9" t="n"/>
    </row>
    <row r="44">
      <c r="A44" s="8" t="inlineStr">
        <is>
          <t xml:space="preserve">    Paid-in capital</t>
        </is>
      </c>
      <c r="B44" s="9" t="n"/>
      <c r="C44" s="9" t="n"/>
      <c r="D44" s="9" t="n"/>
      <c r="E44" s="9" t="n"/>
    </row>
    <row r="45">
      <c r="A45" s="8" t="inlineStr">
        <is>
          <t xml:space="preserve">    Retained earnings</t>
        </is>
      </c>
      <c r="B45" s="9" t="n"/>
      <c r="C45" s="9" t="n"/>
      <c r="D45" s="9" t="n"/>
      <c r="E45" s="9" t="n"/>
    </row>
    <row r="46">
      <c r="A46" s="10" t="inlineStr">
        <is>
          <t>Net assets</t>
        </is>
      </c>
      <c r="B46" s="11" t="n">
        <v>192024</v>
      </c>
      <c r="C46" s="11" t="n">
        <v>161708</v>
      </c>
      <c r="D46" s="11" t="n">
        <v>170016</v>
      </c>
      <c r="E46" s="11" t="n">
        <v>130560</v>
      </c>
    </row>
    <row r="49">
      <c r="A49" s="6" t="inlineStr">
        <is>
          <t>CASH FLOW - derived proxy (USD)</t>
        </is>
      </c>
      <c r="B49" s="7" t="n"/>
      <c r="C49" s="7" t="n"/>
      <c r="D49" s="7" t="n"/>
      <c r="E49" s="7" t="n"/>
    </row>
    <row r="50">
      <c r="A50" s="4" t="inlineStr">
        <is>
          <t>Proxy line</t>
        </is>
      </c>
      <c r="B50" s="5" t="inlineStr">
        <is>
          <t>FY2020</t>
        </is>
      </c>
      <c r="C50" s="5" t="inlineStr">
        <is>
          <t>FY2021</t>
        </is>
      </c>
      <c r="D50" s="5" t="inlineStr">
        <is>
          <t>FY2022</t>
        </is>
      </c>
      <c r="E50" s="5" t="inlineStr">
        <is>
          <t>FY2023</t>
        </is>
      </c>
    </row>
    <row r="51">
      <c r="A51" s="6" t="inlineStr">
        <is>
          <t>Operating</t>
        </is>
      </c>
      <c r="B51" s="7" t="n"/>
      <c r="C51" s="7" t="n"/>
      <c r="D51" s="7" t="n"/>
      <c r="E51" s="7" t="n"/>
    </row>
    <row r="52">
      <c r="A52" s="8" t="inlineStr">
        <is>
          <t xml:space="preserve">    Net income</t>
        </is>
      </c>
      <c r="B52" s="9" t="n">
        <v>86212</v>
      </c>
      <c r="C52" s="9" t="n">
        <v>-30316</v>
      </c>
      <c r="D52" s="9" t="n">
        <v>8308</v>
      </c>
      <c r="E52" s="9" t="n">
        <v>-38262</v>
      </c>
    </row>
    <row r="53">
      <c r="A53" s="8" t="inlineStr">
        <is>
          <t xml:space="preserve">    + Depreciation (reported)</t>
        </is>
      </c>
      <c r="B53" s="9" t="n">
        <v>7770</v>
      </c>
      <c r="C53" s="9" t="n">
        <v>8899</v>
      </c>
      <c r="D53" s="9" t="n">
        <v>9756</v>
      </c>
      <c r="E53" s="9" t="n"/>
    </row>
    <row r="54">
      <c r="A54" s="8" t="inlineStr">
        <is>
          <t xml:space="preserve">    − Δ Accounts receivable</t>
        </is>
      </c>
      <c r="B54" s="9" t="n"/>
      <c r="C54" s="9" t="n"/>
      <c r="D54" s="9" t="n"/>
      <c r="E54" s="9" t="n"/>
    </row>
    <row r="55">
      <c r="A55" s="8" t="inlineStr">
        <is>
          <t xml:space="preserve">    − Δ Inventories</t>
        </is>
      </c>
      <c r="B55" s="9" t="n"/>
      <c r="C55" s="9" t="n"/>
      <c r="D55" s="9" t="n"/>
      <c r="E55" s="9" t="n"/>
    </row>
    <row r="56">
      <c r="A56" s="8" t="inlineStr">
        <is>
          <t xml:space="preserve">    − Δ Prepaid expenses</t>
        </is>
      </c>
      <c r="B56" s="9" t="n"/>
      <c r="C56" s="9" t="n"/>
      <c r="D56" s="9" t="n"/>
      <c r="E56" s="9" t="n"/>
    </row>
    <row r="57">
      <c r="A57" s="8" t="inlineStr">
        <is>
          <t xml:space="preserve">    + Δ Accounts payable</t>
        </is>
      </c>
      <c r="B57" s="9" t="n"/>
      <c r="C57" s="9" t="n"/>
      <c r="D57" s="9" t="n"/>
      <c r="E57" s="9" t="n"/>
    </row>
    <row r="58">
      <c r="A58" s="10" t="inlineStr">
        <is>
          <t xml:space="preserve">    Operating cash flow proxy</t>
        </is>
      </c>
      <c r="B58" s="11" t="n"/>
      <c r="C58" s="11" t="n">
        <v>-21417</v>
      </c>
      <c r="D58" s="11" t="n">
        <v>18064</v>
      </c>
      <c r="E58" s="11" t="n">
        <v>-38262</v>
      </c>
    </row>
    <row r="60">
      <c r="A60" s="6" t="inlineStr">
        <is>
          <t>Investing</t>
        </is>
      </c>
      <c r="B60" s="7" t="n"/>
      <c r="C60" s="7" t="n"/>
      <c r="D60" s="7" t="n"/>
      <c r="E60" s="7" t="n"/>
    </row>
    <row r="61">
      <c r="A61" s="8" t="inlineStr">
        <is>
          <t xml:space="preserve">    − Δ PP&amp;E gross (capex proxy)</t>
        </is>
      </c>
      <c r="B61" s="9" t="n"/>
      <c r="C61" s="9" t="n">
        <v>-99443</v>
      </c>
      <c r="D61" s="9" t="n">
        <v>0</v>
      </c>
      <c r="E61" s="9" t="n"/>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-18420</v>
      </c>
      <c r="D67" s="11" t="n">
        <v>11408</v>
      </c>
      <c r="E67" s="11" t="n">
        <v>-21419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FY2020</t>
        </is>
      </c>
      <c r="C72" s="5" t="inlineStr">
        <is>
          <t>FY2021</t>
        </is>
      </c>
      <c r="D72" s="5" t="inlineStr">
        <is>
          <t>FY2022</t>
        </is>
      </c>
    </row>
    <row r="73">
      <c r="A73" s="8" t="inlineStr">
        <is>
          <t xml:space="preserve">    11a. Gross income from members or shareholders</t>
        </is>
      </c>
      <c r="B73" s="14" t="inlineStr">
        <is>
          <t>not reported</t>
        </is>
      </c>
      <c r="C73" s="9" t="n">
        <v>94617</v>
      </c>
      <c r="D73" s="9" t="n">
        <v>164105</v>
      </c>
    </row>
    <row r="74">
      <c r="A74" s="8" t="inlineStr">
        <is>
          <t xml:space="preserve">    11b. Gross income from other sources</t>
        </is>
      </c>
      <c r="B74" s="14" t="inlineStr">
        <is>
          <t>not reported</t>
        </is>
      </c>
      <c r="C74" s="9" t="n">
        <v>0</v>
      </c>
      <c r="D74" s="9" t="n">
        <v>1447</v>
      </c>
    </row>
    <row r="75">
      <c r="A75" s="15" t="inlineStr">
        <is>
          <t>Total gross income (11a + 11b)</t>
        </is>
      </c>
      <c r="B75" s="16">
        <f>SUM(B73,B74)</f>
        <v/>
      </c>
      <c r="C75" s="16">
        <f>SUM(C73,C74)</f>
        <v/>
      </c>
      <c r="D75" s="16">
        <f>SUM(D73,D74)</f>
        <v/>
      </c>
    </row>
    <row r="76">
      <c r="A76" s="15" t="inlineStr">
        <is>
          <t>Member income share (11a / total)</t>
        </is>
      </c>
      <c r="B76" s="17">
        <f>IF(B75=0,"",B73/B75)</f>
        <v/>
      </c>
      <c r="C76" s="17">
        <f>IF(C75=0,"",C73/C75)</f>
        <v/>
      </c>
      <c r="D76" s="17">
        <f>IF(D75=0,"",D73/D75)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Clear Water Mutual Water Company</t>
        </is>
      </c>
    </row>
    <row r="2">
      <c r="A2" s="2" t="inlineStr">
        <is>
          <t>Balance Sheet - as reported (USD, end of year)</t>
        </is>
      </c>
    </row>
    <row r="3">
      <c r="A3" s="2" t="inlineStr">
        <is>
          <t>Entity ID: cawc_0165   |   Fiscal year ends March 31.</t>
        </is>
      </c>
    </row>
    <row r="5">
      <c r="A5" s="4" t="inlineStr">
        <is>
          <t>Line item</t>
        </is>
      </c>
      <c r="B5" s="5" t="inlineStr">
        <is>
          <t>FY2020</t>
        </is>
      </c>
      <c r="C5" s="5" t="inlineStr">
        <is>
          <t>FY2021</t>
        </is>
      </c>
      <c r="D5" s="5" t="inlineStr">
        <is>
          <t>FY2022</t>
        </is>
      </c>
      <c r="E5" s="5" t="inlineStr">
        <is>
          <t>FY2023</t>
        </is>
      </c>
    </row>
    <row r="6">
      <c r="A6" s="6" t="inlineStr">
        <is>
          <t>Assets</t>
        </is>
      </c>
      <c r="B6" s="7" t="n"/>
      <c r="C6" s="7" t="n"/>
      <c r="D6" s="7" t="n"/>
      <c r="E6" s="7" t="n"/>
    </row>
    <row r="7">
      <c r="A7" s="8" t="inlineStr">
        <is>
          <t xml:space="preserve">    Cash</t>
        </is>
      </c>
      <c r="B7" s="9" t="n">
        <v>30398</v>
      </c>
      <c r="C7" s="9" t="n">
        <v>11978</v>
      </c>
      <c r="D7" s="9" t="n">
        <v>23386</v>
      </c>
      <c r="E7" s="9" t="n">
        <v>1967</v>
      </c>
    </row>
    <row r="8">
      <c r="A8" s="8" t="inlineStr">
        <is>
          <t xml:space="preserve">    Savings &amp; temporary investments</t>
        </is>
      </c>
      <c r="B8" s="9" t="n">
        <v>0</v>
      </c>
      <c r="C8" s="9" t="n"/>
      <c r="D8" s="9" t="n"/>
      <c r="E8" s="9" t="n"/>
    </row>
    <row r="9">
      <c r="A9" s="8" t="inlineStr">
        <is>
          <t xml:space="preserve">    Accounts receivable</t>
        </is>
      </c>
      <c r="B9" s="9" t="n">
        <v>0</v>
      </c>
      <c r="C9" s="9" t="n"/>
      <c r="D9" s="9" t="n"/>
      <c r="E9" s="9" t="n"/>
    </row>
    <row r="10">
      <c r="A10" s="8" t="inlineStr">
        <is>
          <t xml:space="preserve">    Inventories</t>
        </is>
      </c>
      <c r="B10" s="9" t="n">
        <v>0</v>
      </c>
      <c r="C10" s="9" t="n"/>
      <c r="D10" s="9" t="n"/>
      <c r="E10" s="9" t="n"/>
    </row>
    <row r="11">
      <c r="A11" s="8" t="inlineStr">
        <is>
          <t xml:space="preserve">    Prepaid expenses</t>
        </is>
      </c>
      <c r="B11" s="9" t="n">
        <v>0</v>
      </c>
      <c r="C11" s="9" t="n"/>
      <c r="D11" s="9" t="n"/>
      <c r="E11" s="9" t="n"/>
    </row>
    <row r="12">
      <c r="A12" s="8" t="inlineStr">
        <is>
          <t xml:space="preserve">    Property, plant &amp; equipment (gross)</t>
        </is>
      </c>
      <c r="B12" s="9" t="n">
        <v>329460</v>
      </c>
      <c r="C12" s="9" t="n">
        <v>428903</v>
      </c>
      <c r="D12" s="9" t="n">
        <v>428903</v>
      </c>
      <c r="E12" s="9" t="n"/>
    </row>
    <row r="13">
      <c r="A13" s="8" t="inlineStr">
        <is>
          <t xml:space="preserve">    Less: accumulated depreciation</t>
        </is>
      </c>
      <c r="B13" s="9" t="n">
        <v>-184570</v>
      </c>
      <c r="C13" s="9" t="n">
        <v>-193469</v>
      </c>
      <c r="D13" s="9" t="n">
        <v>-203225</v>
      </c>
      <c r="E13" s="9" t="n"/>
    </row>
    <row r="14">
      <c r="A14" s="10" t="inlineStr">
        <is>
          <t xml:space="preserve">    Net property, plant &amp; equipment</t>
        </is>
      </c>
      <c r="B14" s="11" t="n">
        <v>144890</v>
      </c>
      <c r="C14" s="11" t="n">
        <v>235434</v>
      </c>
      <c r="D14" s="11" t="n">
        <v>225678</v>
      </c>
      <c r="E14" s="11" t="n">
        <v>17359</v>
      </c>
    </row>
    <row r="15">
      <c r="A15" s="10" t="inlineStr">
        <is>
          <t>Total assets</t>
        </is>
      </c>
      <c r="B15" s="11" t="n">
        <v>450771</v>
      </c>
      <c r="C15" s="11" t="n">
        <v>423841</v>
      </c>
      <c r="D15" s="11" t="n">
        <v>432149</v>
      </c>
      <c r="E15" s="11" t="n">
        <v>417305</v>
      </c>
    </row>
    <row r="17">
      <c r="A17" s="6" t="inlineStr">
        <is>
          <t>Liabilities</t>
        </is>
      </c>
      <c r="B17" s="7" t="n"/>
      <c r="C17" s="7" t="n"/>
      <c r="D17" s="7" t="n"/>
      <c r="E17" s="7" t="n"/>
    </row>
    <row r="18">
      <c r="A18" s="8" t="inlineStr">
        <is>
          <t xml:space="preserve">    Accounts payable</t>
        </is>
      </c>
      <c r="B18" s="9" t="n"/>
      <c r="C18" s="9" t="n"/>
      <c r="D18" s="9" t="n"/>
      <c r="E18" s="9" t="n"/>
    </row>
    <row r="19">
      <c r="A19" s="8" t="inlineStr">
        <is>
          <t xml:space="preserve">    Mortgages &amp; notes payable</t>
        </is>
      </c>
      <c r="B19" s="9" t="n"/>
      <c r="C19" s="9" t="n"/>
      <c r="D19" s="9" t="n"/>
      <c r="E19" s="9" t="n"/>
    </row>
    <row r="20">
      <c r="A20" s="10" t="inlineStr">
        <is>
          <t>Total liabilities</t>
        </is>
      </c>
      <c r="B20" s="11" t="n">
        <v>258747</v>
      </c>
      <c r="C20" s="11" t="n">
        <v>262133</v>
      </c>
      <c r="D20" s="11" t="n">
        <v>262133</v>
      </c>
      <c r="E20" s="11" t="n">
        <v>286745</v>
      </c>
    </row>
    <row r="22">
      <c r="A22" s="6" t="inlineStr">
        <is>
          <t>Net Assets / Equity</t>
        </is>
      </c>
      <c r="B22" s="7" t="n"/>
      <c r="C22" s="7" t="n"/>
      <c r="D22" s="7" t="n"/>
      <c r="E22" s="7" t="n"/>
    </row>
    <row r="23">
      <c r="A23" s="8" t="inlineStr">
        <is>
          <t xml:space="preserve">    Capital stock</t>
        </is>
      </c>
      <c r="B23" s="9" t="n"/>
      <c r="C23" s="9" t="n"/>
      <c r="D23" s="9" t="n"/>
      <c r="E23" s="9" t="n"/>
    </row>
    <row r="24">
      <c r="A24" s="8" t="inlineStr">
        <is>
          <t xml:space="preserve">    Paid-in capital</t>
        </is>
      </c>
      <c r="B24" s="9" t="n"/>
      <c r="C24" s="9" t="n"/>
      <c r="D24" s="9" t="n"/>
      <c r="E24" s="9" t="n"/>
    </row>
    <row r="25">
      <c r="A25" s="8" t="inlineStr">
        <is>
          <t xml:space="preserve">    Retained earnings</t>
        </is>
      </c>
      <c r="B25" s="9" t="n"/>
      <c r="C25" s="9" t="n"/>
      <c r="D25" s="9" t="n"/>
      <c r="E25" s="9" t="n"/>
    </row>
    <row r="26">
      <c r="A26" s="10" t="inlineStr">
        <is>
          <t>Net assets</t>
        </is>
      </c>
      <c r="B26" s="11" t="n">
        <v>192024</v>
      </c>
      <c r="C26" s="11" t="n">
        <v>161708</v>
      </c>
      <c r="D26" s="11" t="n">
        <v>170016</v>
      </c>
      <c r="E26" s="11" t="n">
        <v>130560</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Clear Water Mutual Water Company</t>
        </is>
      </c>
    </row>
    <row r="2">
      <c r="A2" s="2" t="inlineStr">
        <is>
          <t>Officers, Directors &amp; Contractors - Form 990 Part VII (FY2022; USD)</t>
        </is>
      </c>
    </row>
    <row r="3">
      <c r="A3" s="2" t="inlineStr">
        <is>
          <t>Entity ID: cawc_0165   |   Fiscal year ends March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Tom Hopkins</t>
        </is>
      </c>
      <c r="B7" s="8" t="inlineStr">
        <is>
          <t>Board President</t>
        </is>
      </c>
      <c r="C7" s="9" t="n">
        <v>0</v>
      </c>
      <c r="D7" s="9" t="n">
        <v>0</v>
      </c>
      <c r="E7" s="9" t="n">
        <v>0</v>
      </c>
      <c r="F7" s="9" t="n">
        <v>0</v>
      </c>
    </row>
    <row r="8">
      <c r="A8" s="8" t="inlineStr">
        <is>
          <t>Dan Dougherty</t>
        </is>
      </c>
      <c r="B8" s="8" t="inlineStr">
        <is>
          <t>Board Member</t>
        </is>
      </c>
      <c r="C8" s="9" t="n">
        <v>0</v>
      </c>
      <c r="D8" s="9" t="n">
        <v>0</v>
      </c>
      <c r="E8" s="9" t="n">
        <v>0</v>
      </c>
      <c r="F8" s="9" t="n">
        <v>0</v>
      </c>
    </row>
    <row r="9">
      <c r="A9" s="8" t="inlineStr">
        <is>
          <t>Betty Humes</t>
        </is>
      </c>
      <c r="B9" s="8" t="inlineStr">
        <is>
          <t>Treasurer</t>
        </is>
      </c>
      <c r="C9" s="9" t="n">
        <v>0</v>
      </c>
      <c r="D9" s="9" t="n">
        <v>0</v>
      </c>
      <c r="E9" s="9" t="n">
        <v>0</v>
      </c>
      <c r="F9" s="9" t="n">
        <v>0</v>
      </c>
    </row>
    <row r="10">
      <c r="A10" s="8" t="inlineStr">
        <is>
          <t>Leslie Olson</t>
        </is>
      </c>
      <c r="B10" s="8" t="inlineStr">
        <is>
          <t>Secretary</t>
        </is>
      </c>
      <c r="C10" s="9" t="n">
        <v>0</v>
      </c>
      <c r="D10" s="9" t="n">
        <v>0</v>
      </c>
      <c r="E10" s="9" t="n">
        <v>0</v>
      </c>
      <c r="F10" s="9" t="n">
        <v>0</v>
      </c>
    </row>
    <row r="12">
      <c r="A12" s="6" t="inlineStr">
        <is>
          <t>Section B - Independent contractors (over $100,000)</t>
        </is>
      </c>
      <c r="B12" s="7" t="n"/>
      <c r="C12" s="7" t="n"/>
      <c r="D12" s="7" t="n"/>
      <c r="E12" s="7" t="n"/>
      <c r="F12" s="7" t="n"/>
    </row>
    <row r="13">
      <c r="A13" s="5" t="inlineStr">
        <is>
          <t>Contractor</t>
        </is>
      </c>
      <c r="B13" s="5" t="inlineStr">
        <is>
          <t>Services</t>
        </is>
      </c>
      <c r="C13" s="5" t="inlineStr">
        <is>
          <t>Compensation</t>
        </is>
      </c>
    </row>
    <row r="15" ht="42" customHeight="1">
      <c r="A15"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Clear Water Mutual Water Company</t>
        </is>
      </c>
    </row>
    <row r="2">
      <c r="A2" s="2" t="inlineStr">
        <is>
          <t>Revenue - Form 990 Part VIII (USD)</t>
        </is>
      </c>
    </row>
    <row r="3">
      <c r="A3" s="2" t="inlineStr">
        <is>
          <t>Entity ID: cawc_0165   |   Fiscal year ends March 31.</t>
        </is>
      </c>
    </row>
    <row r="5">
      <c r="A5" s="4" t="inlineStr">
        <is>
          <t>Part VIII line</t>
        </is>
      </c>
      <c r="B5" s="5" t="inlineStr">
        <is>
          <t>FY2020</t>
        </is>
      </c>
      <c r="C5" s="5" t="inlineStr">
        <is>
          <t>FY2021</t>
        </is>
      </c>
      <c r="D5" s="5" t="inlineStr">
        <is>
          <t>FY2022</t>
        </is>
      </c>
    </row>
    <row r="6">
      <c r="A6" s="6" t="inlineStr">
        <is>
          <t>Revenue by category</t>
        </is>
      </c>
      <c r="B6" s="7" t="n"/>
      <c r="C6" s="7" t="n"/>
      <c r="D6" s="7" t="n"/>
    </row>
    <row r="7">
      <c r="A7" s="8" t="inlineStr">
        <is>
          <t xml:space="preserve">    1h. Total contributions, gifts, grants</t>
        </is>
      </c>
      <c r="B7" s="9" t="n">
        <v>0</v>
      </c>
      <c r="C7" s="14" t="inlineStr">
        <is>
          <t>not reported</t>
        </is>
      </c>
      <c r="D7" s="14" t="inlineStr">
        <is>
          <t>not reported</t>
        </is>
      </c>
    </row>
    <row r="8">
      <c r="A8" s="8" t="inlineStr">
        <is>
          <t xml:space="preserve">    2g. Total program service revenue</t>
        </is>
      </c>
      <c r="B8" s="9" t="n">
        <v>218417</v>
      </c>
      <c r="C8" s="9" t="n">
        <v>94582</v>
      </c>
      <c r="D8" s="9" t="n">
        <v>165552</v>
      </c>
    </row>
    <row r="9">
      <c r="A9" s="8" t="inlineStr">
        <is>
          <t xml:space="preserve">    3. Investment income</t>
        </is>
      </c>
      <c r="B9" s="9" t="n">
        <v>0</v>
      </c>
      <c r="C9" s="14" t="inlineStr">
        <is>
          <t>not reported</t>
        </is>
      </c>
      <c r="D9" s="14" t="inlineStr">
        <is>
          <t>not reported</t>
        </is>
      </c>
    </row>
    <row r="10">
      <c r="A10" s="8" t="inlineStr">
        <is>
          <t xml:space="preserve">    6d. Net rental income</t>
        </is>
      </c>
      <c r="B10" s="9" t="n">
        <v>0</v>
      </c>
      <c r="C10" s="14" t="inlineStr">
        <is>
          <t>not reported</t>
        </is>
      </c>
      <c r="D10" s="14" t="inlineStr">
        <is>
          <t>not reported</t>
        </is>
      </c>
    </row>
    <row r="11">
      <c r="A11" s="8" t="inlineStr">
        <is>
          <t xml:space="preserve">    7d. Net gain/(loss) from investment sales</t>
        </is>
      </c>
      <c r="B11" s="9" t="n">
        <v>0</v>
      </c>
      <c r="C11" s="14" t="inlineStr">
        <is>
          <t>not reported</t>
        </is>
      </c>
      <c r="D11" s="14" t="inlineStr">
        <is>
          <t>not reported</t>
        </is>
      </c>
    </row>
    <row r="12">
      <c r="A12" s="8" t="inlineStr">
        <is>
          <t xml:space="preserve">    11e. Other revenue</t>
        </is>
      </c>
      <c r="B12" s="9" t="n">
        <v>0</v>
      </c>
      <c r="C12" s="14" t="inlineStr">
        <is>
          <t>not reported</t>
        </is>
      </c>
      <c r="D12" s="14" t="inlineStr">
        <is>
          <t>not reported</t>
        </is>
      </c>
    </row>
    <row r="13">
      <c r="A13" s="10" t="inlineStr">
        <is>
          <t>12. Total revenue</t>
        </is>
      </c>
      <c r="B13" s="11">
        <f>SUM(B7:B12)</f>
        <v/>
      </c>
      <c r="C13" s="11">
        <f>SUM(C7:C12)</f>
        <v/>
      </c>
      <c r="D13" s="11">
        <f>SUM(D7:D12)</f>
        <v/>
      </c>
    </row>
    <row r="15">
      <c r="A15" s="6" t="inlineStr">
        <is>
          <t>Program service revenue detail - FY2022 (lines 2a-2f)</t>
        </is>
      </c>
      <c r="B15" s="7" t="n"/>
      <c r="C15" s="7" t="n"/>
      <c r="D15" s="7" t="n"/>
    </row>
    <row r="16">
      <c r="A16" s="5" t="inlineStr">
        <is>
          <t>Description</t>
        </is>
      </c>
      <c r="B16" s="5" t="inlineStr">
        <is>
          <t>Business code</t>
        </is>
      </c>
      <c r="C16" s="5" t="inlineStr">
        <is>
          <t>Total revenue</t>
        </is>
      </c>
    </row>
    <row r="17">
      <c r="A17" s="8" t="inlineStr">
        <is>
          <t>Membership Dues &amp; Assessments</t>
        </is>
      </c>
      <c r="B17" s="8" t="inlineStr">
        <is>
          <t>999000</t>
        </is>
      </c>
      <c r="C17" s="9" t="n">
        <v>164105</v>
      </c>
    </row>
    <row r="18">
      <c r="A18" s="8" t="inlineStr">
        <is>
          <t>Administrative Fees Reimb</t>
        </is>
      </c>
      <c r="B18" s="8" t="inlineStr">
        <is>
          <t>999000</t>
        </is>
      </c>
      <c r="C18" s="9" t="n">
        <v>1447</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D1"/>
    <mergeCell ref="A19:D19"/>
    <mergeCell ref="A3:D3"/>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s>
  <sheetData>
    <row r="1">
      <c r="A1" s="1" t="inlineStr">
        <is>
          <t>Clear Water Mutual Water Company</t>
        </is>
      </c>
    </row>
    <row r="2">
      <c r="A2" s="2" t="inlineStr">
        <is>
          <t>Statement of Functional Expenses - Form 990 Part IX (USD)</t>
        </is>
      </c>
    </row>
    <row r="3">
      <c r="A3" s="2" t="inlineStr">
        <is>
          <t>Entity ID: cawc_0165   |   Fiscal year ends March 31.</t>
        </is>
      </c>
    </row>
    <row r="5">
      <c r="A5" s="4" t="inlineStr">
        <is>
          <t>Part IX line (column A Total)</t>
        </is>
      </c>
      <c r="B5" s="5" t="inlineStr">
        <is>
          <t>FY2020</t>
        </is>
      </c>
      <c r="C5" s="5" t="inlineStr">
        <is>
          <t>FY2021</t>
        </is>
      </c>
      <c r="D5" s="5" t="inlineStr">
        <is>
          <t>FY2022</t>
        </is>
      </c>
    </row>
    <row r="6">
      <c r="A6" s="6" t="inlineStr">
        <is>
          <t>Functional expenses, column A Total - by year</t>
        </is>
      </c>
      <c r="B6" s="7" t="n"/>
      <c r="C6" s="7" t="n"/>
      <c r="D6" s="7" t="n"/>
    </row>
    <row r="7">
      <c r="A7" s="8" t="inlineStr">
        <is>
          <t xml:space="preserve">    1. Grants to domestic organizations and governments</t>
        </is>
      </c>
      <c r="B7" s="9" t="n">
        <v>0</v>
      </c>
      <c r="C7" s="14" t="inlineStr">
        <is>
          <t>not reported</t>
        </is>
      </c>
      <c r="D7" s="14" t="inlineStr">
        <is>
          <t>not reported</t>
        </is>
      </c>
    </row>
    <row r="8">
      <c r="A8" s="8" t="inlineStr">
        <is>
          <t xml:space="preserve">    2. Grants to domestic individuals</t>
        </is>
      </c>
      <c r="B8" s="9" t="n">
        <v>0</v>
      </c>
      <c r="C8" s="14" t="inlineStr">
        <is>
          <t>not reported</t>
        </is>
      </c>
      <c r="D8" s="14" t="inlineStr">
        <is>
          <t>not reported</t>
        </is>
      </c>
    </row>
    <row r="9">
      <c r="A9" s="8" t="inlineStr">
        <is>
          <t xml:space="preserve">    3. Grants to foreign organizations and individuals</t>
        </is>
      </c>
      <c r="B9" s="9" t="n">
        <v>0</v>
      </c>
      <c r="C9" s="14" t="inlineStr">
        <is>
          <t>not reported</t>
        </is>
      </c>
      <c r="D9" s="14" t="inlineStr">
        <is>
          <t>not reported</t>
        </is>
      </c>
    </row>
    <row r="10">
      <c r="A10" s="8" t="inlineStr">
        <is>
          <t xml:space="preserve">    4. Benefits paid to or for members</t>
        </is>
      </c>
      <c r="B10" s="9" t="n">
        <v>0</v>
      </c>
      <c r="C10" s="14" t="inlineStr">
        <is>
          <t>not reported</t>
        </is>
      </c>
      <c r="D10" s="14" t="inlineStr">
        <is>
          <t>not reported</t>
        </is>
      </c>
    </row>
    <row r="11">
      <c r="A11" s="8" t="inlineStr">
        <is>
          <t xml:space="preserve">    5. Compensation of current officers, directors, trustees</t>
        </is>
      </c>
      <c r="B11" s="9" t="n">
        <v>0</v>
      </c>
      <c r="C11" s="14" t="inlineStr">
        <is>
          <t>not reported</t>
        </is>
      </c>
      <c r="D11" s="14" t="inlineStr">
        <is>
          <t>not reported</t>
        </is>
      </c>
    </row>
    <row r="12">
      <c r="A12" s="8" t="inlineStr">
        <is>
          <t xml:space="preserve">    6. Compensation to disqualified persons</t>
        </is>
      </c>
      <c r="B12" s="9" t="n">
        <v>0</v>
      </c>
      <c r="C12" s="14" t="inlineStr">
        <is>
          <t>not reported</t>
        </is>
      </c>
      <c r="D12" s="14" t="inlineStr">
        <is>
          <t>not reported</t>
        </is>
      </c>
    </row>
    <row r="13">
      <c r="A13" s="8" t="inlineStr">
        <is>
          <t xml:space="preserve">    7. Other salaries and wages</t>
        </is>
      </c>
      <c r="B13" s="9" t="n">
        <v>0</v>
      </c>
      <c r="C13" s="14" t="inlineStr">
        <is>
          <t>not reported</t>
        </is>
      </c>
      <c r="D13" s="14" t="inlineStr">
        <is>
          <t>not reported</t>
        </is>
      </c>
    </row>
    <row r="14">
      <c r="A14" s="8" t="inlineStr">
        <is>
          <t xml:space="preserve">    8. Pension plan accruals and contributions</t>
        </is>
      </c>
      <c r="B14" s="9" t="n">
        <v>0</v>
      </c>
      <c r="C14" s="14" t="inlineStr">
        <is>
          <t>not reported</t>
        </is>
      </c>
      <c r="D14" s="14" t="inlineStr">
        <is>
          <t>not reported</t>
        </is>
      </c>
    </row>
    <row r="15">
      <c r="A15" s="8" t="inlineStr">
        <is>
          <t xml:space="preserve">    9. Other employee benefits</t>
        </is>
      </c>
      <c r="B15" s="9" t="n">
        <v>0</v>
      </c>
      <c r="C15" s="14" t="inlineStr">
        <is>
          <t>not reported</t>
        </is>
      </c>
      <c r="D15" s="14" t="inlineStr">
        <is>
          <t>not reported</t>
        </is>
      </c>
    </row>
    <row r="16">
      <c r="A16" s="8" t="inlineStr">
        <is>
          <t xml:space="preserve">    10. Payroll taxes</t>
        </is>
      </c>
      <c r="B16" s="9" t="n">
        <v>0</v>
      </c>
      <c r="C16" s="14" t="inlineStr">
        <is>
          <t>not reported</t>
        </is>
      </c>
      <c r="D16" s="14" t="inlineStr">
        <is>
          <t>not reported</t>
        </is>
      </c>
    </row>
    <row r="17">
      <c r="A17" s="8" t="inlineStr">
        <is>
          <t xml:space="preserve">    11a. Fees for services: management</t>
        </is>
      </c>
      <c r="B17" s="9" t="n">
        <v>0</v>
      </c>
      <c r="C17" s="14" t="inlineStr">
        <is>
          <t>not reported</t>
        </is>
      </c>
      <c r="D17" s="14" t="inlineStr">
        <is>
          <t>not reported</t>
        </is>
      </c>
    </row>
    <row r="18">
      <c r="A18" s="8" t="inlineStr">
        <is>
          <t xml:space="preserve">    11b. Fees for services: legal</t>
        </is>
      </c>
      <c r="B18" s="9" t="n">
        <v>0</v>
      </c>
      <c r="C18" s="14" t="inlineStr">
        <is>
          <t>not reported</t>
        </is>
      </c>
      <c r="D18" s="14" t="inlineStr">
        <is>
          <t>not reported</t>
        </is>
      </c>
    </row>
    <row r="19">
      <c r="A19" s="8" t="inlineStr">
        <is>
          <t xml:space="preserve">    11c. Fees for services: accounting</t>
        </is>
      </c>
      <c r="B19" s="9" t="n">
        <v>16340</v>
      </c>
      <c r="C19" s="9" t="n">
        <v>1227</v>
      </c>
      <c r="D19" s="9" t="n">
        <v>23946</v>
      </c>
    </row>
    <row r="20">
      <c r="A20" s="8" t="inlineStr">
        <is>
          <t xml:space="preserve">    11d. Fees for services: lobbying</t>
        </is>
      </c>
      <c r="B20" s="9" t="n">
        <v>0</v>
      </c>
      <c r="C20" s="14" t="inlineStr">
        <is>
          <t>not reported</t>
        </is>
      </c>
      <c r="D20" s="14" t="inlineStr">
        <is>
          <t>not reported</t>
        </is>
      </c>
    </row>
    <row r="21">
      <c r="A21" s="8" t="inlineStr">
        <is>
          <t xml:space="preserve">    11e. Fees for services: professional fundraising</t>
        </is>
      </c>
      <c r="B21" s="9" t="n">
        <v>0</v>
      </c>
      <c r="C21" s="14" t="inlineStr">
        <is>
          <t>not reported</t>
        </is>
      </c>
      <c r="D21" s="14" t="inlineStr">
        <is>
          <t>not reported</t>
        </is>
      </c>
    </row>
    <row r="22">
      <c r="A22" s="8" t="inlineStr">
        <is>
          <t xml:space="preserve">    11f. Fees for services: investment management</t>
        </is>
      </c>
      <c r="B22" s="9" t="n">
        <v>0</v>
      </c>
      <c r="C22" s="14" t="inlineStr">
        <is>
          <t>not reported</t>
        </is>
      </c>
      <c r="D22" s="14" t="inlineStr">
        <is>
          <t>not reported</t>
        </is>
      </c>
    </row>
    <row r="23">
      <c r="A23" s="8" t="inlineStr">
        <is>
          <t xml:space="preserve">    11g. Fees for services: other</t>
        </is>
      </c>
      <c r="B23" s="9" t="n">
        <v>0</v>
      </c>
      <c r="C23" s="14" t="inlineStr">
        <is>
          <t>not reported</t>
        </is>
      </c>
      <c r="D23" s="9" t="n">
        <v>68049</v>
      </c>
    </row>
    <row r="24">
      <c r="A24" s="8" t="inlineStr">
        <is>
          <t xml:space="preserve">    12. Advertising and promotion</t>
        </is>
      </c>
      <c r="B24" s="9" t="n">
        <v>0</v>
      </c>
      <c r="C24" s="14" t="inlineStr">
        <is>
          <t>not reported</t>
        </is>
      </c>
      <c r="D24" s="14" t="inlineStr">
        <is>
          <t>not reported</t>
        </is>
      </c>
    </row>
    <row r="25">
      <c r="A25" s="8" t="inlineStr">
        <is>
          <t xml:space="preserve">    13. Office expenses</t>
        </is>
      </c>
      <c r="B25" s="9" t="n">
        <v>1464</v>
      </c>
      <c r="C25" s="9" t="n">
        <v>3969</v>
      </c>
      <c r="D25" s="9" t="n">
        <v>1977</v>
      </c>
    </row>
    <row r="26">
      <c r="A26" s="8" t="inlineStr">
        <is>
          <t xml:space="preserve">    14. Information technology</t>
        </is>
      </c>
      <c r="B26" s="9" t="n">
        <v>0</v>
      </c>
      <c r="C26" s="14" t="inlineStr">
        <is>
          <t>not reported</t>
        </is>
      </c>
      <c r="D26" s="14" t="inlineStr">
        <is>
          <t>not reported</t>
        </is>
      </c>
    </row>
    <row r="27">
      <c r="A27" s="8" t="inlineStr">
        <is>
          <t xml:space="preserve">    15. Royalties</t>
        </is>
      </c>
      <c r="B27" s="9" t="n">
        <v>0</v>
      </c>
      <c r="C27" s="14" t="inlineStr">
        <is>
          <t>not reported</t>
        </is>
      </c>
      <c r="D27" s="14" t="inlineStr">
        <is>
          <t>not reported</t>
        </is>
      </c>
    </row>
    <row r="28">
      <c r="A28" s="8" t="inlineStr">
        <is>
          <t xml:space="preserve">    16. Occupancy</t>
        </is>
      </c>
      <c r="B28" s="9" t="n">
        <v>0</v>
      </c>
      <c r="C28" s="14" t="inlineStr">
        <is>
          <t>not reported</t>
        </is>
      </c>
      <c r="D28" s="14" t="inlineStr">
        <is>
          <t>not reported</t>
        </is>
      </c>
    </row>
    <row r="29">
      <c r="A29" s="8" t="inlineStr">
        <is>
          <t xml:space="preserve">    17. Travel</t>
        </is>
      </c>
      <c r="B29" s="9" t="n">
        <v>0</v>
      </c>
      <c r="C29" s="9" t="n">
        <v>1500</v>
      </c>
      <c r="D29" s="14" t="inlineStr">
        <is>
          <t>not reported</t>
        </is>
      </c>
    </row>
    <row r="30">
      <c r="A30" s="8" t="inlineStr">
        <is>
          <t xml:space="preserve">    18. Payments of travel/entertainment for public officials</t>
        </is>
      </c>
      <c r="B30" s="9" t="n">
        <v>0</v>
      </c>
      <c r="C30" s="14" t="inlineStr">
        <is>
          <t>not reported</t>
        </is>
      </c>
      <c r="D30" s="14" t="inlineStr">
        <is>
          <t>not reported</t>
        </is>
      </c>
    </row>
    <row r="31">
      <c r="A31" s="8" t="inlineStr">
        <is>
          <t xml:space="preserve">    19. Conferences, conventions, and meetings</t>
        </is>
      </c>
      <c r="B31" s="9" t="n">
        <v>0</v>
      </c>
      <c r="C31" s="14" t="inlineStr">
        <is>
          <t>not reported</t>
        </is>
      </c>
      <c r="D31" s="14" t="inlineStr">
        <is>
          <t>not reported</t>
        </is>
      </c>
    </row>
    <row r="32">
      <c r="A32" s="8" t="inlineStr">
        <is>
          <t xml:space="preserve">    20. Interest</t>
        </is>
      </c>
      <c r="B32" s="9" t="n">
        <v>4011</v>
      </c>
      <c r="C32" s="9" t="n">
        <v>3987</v>
      </c>
      <c r="D32" s="9" t="n">
        <v>7974</v>
      </c>
    </row>
    <row r="33">
      <c r="A33" s="8" t="inlineStr">
        <is>
          <t xml:space="preserve">    21. Payments to affiliates</t>
        </is>
      </c>
      <c r="B33" s="9" t="n">
        <v>0</v>
      </c>
      <c r="C33" s="14" t="inlineStr">
        <is>
          <t>not reported</t>
        </is>
      </c>
      <c r="D33" s="14" t="inlineStr">
        <is>
          <t>not reported</t>
        </is>
      </c>
    </row>
    <row r="34">
      <c r="A34" s="8" t="inlineStr">
        <is>
          <t xml:space="preserve">    22. Depreciation, depletion, and amortization</t>
        </is>
      </c>
      <c r="B34" s="9" t="n">
        <v>7770</v>
      </c>
      <c r="C34" s="9" t="n">
        <v>8899</v>
      </c>
      <c r="D34" s="9" t="n">
        <v>9756</v>
      </c>
    </row>
    <row r="35">
      <c r="A35" s="8" t="inlineStr">
        <is>
          <t xml:space="preserve">    23. Insurance</t>
        </is>
      </c>
      <c r="B35" s="9" t="n">
        <v>3269</v>
      </c>
      <c r="C35" s="9" t="n">
        <v>6334</v>
      </c>
      <c r="D35" s="14" t="inlineStr">
        <is>
          <t>not reported</t>
        </is>
      </c>
    </row>
    <row r="36">
      <c r="A36" s="8" t="inlineStr">
        <is>
          <t xml:space="preserve">    24. Independent Contractors</t>
        </is>
      </c>
      <c r="B36" s="9" t="n">
        <v>62948</v>
      </c>
      <c r="C36" s="9" t="n">
        <v>68228</v>
      </c>
      <c r="D36" s="9" t="n">
        <v>750</v>
      </c>
    </row>
    <row r="37">
      <c r="A37" s="8" t="inlineStr">
        <is>
          <t xml:space="preserve">    24. Plant Supplies</t>
        </is>
      </c>
      <c r="B37" s="9" t="n">
        <v>8293</v>
      </c>
      <c r="C37" s="9" t="n">
        <v>2918</v>
      </c>
      <c r="D37" s="9" t="n">
        <v>11276</v>
      </c>
    </row>
    <row r="38">
      <c r="A38" s="8" t="inlineStr">
        <is>
          <t xml:space="preserve">    24. Plant Hardware</t>
        </is>
      </c>
      <c r="B38" s="9" t="n">
        <v>6003</v>
      </c>
      <c r="C38" s="9" t="n">
        <v>2651</v>
      </c>
      <c r="D38" s="9" t="n">
        <v>2405</v>
      </c>
    </row>
    <row r="39">
      <c r="A39" s="8" t="inlineStr">
        <is>
          <t xml:space="preserve">    24. Lab Fees</t>
        </is>
      </c>
      <c r="B39" s="9" t="n">
        <v>3652</v>
      </c>
      <c r="C39" s="9" t="n">
        <v>4874</v>
      </c>
      <c r="D39" s="9" t="n">
        <v>7758</v>
      </c>
    </row>
    <row r="40">
      <c r="A40" s="8" t="inlineStr">
        <is>
          <t xml:space="preserve">    24e. All other expenses</t>
        </is>
      </c>
      <c r="B40" s="9" t="n">
        <v>18455</v>
      </c>
      <c r="C40" s="9" t="n">
        <v>20311</v>
      </c>
      <c r="D40" s="9" t="n">
        <v>23353</v>
      </c>
    </row>
    <row r="41">
      <c r="A41" s="10" t="inlineStr">
        <is>
          <t>25. Total functional expenses</t>
        </is>
      </c>
      <c r="B41" s="11">
        <f>SUM(B7:B40)</f>
        <v/>
      </c>
      <c r="C41" s="11">
        <f>SUM(C7:C40)</f>
        <v/>
      </c>
      <c r="D41" s="11">
        <f>SUM(D7:D40)</f>
        <v/>
      </c>
    </row>
    <row r="43">
      <c r="A43" s="6" t="inlineStr">
        <is>
          <t>Functional column split - FY2022 (col A = B + C + D)</t>
        </is>
      </c>
      <c r="B43" s="7" t="n"/>
      <c r="C43" s="7" t="n"/>
      <c r="D43" s="7" t="n"/>
    </row>
    <row r="44">
      <c r="A44" s="5" t="inlineStr">
        <is>
          <t>Part IX line</t>
        </is>
      </c>
      <c r="B44" s="5" t="inlineStr">
        <is>
          <t>A. Total</t>
        </is>
      </c>
      <c r="C44" s="5" t="inlineStr">
        <is>
          <t>B. Program services</t>
        </is>
      </c>
      <c r="D44" s="5" t="inlineStr">
        <is>
          <t>C. Management &amp; general</t>
        </is>
      </c>
      <c r="E44" s="5" t="inlineStr">
        <is>
          <t>D. Fundraising</t>
        </is>
      </c>
    </row>
    <row r="45">
      <c r="A45" s="18" t="inlineStr">
        <is>
          <t>11c. Fees for services: accounting</t>
        </is>
      </c>
      <c r="B45" s="9" t="n">
        <v>23946</v>
      </c>
      <c r="C45" s="9" t="n">
        <v>0</v>
      </c>
      <c r="D45" s="9" t="n">
        <v>0</v>
      </c>
      <c r="E45" s="9" t="n">
        <v>0</v>
      </c>
    </row>
    <row r="46">
      <c r="A46" s="18" t="inlineStr">
        <is>
          <t>11g. Fees for services: other</t>
        </is>
      </c>
      <c r="B46" s="9" t="n">
        <v>68049</v>
      </c>
      <c r="C46" s="9" t="n">
        <v>0</v>
      </c>
      <c r="D46" s="9" t="n">
        <v>0</v>
      </c>
      <c r="E46" s="9" t="n">
        <v>0</v>
      </c>
    </row>
    <row r="47">
      <c r="A47" s="18" t="inlineStr">
        <is>
          <t>13. Office expenses</t>
        </is>
      </c>
      <c r="B47" s="9" t="n">
        <v>1977</v>
      </c>
      <c r="C47" s="9" t="n">
        <v>0</v>
      </c>
      <c r="D47" s="9" t="n">
        <v>0</v>
      </c>
      <c r="E47" s="9" t="n">
        <v>0</v>
      </c>
    </row>
    <row r="48">
      <c r="A48" s="18" t="inlineStr">
        <is>
          <t>20. Interest</t>
        </is>
      </c>
      <c r="B48" s="9" t="n">
        <v>7974</v>
      </c>
      <c r="C48" s="9" t="n">
        <v>0</v>
      </c>
      <c r="D48" s="9" t="n">
        <v>0</v>
      </c>
      <c r="E48" s="9" t="n">
        <v>0</v>
      </c>
    </row>
    <row r="49">
      <c r="A49" s="18" t="inlineStr">
        <is>
          <t>22. Depreciation, depletion, and amortization</t>
        </is>
      </c>
      <c r="B49" s="9" t="n">
        <v>9756</v>
      </c>
      <c r="C49" s="9" t="n">
        <v>0</v>
      </c>
      <c r="D49" s="9" t="n">
        <v>0</v>
      </c>
      <c r="E49" s="9" t="n">
        <v>0</v>
      </c>
    </row>
    <row r="50">
      <c r="A50" s="10" t="inlineStr">
        <is>
          <t>25. Total (filed col A / B / C / D)</t>
        </is>
      </c>
      <c r="B50" s="11" t="n">
        <v>157244</v>
      </c>
      <c r="C50" s="11" t="n">
        <v>0</v>
      </c>
      <c r="D50" s="11" t="n">
        <v>0</v>
      </c>
      <c r="E50" s="11" t="n">
        <v>0</v>
      </c>
    </row>
    <row r="52" ht="42" customHeight="1">
      <c r="A52"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D1"/>
    <mergeCell ref="A52:D52"/>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Clear Water Mutual Water Company</t>
        </is>
      </c>
    </row>
    <row r="2">
      <c r="A2" s="2" t="inlineStr">
        <is>
          <t>Balance Sheet - Form 990 Part X (end of year, USD)</t>
        </is>
      </c>
    </row>
    <row r="3">
      <c r="A3" s="2" t="inlineStr">
        <is>
          <t>Entity ID: cawc_0165   |   Fiscal year ends March 31.</t>
        </is>
      </c>
    </row>
    <row r="5">
      <c r="A5" s="4" t="inlineStr">
        <is>
          <t>Part X line (column B, EOY)</t>
        </is>
      </c>
      <c r="B5" s="5" t="inlineStr">
        <is>
          <t>FY2020</t>
        </is>
      </c>
      <c r="C5" s="5" t="inlineStr">
        <is>
          <t>FY2021</t>
        </is>
      </c>
      <c r="D5" s="5" t="inlineStr">
        <is>
          <t>FY2022</t>
        </is>
      </c>
    </row>
    <row r="6">
      <c r="A6" s="6" t="inlineStr">
        <is>
          <t>Assets</t>
        </is>
      </c>
      <c r="B6" s="7" t="n"/>
      <c r="C6" s="7" t="n"/>
      <c r="D6" s="7" t="n"/>
    </row>
    <row r="7">
      <c r="A7" s="8" t="inlineStr">
        <is>
          <t xml:space="preserve">    1. Cash - non-interest-bearing</t>
        </is>
      </c>
      <c r="B7" s="9" t="n">
        <v>30398</v>
      </c>
      <c r="C7" s="9" t="n">
        <v>11978</v>
      </c>
      <c r="D7" s="9" t="n">
        <v>23386</v>
      </c>
    </row>
    <row r="8">
      <c r="A8" s="8" t="inlineStr">
        <is>
          <t xml:space="preserve">    2. Savings and temporary cash investments</t>
        </is>
      </c>
      <c r="B8" s="9" t="n">
        <v>0</v>
      </c>
      <c r="C8" s="14" t="inlineStr">
        <is>
          <t>not reported</t>
        </is>
      </c>
      <c r="D8" s="14" t="inlineStr">
        <is>
          <t>not reported</t>
        </is>
      </c>
    </row>
    <row r="9">
      <c r="A9" s="8" t="inlineStr">
        <is>
          <t xml:space="preserve">    3. Pledges and grants receivable, net</t>
        </is>
      </c>
      <c r="B9" s="9" t="n">
        <v>0</v>
      </c>
      <c r="C9" s="14" t="inlineStr">
        <is>
          <t>not reported</t>
        </is>
      </c>
      <c r="D9" s="14" t="inlineStr">
        <is>
          <t>not reported</t>
        </is>
      </c>
    </row>
    <row r="10">
      <c r="A10" s="8" t="inlineStr">
        <is>
          <t xml:space="preserve">    4. Accounts receivable, net</t>
        </is>
      </c>
      <c r="B10" s="9" t="n">
        <v>0</v>
      </c>
      <c r="C10" s="14" t="inlineStr">
        <is>
          <t>not reported</t>
        </is>
      </c>
      <c r="D10" s="14" t="inlineStr">
        <is>
          <t>not reported</t>
        </is>
      </c>
    </row>
    <row r="11">
      <c r="A11" s="8" t="inlineStr">
        <is>
          <t xml:space="preserve">    5. Receivables from officers/directors/trustees</t>
        </is>
      </c>
      <c r="B11" s="9" t="n">
        <v>0</v>
      </c>
      <c r="C11" s="14" t="inlineStr">
        <is>
          <t>not reported</t>
        </is>
      </c>
      <c r="D11" s="14" t="inlineStr">
        <is>
          <t>not reported</t>
        </is>
      </c>
    </row>
    <row r="12">
      <c r="A12" s="8" t="inlineStr">
        <is>
          <t xml:space="preserve">    6. Receivables from disqualified persons</t>
        </is>
      </c>
      <c r="B12" s="9" t="n">
        <v>0</v>
      </c>
      <c r="C12" s="14" t="inlineStr">
        <is>
          <t>not reported</t>
        </is>
      </c>
      <c r="D12" s="14" t="inlineStr">
        <is>
          <t>not reported</t>
        </is>
      </c>
    </row>
    <row r="13">
      <c r="A13" s="8" t="inlineStr">
        <is>
          <t xml:space="preserve">    7. Notes and loans receivable, net</t>
        </is>
      </c>
      <c r="B13" s="9" t="n">
        <v>0</v>
      </c>
      <c r="C13" s="14" t="inlineStr">
        <is>
          <t>not reported</t>
        </is>
      </c>
      <c r="D13" s="14" t="inlineStr">
        <is>
          <t>not reported</t>
        </is>
      </c>
    </row>
    <row r="14">
      <c r="A14" s="8" t="inlineStr">
        <is>
          <t xml:space="preserve">    8. Inventories for sale or use</t>
        </is>
      </c>
      <c r="B14" s="9" t="n">
        <v>0</v>
      </c>
      <c r="C14" s="14" t="inlineStr">
        <is>
          <t>not reported</t>
        </is>
      </c>
      <c r="D14" s="14" t="inlineStr">
        <is>
          <t>not reported</t>
        </is>
      </c>
    </row>
    <row r="15">
      <c r="A15" s="8" t="inlineStr">
        <is>
          <t xml:space="preserve">    9. Prepaid expenses and deferred charges</t>
        </is>
      </c>
      <c r="B15" s="9" t="n">
        <v>0</v>
      </c>
      <c r="C15" s="14" t="inlineStr">
        <is>
          <t>not reported</t>
        </is>
      </c>
      <c r="D15" s="14" t="inlineStr">
        <is>
          <t>not reported</t>
        </is>
      </c>
    </row>
    <row r="16">
      <c r="A16" s="8" t="inlineStr">
        <is>
          <t xml:space="preserve">    10c. Land, buildings, and equipment, net</t>
        </is>
      </c>
      <c r="B16" s="9" t="n">
        <v>144890</v>
      </c>
      <c r="C16" s="9" t="n">
        <v>235434</v>
      </c>
      <c r="D16" s="9" t="n">
        <v>225678</v>
      </c>
    </row>
    <row r="17">
      <c r="A17" s="8" t="inlineStr">
        <is>
          <t xml:space="preserve">    11. Investments - publicly traded securities</t>
        </is>
      </c>
      <c r="B17" s="9" t="n">
        <v>0</v>
      </c>
      <c r="C17" s="14" t="inlineStr">
        <is>
          <t>not reported</t>
        </is>
      </c>
      <c r="D17" s="14" t="inlineStr">
        <is>
          <t>not reported</t>
        </is>
      </c>
    </row>
    <row r="18">
      <c r="A18" s="8" t="inlineStr">
        <is>
          <t xml:space="preserve">    12. Investments - other securities</t>
        </is>
      </c>
      <c r="B18" s="9" t="n">
        <v>0</v>
      </c>
      <c r="C18" s="14" t="inlineStr">
        <is>
          <t>not reported</t>
        </is>
      </c>
      <c r="D18" s="14" t="inlineStr">
        <is>
          <t>not reported</t>
        </is>
      </c>
    </row>
    <row r="19">
      <c r="A19" s="8" t="inlineStr">
        <is>
          <t xml:space="preserve">    13. Investments - program-related</t>
        </is>
      </c>
      <c r="B19" s="9" t="n">
        <v>0</v>
      </c>
      <c r="C19" s="14" t="inlineStr">
        <is>
          <t>not reported</t>
        </is>
      </c>
      <c r="D19" s="14" t="inlineStr">
        <is>
          <t>not reported</t>
        </is>
      </c>
    </row>
    <row r="20">
      <c r="A20" s="8" t="inlineStr">
        <is>
          <t xml:space="preserve">    14. Intangible assets</t>
        </is>
      </c>
      <c r="B20" s="9" t="n">
        <v>0</v>
      </c>
      <c r="C20" s="14" t="inlineStr">
        <is>
          <t>not reported</t>
        </is>
      </c>
      <c r="D20" s="14" t="inlineStr">
        <is>
          <t>not reported</t>
        </is>
      </c>
    </row>
    <row r="21">
      <c r="A21" s="8" t="inlineStr">
        <is>
          <t xml:space="preserve">    15. Other assets</t>
        </is>
      </c>
      <c r="B21" s="9" t="n">
        <v>275483</v>
      </c>
      <c r="C21" s="9" t="n">
        <v>176429</v>
      </c>
      <c r="D21" s="9" t="n">
        <v>183085</v>
      </c>
    </row>
    <row r="22">
      <c r="A22" s="10" t="inlineStr">
        <is>
          <t>16. Total assets</t>
        </is>
      </c>
      <c r="B22" s="11">
        <f>SUM(B7:B21)</f>
        <v/>
      </c>
      <c r="C22" s="11">
        <f>SUM(C7:C21)</f>
        <v/>
      </c>
      <c r="D22" s="11">
        <f>SUM(D7:D21)</f>
        <v/>
      </c>
    </row>
    <row r="24">
      <c r="A24" s="6" t="inlineStr">
        <is>
          <t>Liabilities</t>
        </is>
      </c>
      <c r="B24" s="7" t="n"/>
      <c r="C24" s="7" t="n"/>
      <c r="D24" s="7" t="n"/>
    </row>
    <row r="25">
      <c r="A25" s="8" t="inlineStr">
        <is>
          <t xml:space="preserve">    25. Other liabilities</t>
        </is>
      </c>
      <c r="B25" s="9" t="n">
        <v>258747</v>
      </c>
      <c r="C25" s="9" t="n">
        <v>262133</v>
      </c>
      <c r="D25" s="9" t="n">
        <v>262133</v>
      </c>
    </row>
    <row r="26">
      <c r="A26" s="10" t="inlineStr">
        <is>
          <t>26. Total liabilities</t>
        </is>
      </c>
      <c r="B26" s="11">
        <f>SUM(B25:B25)</f>
        <v/>
      </c>
      <c r="C26" s="11">
        <f>SUM(C25:C25)</f>
        <v/>
      </c>
      <c r="D26" s="11">
        <f>SUM(D25:D25)</f>
        <v/>
      </c>
    </row>
    <row r="28">
      <c r="A28" s="6" t="inlineStr">
        <is>
          <t>Net assets / fund balances</t>
        </is>
      </c>
      <c r="B28" s="7" t="n"/>
      <c r="C28" s="7" t="n"/>
      <c r="D28" s="7" t="n"/>
    </row>
    <row r="29">
      <c r="A29" s="8" t="inlineStr">
        <is>
          <t xml:space="preserve">    27. Net assets without donor restrictions</t>
        </is>
      </c>
      <c r="B29" s="9" t="n">
        <v>192024</v>
      </c>
      <c r="C29" s="9" t="n">
        <v>161708</v>
      </c>
      <c r="D29" s="9" t="n">
        <v>170016</v>
      </c>
    </row>
    <row r="30">
      <c r="A30" s="10" t="inlineStr">
        <is>
          <t>32. Total net assets / fund balances</t>
        </is>
      </c>
      <c r="B30" s="11">
        <f>SUM(B29:B29)</f>
        <v/>
      </c>
      <c r="C30" s="11">
        <f>SUM(C29:C29)</f>
        <v/>
      </c>
      <c r="D30" s="11">
        <f>SUM(D29:D29)</f>
        <v/>
      </c>
    </row>
    <row r="32" ht="42" customHeight="1">
      <c r="A3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D1"/>
    <mergeCell ref="A32:D32"/>
    <mergeCell ref="A3:D3"/>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Clear Water Mutual Water Company</t>
        </is>
      </c>
    </row>
    <row r="2">
      <c r="A2" s="2" t="inlineStr">
        <is>
          <t>Reconciliation of Net Assets - Form 990 Part XI (USD)</t>
        </is>
      </c>
    </row>
    <row r="3">
      <c r="A3" s="2" t="inlineStr">
        <is>
          <t>Entity ID: cawc_0165   |   Fiscal year ends March 31.</t>
        </is>
      </c>
    </row>
    <row r="5">
      <c r="A5" s="4" t="inlineStr">
        <is>
          <t>Part XI line</t>
        </is>
      </c>
      <c r="B5" s="5" t="inlineStr">
        <is>
          <t>FY2020</t>
        </is>
      </c>
      <c r="C5" s="5" t="inlineStr">
        <is>
          <t>FY2021</t>
        </is>
      </c>
      <c r="D5" s="5" t="inlineStr">
        <is>
          <t>FY2022</t>
        </is>
      </c>
    </row>
    <row r="6">
      <c r="A6" s="6" t="inlineStr">
        <is>
          <t>Reconciliation</t>
        </is>
      </c>
      <c r="B6" s="7" t="n"/>
      <c r="C6" s="7" t="n"/>
      <c r="D6" s="7" t="n"/>
    </row>
    <row r="7">
      <c r="A7" s="8" t="inlineStr">
        <is>
          <t xml:space="preserve">    4. Net assets, beginning of year</t>
        </is>
      </c>
      <c r="B7" s="9" t="n">
        <v>105812</v>
      </c>
      <c r="C7" s="9" t="n">
        <v>192024</v>
      </c>
      <c r="D7" s="9" t="n">
        <v>161708</v>
      </c>
    </row>
    <row r="8">
      <c r="A8" s="8" t="inlineStr">
        <is>
          <t xml:space="preserve">    3. Revenue less expenses</t>
        </is>
      </c>
      <c r="B8" s="9" t="n">
        <v>86212</v>
      </c>
      <c r="C8" s="9" t="n">
        <v>-30316</v>
      </c>
      <c r="D8" s="9" t="n">
        <v>8308</v>
      </c>
    </row>
    <row r="9">
      <c r="A9" s="8" t="inlineStr">
        <is>
          <t xml:space="preserve">    8. Prior period adjustments</t>
        </is>
      </c>
      <c r="B9" s="14" t="inlineStr">
        <is>
          <t>not reported</t>
        </is>
      </c>
      <c r="C9" s="14" t="inlineStr">
        <is>
          <t>not reported</t>
        </is>
      </c>
      <c r="D9" s="14" t="inlineStr">
        <is>
          <t>not reported</t>
        </is>
      </c>
    </row>
    <row r="10">
      <c r="A10" s="8" t="inlineStr">
        <is>
          <t xml:space="preserve">    9. Other changes in net assets</t>
        </is>
      </c>
      <c r="B10" s="14" t="inlineStr">
        <is>
          <t>not reported</t>
        </is>
      </c>
      <c r="C10" s="14" t="inlineStr">
        <is>
          <t>not reported</t>
        </is>
      </c>
      <c r="D10" s="14" t="inlineStr">
        <is>
          <t>not reported</t>
        </is>
      </c>
    </row>
    <row r="11">
      <c r="A11" s="10" t="inlineStr">
        <is>
          <t>10. Net assets, end of year</t>
        </is>
      </c>
      <c r="B11" s="11">
        <f>SUM(B7,B8,B9,B10)</f>
        <v/>
      </c>
      <c r="C11" s="11">
        <f>SUM(C7,C8,C9,C10)</f>
        <v/>
      </c>
      <c r="D11" s="11">
        <f>SUM(D7,D8,D9,D10)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D1"/>
    <mergeCell ref="A13:D13"/>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Clear Water Mutual Water Company</t>
        </is>
      </c>
    </row>
    <row r="2">
      <c r="A2" s="2" t="inlineStr">
        <is>
          <t>Cash Flow Proxies - derived (USD)</t>
        </is>
      </c>
    </row>
    <row r="3">
      <c r="A3" s="2" t="inlineStr">
        <is>
          <t>Entity ID: cawc_0165   |   Fiscal year ends March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row>
    <row r="8">
      <c r="A8" s="6" t="inlineStr">
        <is>
          <t>Operating</t>
        </is>
      </c>
      <c r="B8" s="7" t="n"/>
      <c r="C8" s="7" t="n"/>
      <c r="D8" s="7" t="n"/>
      <c r="E8" s="7" t="n"/>
    </row>
    <row r="9">
      <c r="A9" s="8" t="inlineStr">
        <is>
          <t xml:space="preserve">    Net income</t>
        </is>
      </c>
      <c r="B9" s="9" t="n">
        <v>86212</v>
      </c>
      <c r="C9" s="9" t="n">
        <v>-30316</v>
      </c>
      <c r="D9" s="9" t="n">
        <v>8308</v>
      </c>
      <c r="E9" s="9" t="n">
        <v>-38262</v>
      </c>
    </row>
    <row r="10">
      <c r="A10" s="8" t="inlineStr">
        <is>
          <t xml:space="preserve">    + Depreciation (reported)</t>
        </is>
      </c>
      <c r="B10" s="9" t="n">
        <v>7770</v>
      </c>
      <c r="C10" s="9" t="n">
        <v>8899</v>
      </c>
      <c r="D10" s="9" t="n">
        <v>9756</v>
      </c>
      <c r="E10" s="9" t="n"/>
    </row>
    <row r="11">
      <c r="A11" s="8" t="inlineStr">
        <is>
          <t xml:space="preserve">    − Δ Accounts receivable</t>
        </is>
      </c>
      <c r="B11" s="9" t="n"/>
      <c r="C11" s="9" t="n"/>
      <c r="D11" s="9" t="n"/>
      <c r="E11" s="9" t="n"/>
    </row>
    <row r="12">
      <c r="A12" s="8" t="inlineStr">
        <is>
          <t xml:space="preserve">    − Δ Inventories</t>
        </is>
      </c>
      <c r="B12" s="9" t="n"/>
      <c r="C12" s="9" t="n"/>
      <c r="D12" s="9" t="n"/>
      <c r="E12" s="9" t="n"/>
    </row>
    <row r="13">
      <c r="A13" s="8" t="inlineStr">
        <is>
          <t xml:space="preserve">    − Δ Prepaid expenses</t>
        </is>
      </c>
      <c r="B13" s="9" t="n"/>
      <c r="C13" s="9" t="n"/>
      <c r="D13" s="9" t="n"/>
      <c r="E13" s="9" t="n"/>
    </row>
    <row r="14">
      <c r="A14" s="8" t="inlineStr">
        <is>
          <t xml:space="preserve">    + Δ Accounts payable</t>
        </is>
      </c>
      <c r="B14" s="9" t="n"/>
      <c r="C14" s="9" t="n"/>
      <c r="D14" s="9" t="n"/>
      <c r="E14" s="9" t="n"/>
    </row>
    <row r="15">
      <c r="A15" s="10" t="inlineStr">
        <is>
          <t xml:space="preserve">    Operating cash flow proxy</t>
        </is>
      </c>
      <c r="B15" s="11" t="n"/>
      <c r="C15" s="11" t="n">
        <v>-21417</v>
      </c>
      <c r="D15" s="11" t="n">
        <v>18064</v>
      </c>
      <c r="E15" s="11" t="n">
        <v>-38262</v>
      </c>
    </row>
    <row r="17">
      <c r="A17" s="6" t="inlineStr">
        <is>
          <t>Investing</t>
        </is>
      </c>
      <c r="B17" s="7" t="n"/>
      <c r="C17" s="7" t="n"/>
      <c r="D17" s="7" t="n"/>
      <c r="E17" s="7" t="n"/>
    </row>
    <row r="18">
      <c r="A18" s="8" t="inlineStr">
        <is>
          <t xml:space="preserve">    − Δ PP&amp;E gross (capex proxy)</t>
        </is>
      </c>
      <c r="B18" s="9" t="n"/>
      <c r="C18" s="9" t="n">
        <v>-99443</v>
      </c>
      <c r="D18" s="9" t="n">
        <v>0</v>
      </c>
      <c r="E18" s="9" t="n"/>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-18420</v>
      </c>
      <c r="D24" s="11" t="n">
        <v>11408</v>
      </c>
      <c r="E24" s="11" t="n">
        <v>-21419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Clear Water Mutual Water Company</t>
        </is>
      </c>
    </row>
    <row r="2">
      <c r="A2" s="2" t="inlineStr">
        <is>
          <t>Financial Ratios</t>
        </is>
      </c>
    </row>
    <row r="3">
      <c r="A3" s="2" t="inlineStr">
        <is>
          <t>Entity ID: cawc_0165   |   Fiscal year ends March 31.</t>
        </is>
      </c>
    </row>
    <row r="5">
      <c r="A5" s="4" t="inlineStr">
        <is>
          <t>Ratio</t>
        </is>
      </c>
      <c r="B5" s="5" t="inlineStr">
        <is>
          <t>FY2020</t>
        </is>
      </c>
      <c r="C5" s="5" t="inlineStr">
        <is>
          <t>FY2021</t>
        </is>
      </c>
      <c r="D5" s="5" t="inlineStr">
        <is>
          <t>FY2022</t>
        </is>
      </c>
      <c r="E5" s="5" t="inlineStr">
        <is>
          <t>FY2023</t>
        </is>
      </c>
    </row>
    <row r="6">
      <c r="A6" s="6" t="inlineStr">
        <is>
          <t>Profitability (computed upstream)</t>
        </is>
      </c>
      <c r="B6" s="7" t="n"/>
      <c r="C6" s="7" t="n"/>
      <c r="D6" s="7" t="n"/>
      <c r="E6" s="7" t="n"/>
    </row>
    <row r="7">
      <c r="A7" s="8" t="inlineStr">
        <is>
          <t xml:space="preserve">    Operating margin (NI / revenue)</t>
        </is>
      </c>
      <c r="B7" s="12" t="n">
        <v>0.3947128657567863</v>
      </c>
      <c r="C7" s="12" t="n">
        <v>-0.3205261043327483</v>
      </c>
      <c r="D7" s="12" t="n">
        <v>0.05018362810476466</v>
      </c>
      <c r="E7" s="12" t="n">
        <v>-0.2579518640868334</v>
      </c>
    </row>
    <row r="8">
      <c r="A8" s="8" t="inlineStr">
        <is>
          <t xml:space="preserve">    Expense ratio (expenses / revenue)</t>
        </is>
      </c>
      <c r="B8" s="12" t="n">
        <v>0.6052871342432137</v>
      </c>
      <c r="C8" s="12" t="n">
        <v>1.320526104332748</v>
      </c>
      <c r="D8" s="12" t="n">
        <v>0.9498163718952354</v>
      </c>
      <c r="E8" s="12" t="n">
        <v>1.257951864086833</v>
      </c>
    </row>
    <row r="9">
      <c r="A9" s="8" t="inlineStr">
        <is>
          <t xml:space="preserve">    Return on assets (NI / assets)</t>
        </is>
      </c>
      <c r="B9" s="12" t="n">
        <v>0.1912545394446404</v>
      </c>
      <c r="C9" s="12" t="n">
        <v>-0.07152682255845942</v>
      </c>
      <c r="D9" s="12" t="n">
        <v>0.01922485068807286</v>
      </c>
      <c r="E9" s="12" t="n">
        <v>-0.09168833347311918</v>
      </c>
    </row>
    <row r="10">
      <c r="A10" s="8" t="inlineStr">
        <is>
          <t xml:space="preserve">    Revenue growth (YoY)</t>
        </is>
      </c>
      <c r="B10" s="12" t="n">
        <v>0.7966209046565381</v>
      </c>
      <c r="C10" s="12" t="n">
        <v>-0.5669659412957783</v>
      </c>
      <c r="D10" s="12" t="n">
        <v>0.7503541900150135</v>
      </c>
      <c r="E10" s="12" t="n"/>
    </row>
    <row r="12">
      <c r="A12" s="6" t="inlineStr">
        <is>
          <t>Leverage &amp; solvency</t>
        </is>
      </c>
      <c r="B12" s="7" t="n"/>
      <c r="C12" s="7" t="n"/>
      <c r="D12" s="7" t="n"/>
      <c r="E12" s="7" t="n"/>
    </row>
    <row r="13">
      <c r="A13" s="8" t="inlineStr">
        <is>
          <t xml:space="preserve">    Debt-to-assets (liab. / assets)</t>
        </is>
      </c>
      <c r="B13" s="12" t="n">
        <v>0.5740098631012199</v>
      </c>
      <c r="C13" s="12" t="n">
        <v>0.6184701338473626</v>
      </c>
      <c r="D13" s="12" t="n">
        <v>0.6065801378691146</v>
      </c>
      <c r="E13" s="12" t="n">
        <v>0.6871353087070607</v>
      </c>
    </row>
    <row r="14">
      <c r="A14" s="8" t="inlineStr">
        <is>
          <t xml:space="preserve">    Equity ratio (net assets / assets)</t>
        </is>
      </c>
      <c r="B14" s="12" t="n">
        <v>0.4259901368987801</v>
      </c>
      <c r="C14" s="12" t="n">
        <v>0.3815298661526375</v>
      </c>
      <c r="D14" s="12" t="n">
        <v>0.3934198621308854</v>
      </c>
      <c r="E14" s="12" t="n">
        <v>0.3128646912929392</v>
      </c>
    </row>
    <row r="16">
      <c r="A16" s="6" t="inlineStr">
        <is>
          <t>Liquidity &amp; asset profile (derived here)</t>
        </is>
      </c>
      <c r="B16" s="7" t="n"/>
      <c r="C16" s="7" t="n"/>
      <c r="D16" s="7" t="n"/>
      <c r="E16" s="7" t="n"/>
    </row>
    <row r="17">
      <c r="A17" s="8" t="inlineStr">
        <is>
          <t xml:space="preserve">    Current ratio (current assets / AP)</t>
        </is>
      </c>
      <c r="B17" s="19" t="n"/>
      <c r="C17" s="19" t="n"/>
      <c r="D17" s="19" t="n"/>
      <c r="E17" s="19" t="n"/>
    </row>
    <row r="18">
      <c r="A18" s="8" t="inlineStr">
        <is>
          <t xml:space="preserve">    Cash ratio ((cash+temp inv.) / total liab.)</t>
        </is>
      </c>
      <c r="B18" s="19" t="n">
        <v>0.1174815553417044</v>
      </c>
      <c r="C18" s="19" t="n">
        <v>0.04569436125936071</v>
      </c>
      <c r="D18" s="19" t="n">
        <v>0.08921425383297792</v>
      </c>
      <c r="E18" s="19" t="n">
        <v>0.006859753439467122</v>
      </c>
    </row>
    <row r="19">
      <c r="A19" s="8" t="inlineStr">
        <is>
          <t xml:space="preserve">    Asset age proxy (accum. deprec. / gross PP&amp;E)</t>
        </is>
      </c>
      <c r="B19" s="12" t="n">
        <v>0.5602197535360893</v>
      </c>
      <c r="C19" s="12" t="n">
        <v>0.4510786821262617</v>
      </c>
      <c r="D19" s="12" t="n">
        <v>0.4738250839933505</v>
      </c>
      <c r="E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Clear Water Mutual Water Company</t>
        </is>
      </c>
    </row>
    <row r="2">
      <c r="A2" s="2" t="inlineStr">
        <is>
          <t>Unit economics - per-customer revenue by category (USD)</t>
        </is>
      </c>
    </row>
    <row r="3">
      <c r="A3" s="2" t="inlineStr">
        <is>
          <t>Entity ID: cawc_0165   |   Fiscal year ends March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Clear Water Mutual Water Company</t>
        </is>
      </c>
    </row>
    <row r="2">
      <c r="A2" s="2" t="inlineStr">
        <is>
          <t>Rate structure and representative bill - eAR Section 8a</t>
        </is>
      </c>
    </row>
    <row r="3">
      <c r="A3" s="2" t="inlineStr">
        <is>
          <t>Entity ID: cawc_0165   |   Fiscal year ends March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Clear Water Mutual Water Company</t>
        </is>
      </c>
    </row>
    <row r="2">
      <c r="A2" s="2" t="inlineStr">
        <is>
          <t>Operational metrics - plant per acre, density, terrain</t>
        </is>
      </c>
    </row>
    <row r="3">
      <c r="A3" s="2" t="inlineStr">
        <is>
          <t>Entity ID: cawc_0165   |   Fiscal year ends March 31.</t>
        </is>
      </c>
    </row>
    <row r="5">
      <c r="A5" s="6" t="inlineStr">
        <is>
          <t>Plant assets per acre</t>
        </is>
      </c>
      <c r="B5" s="7" t="n"/>
      <c r="C5" s="7" t="n"/>
    </row>
    <row r="6">
      <c r="A6" s="20" t="inlineStr">
        <is>
          <t>Service-area acres</t>
        </is>
      </c>
      <c r="B6" s="26" t="n">
        <v>20.6</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15993.2039</v>
      </c>
      <c r="C8" s="9" t="n">
        <v>7033.4951</v>
      </c>
    </row>
    <row r="9">
      <c r="A9" s="18" t="inlineStr">
        <is>
          <t>FY2021</t>
        </is>
      </c>
      <c r="B9" s="9" t="n">
        <v>20820.534</v>
      </c>
      <c r="C9" s="9" t="n">
        <v>11428.835</v>
      </c>
    </row>
    <row r="10">
      <c r="A10" s="18" t="inlineStr">
        <is>
          <t>FY2022</t>
        </is>
      </c>
      <c r="B10" s="9" t="n">
        <v>20820.534</v>
      </c>
      <c r="C10" s="9" t="n">
        <v>10955.2427</v>
      </c>
    </row>
    <row r="11">
      <c r="A11" s="18" t="inlineStr">
        <is>
          <t>FY2023</t>
        </is>
      </c>
      <c r="B11" s="9" t="n"/>
      <c r="C11" s="9" t="n">
        <v>842.6699</v>
      </c>
    </row>
    <row r="12" ht="156" customHeight="1">
      <c r="A12"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3" ht="81" customHeight="1">
      <c r="A13" s="3" t="inlineStr">
        <is>
          <t>Formula: gross plant per acre = Form 990 Part X line 10a (land, buildings, and equipment, gross) / SABL service-area acres; net plant per acre uses Part X line 10c (net)</t>
        </is>
      </c>
    </row>
    <row r="14" ht="66" customHeight="1">
      <c r="A14" s="3" t="inlineStr">
        <is>
          <t>Source lines: Form 990 Part X line 10a (gross) and line 10c (net); Geodesic area (WGS84 spherical excess) of the SABL service-area polygon.</t>
        </is>
      </c>
    </row>
    <row r="15" ht="96" customHeight="1">
      <c r="A15" s="3" t="inlineStr">
        <is>
          <t>Confidence: medium. This is worked out from filed figures (a ratio, or a year-to-year change), so it is one step removed from the raw numbers.. Filed gross/net plant over the measured SABL service-area acreage.</t>
        </is>
      </c>
    </row>
    <row r="17">
      <c r="A17" s="6" t="inlineStr">
        <is>
          <t>Connections per acre</t>
        </is>
      </c>
      <c r="B17" s="7" t="n"/>
      <c r="C17" s="7" t="n"/>
    </row>
    <row r="18">
      <c r="A18" s="20" t="inlineStr">
        <is>
          <t>Connections per acre</t>
        </is>
      </c>
      <c r="B18" s="19" t="n">
        <v>4.32</v>
      </c>
      <c r="C18" s="22" t="inlineStr">
        <is>
          <t>89 connections / 20.6 acres. CA State Water Board SABL SERVICE_CONNECTIONS; Geodesic area (WGS84 spherical excess) of the SABL service-area polygon.</t>
        </is>
      </c>
    </row>
  </sheetData>
  <mergeCells count="7">
    <mergeCell ref="A13:C13"/>
    <mergeCell ref="A1:C1"/>
    <mergeCell ref="A14:C14"/>
    <mergeCell ref="A3:C3"/>
    <mergeCell ref="A12:C12"/>
    <mergeCell ref="A2:C2"/>
    <mergeCell ref="A15:C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Clear Water Mutual Water Company</t>
        </is>
      </c>
    </row>
    <row r="2">
      <c r="A2" s="2" t="inlineStr">
        <is>
          <t>Supply and weather indicators (DWR water year)</t>
        </is>
      </c>
    </row>
    <row r="3">
      <c r="A3" s="2" t="inlineStr">
        <is>
          <t>Entity ID: cawc_0165   |   Fiscal year ends March 31.</t>
        </is>
      </c>
    </row>
    <row r="5" ht="111" customHeight="1">
      <c r="A5" s="3" t="inlineStr">
        <is>
          <t>Reporting calendar: Different reporting periods. The DWR water year runs October 1 to September 30; this system's fiscal year ends March 31, so the two period ends are six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row>
    <row r="8">
      <c r="A8" s="8" t="inlineStr">
        <is>
          <t>Water-year type (Sacramento Valley)</t>
        </is>
      </c>
      <c r="B8" s="27" t="inlineStr">
        <is>
          <t>Dry</t>
        </is>
      </c>
      <c r="C8" s="27" t="inlineStr">
        <is>
          <t>Critical</t>
        </is>
      </c>
      <c r="D8" s="27" t="inlineStr">
        <is>
          <t>Critical</t>
        </is>
      </c>
      <c r="E8" s="27" t="inlineStr">
        <is>
          <t>Wet</t>
        </is>
      </c>
    </row>
    <row r="9">
      <c r="A9" s="8" t="inlineStr">
        <is>
          <t>Peak drought, county County</t>
        </is>
      </c>
      <c r="B9" s="28" t="inlineStr">
        <is>
          <t>not reported</t>
        </is>
      </c>
      <c r="C9" s="28" t="inlineStr">
        <is>
          <t>not reported</t>
        </is>
      </c>
      <c r="D9" s="28" t="inlineStr">
        <is>
          <t>not reported</t>
        </is>
      </c>
      <c r="E9" s="28" t="inlineStr">
        <is>
          <t>not reported</t>
        </is>
      </c>
    </row>
    <row r="10">
      <c r="A10" s="8" t="inlineStr">
        <is>
          <t>Precip, percent of normal (8-Station Index)</t>
        </is>
      </c>
      <c r="B10" s="27" t="inlineStr">
        <is>
          <t>63</t>
        </is>
      </c>
      <c r="C10" s="27" t="inlineStr">
        <is>
          <t>48</t>
        </is>
      </c>
      <c r="D10" s="27" t="inlineStr">
        <is>
          <t>86</t>
        </is>
      </c>
      <c r="E10" s="27" t="inlineStr">
        <is>
          <t>133</t>
        </is>
      </c>
    </row>
    <row r="11">
      <c r="A11" s="8" t="inlineStr">
        <is>
          <t>Snowpack, April 1 percent of average</t>
        </is>
      </c>
      <c r="B11" s="27" t="inlineStr">
        <is>
          <t>53%</t>
        </is>
      </c>
      <c r="C11" s="27" t="inlineStr">
        <is>
          <t>59%</t>
        </is>
      </c>
      <c r="D11" s="27" t="inlineStr">
        <is>
          <t>38%</t>
        </is>
      </c>
      <c r="E11" s="27" t="inlineStr">
        <is>
          <t>237%</t>
        </is>
      </c>
    </row>
    <row r="12">
      <c r="A12" s="8" t="inlineStr">
        <is>
          <t>State Water Project allocation</t>
        </is>
      </c>
      <c r="B12" s="27" t="inlineStr">
        <is>
          <t>20%</t>
        </is>
      </c>
      <c r="C12" s="27" t="inlineStr">
        <is>
          <t>5%</t>
        </is>
      </c>
      <c r="D12" s="27" t="inlineStr">
        <is>
          <t>5%</t>
        </is>
      </c>
      <c r="E12" s="27" t="inlineStr">
        <is>
          <t>100%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Clear Water Mutual Water Company</t>
        </is>
      </c>
    </row>
    <row r="2">
      <c r="A2" s="2" t="inlineStr">
        <is>
          <t>How this was built - forensic lineage</t>
        </is>
      </c>
    </row>
    <row r="3">
      <c r="A3" s="2" t="inlineStr">
        <is>
          <t>Entity ID: cawc_0165   |   Fiscal year ends March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4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Clear Water Mutual Water Company</t>
        </is>
      </c>
    </row>
    <row r="2">
      <c r="A2" s="2" t="inlineStr">
        <is>
          <t>Sources &amp; audit - full provenance and tie-outs (kept off the statements so they read clean)</t>
        </is>
      </c>
    </row>
    <row r="3">
      <c r="A3" s="2" t="inlineStr">
        <is>
          <t>Entity ID: cawc_0165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2020-03-31</t>
        </is>
      </c>
      <c r="C10" s="8" t="inlineStr">
        <is>
          <t>990</t>
        </is>
      </c>
      <c r="D10" s="8" t="inlineStr">
        <is>
          <t>high</t>
        </is>
      </c>
      <c r="E10" s="8" t="inlineStr">
        <is>
          <t>74d5f471-b7ab-41c8-84ea-fcde72057aba</t>
        </is>
      </c>
      <c r="F10" s="8" t="inlineStr">
        <is>
          <t>202110089349301766</t>
        </is>
      </c>
      <c r="G10" s="8" t="inlineStr">
        <is>
          <t>claude-opus-5</t>
        </is>
      </c>
      <c r="H10" s="8" t="inlineStr">
        <is>
          <t>2026-10-05T16:06:10+00:00</t>
        </is>
      </c>
      <c r="I10" s="8" t="inlineStr">
        <is>
          <t>https://apps.irs.gov/pub/epostcard/990/xml/2021/2021_TEOS_XML_01A.zip#202110089349301766_public.xml</t>
        </is>
      </c>
    </row>
    <row r="11">
      <c r="A11" s="27" t="inlineStr">
        <is>
          <t>FY2021</t>
        </is>
      </c>
      <c r="B11" s="8" t="inlineStr">
        <is>
          <t>2021-03-31</t>
        </is>
      </c>
      <c r="C11" s="8" t="inlineStr">
        <is>
          <t>990</t>
        </is>
      </c>
      <c r="D11" s="8" t="inlineStr">
        <is>
          <t>high</t>
        </is>
      </c>
      <c r="E11" s="8" t="inlineStr">
        <is>
          <t>d0f8211b-40b6-4fa4-bdcb-1e8e61026ba0</t>
        </is>
      </c>
      <c r="F11" s="8" t="inlineStr">
        <is>
          <t>202240449349300404</t>
        </is>
      </c>
      <c r="G11" s="8" t="inlineStr">
        <is>
          <t>claude-opus-5</t>
        </is>
      </c>
      <c r="H11" s="8" t="inlineStr">
        <is>
          <t>2026-10-05T16:06:10+00:00</t>
        </is>
      </c>
      <c r="I11" s="8" t="inlineStr">
        <is>
          <t>https://apps.irs.gov/pub/epostcard/990/xml/2022/2022_TEOS_XML_01A.zip#202240449349300404_public.xml</t>
        </is>
      </c>
    </row>
    <row r="12">
      <c r="A12" s="27" t="inlineStr">
        <is>
          <t>FY2022</t>
        </is>
      </c>
      <c r="B12" s="8" t="inlineStr">
        <is>
          <t>2022-03-31</t>
        </is>
      </c>
      <c r="C12" s="8" t="inlineStr">
        <is>
          <t>990</t>
        </is>
      </c>
      <c r="D12" s="8" t="inlineStr">
        <is>
          <t>high</t>
        </is>
      </c>
      <c r="E12" s="8" t="inlineStr">
        <is>
          <t>77853a76-f136-487f-b5a0-c6498885afa3</t>
        </is>
      </c>
      <c r="F12" s="8" t="inlineStr">
        <is>
          <t>202340319349300424</t>
        </is>
      </c>
      <c r="G12" s="8" t="inlineStr">
        <is>
          <t>claude-opus-5</t>
        </is>
      </c>
      <c r="H12" s="8" t="inlineStr">
        <is>
          <t>2026-10-05T16:06:10+00:00</t>
        </is>
      </c>
      <c r="I12" s="8" t="inlineStr">
        <is>
          <t>https://apps.irs.gov/pub/epostcard/990/xml/2023/2023_TEOS_XML_02A.zip#202340319349300424_public.xml</t>
        </is>
      </c>
    </row>
    <row r="13">
      <c r="A13" s="27" t="inlineStr">
        <is>
          <t>FY2023</t>
        </is>
      </c>
      <c r="B13" s="8" t="inlineStr">
        <is>
          <t>2023-03-31</t>
        </is>
      </c>
      <c r="C13" s="8" t="inlineStr">
        <is>
          <t>990-EZ</t>
        </is>
      </c>
      <c r="D13" s="8" t="inlineStr">
        <is>
          <t>high</t>
        </is>
      </c>
      <c r="E13" s="8" t="inlineStr">
        <is>
          <t>aaf58993-0c9d-424a-90c5-8cb14cd3cc11</t>
        </is>
      </c>
      <c r="F13" s="8" t="inlineStr">
        <is>
          <t>202400469349201910</t>
        </is>
      </c>
      <c r="G13" s="8" t="inlineStr">
        <is>
          <t>claude-opus-5</t>
        </is>
      </c>
      <c r="H13" s="8" t="inlineStr">
        <is>
          <t>2026-10-05T16:06:10+00:00</t>
        </is>
      </c>
      <c r="I13" s="8" t="inlineStr">
        <is>
          <t>https://apps.irs.gov/pub/epostcard/990/xml/2024/2024_TEOS_XML_02A.zip#202400469349201910_public.xml</t>
        </is>
      </c>
    </row>
    <row r="15">
      <c r="A15" s="29"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Financial Statements</t>
        </is>
      </c>
      <c r="B17" s="8" t="inlineStr">
        <is>
          <t>C73</t>
        </is>
      </c>
      <c r="C17" s="8" t="inlineStr">
        <is>
          <t>11a. Gross income from members or shareholders</t>
        </is>
      </c>
      <c r="D17" s="8" t="inlineStr">
        <is>
          <t>11a</t>
        </is>
      </c>
      <c r="E17" s="8" t="inlineStr">
        <is>
          <t>part_v_other_irs_filings.members_and_shareholders_gross_income</t>
        </is>
      </c>
      <c r="F17" s="8" t="inlineStr">
        <is>
          <t>high</t>
        </is>
      </c>
      <c r="G17" s="9" t="n">
        <v>94617</v>
      </c>
    </row>
    <row r="18">
      <c r="A18" s="8" t="inlineStr">
        <is>
          <t>Financial Statements</t>
        </is>
      </c>
      <c r="B18" s="8" t="inlineStr">
        <is>
          <t>D73</t>
        </is>
      </c>
      <c r="C18" s="8" t="inlineStr">
        <is>
          <t>11a. Gross income from members or shareholders</t>
        </is>
      </c>
      <c r="D18" s="8" t="inlineStr">
        <is>
          <t>11a</t>
        </is>
      </c>
      <c r="E18" s="8" t="inlineStr">
        <is>
          <t>part_v_other_irs_filings.members_and_shareholders_gross_income</t>
        </is>
      </c>
      <c r="F18" s="8" t="inlineStr">
        <is>
          <t>high</t>
        </is>
      </c>
      <c r="G18" s="9" t="n">
        <v>164105</v>
      </c>
    </row>
    <row r="19">
      <c r="A19" s="8" t="inlineStr">
        <is>
          <t>Financial Statements</t>
        </is>
      </c>
      <c r="B19" s="8" t="inlineStr">
        <is>
          <t>C74</t>
        </is>
      </c>
      <c r="C19" s="8" t="inlineStr">
        <is>
          <t>11b. Gross income from other sources</t>
        </is>
      </c>
      <c r="D19" s="8" t="inlineStr">
        <is>
          <t>11b</t>
        </is>
      </c>
      <c r="E19" s="8" t="inlineStr">
        <is>
          <t>part_v_other_irs_filings.other_sources_gross_income</t>
        </is>
      </c>
      <c r="F19" s="8" t="inlineStr">
        <is>
          <t>high</t>
        </is>
      </c>
      <c r="G19" s="9" t="n">
        <v>0</v>
      </c>
    </row>
    <row r="20">
      <c r="A20" s="8" t="inlineStr">
        <is>
          <t>Financial Statements</t>
        </is>
      </c>
      <c r="B20" s="8" t="inlineStr">
        <is>
          <t>D74</t>
        </is>
      </c>
      <c r="C20" s="8" t="inlineStr">
        <is>
          <t>11b. Gross income from other sources</t>
        </is>
      </c>
      <c r="D20" s="8" t="inlineStr">
        <is>
          <t>11b</t>
        </is>
      </c>
      <c r="E20" s="8" t="inlineStr">
        <is>
          <t>part_v_other_irs_filings.other_sources_gross_income</t>
        </is>
      </c>
      <c r="F20" s="8" t="inlineStr">
        <is>
          <t>high</t>
        </is>
      </c>
      <c r="G20" s="9" t="n">
        <v>1447</v>
      </c>
    </row>
    <row r="21">
      <c r="A21" s="8" t="inlineStr">
        <is>
          <t>Revenue (detail)</t>
        </is>
      </c>
      <c r="B21" s="8" t="inlineStr">
        <is>
          <t>B7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B8</t>
        </is>
      </c>
      <c r="C22" s="8" t="inlineStr">
        <is>
          <t>2g. Total program service revenue</t>
        </is>
      </c>
      <c r="D22" s="8" t="inlineStr">
        <is>
          <t>2g</t>
        </is>
      </c>
      <c r="E22" s="8" t="inlineStr">
        <is>
          <t>part_viii_revenue.total_program_service_revenue</t>
        </is>
      </c>
      <c r="F22" s="8" t="inlineStr">
        <is>
          <t>high</t>
        </is>
      </c>
      <c r="G22" s="9" t="n">
        <v>218417</v>
      </c>
    </row>
    <row r="23">
      <c r="A23" s="8" t="inlineStr">
        <is>
          <t>Revenue (detail)</t>
        </is>
      </c>
      <c r="B23" s="8" t="inlineStr">
        <is>
          <t>C8</t>
        </is>
      </c>
      <c r="C23" s="8" t="inlineStr">
        <is>
          <t>2g. Total program service revenue</t>
        </is>
      </c>
      <c r="D23" s="8" t="inlineStr">
        <is>
          <t>2g</t>
        </is>
      </c>
      <c r="E23" s="8" t="inlineStr">
        <is>
          <t>part_viii_revenue.total_program_service_revenue</t>
        </is>
      </c>
      <c r="F23" s="8" t="inlineStr">
        <is>
          <t>high</t>
        </is>
      </c>
      <c r="G23" s="9" t="n">
        <v>94582</v>
      </c>
    </row>
    <row r="24">
      <c r="A24" s="8" t="inlineStr">
        <is>
          <t>Revenue (detail)</t>
        </is>
      </c>
      <c r="B24" s="8" t="inlineStr">
        <is>
          <t>D8</t>
        </is>
      </c>
      <c r="C24" s="8" t="inlineStr">
        <is>
          <t>2g. Total program service revenue</t>
        </is>
      </c>
      <c r="D24" s="8" t="inlineStr">
        <is>
          <t>2g</t>
        </is>
      </c>
      <c r="E24" s="8" t="inlineStr">
        <is>
          <t>part_viii_revenue.total_program_service_revenue</t>
        </is>
      </c>
      <c r="F24" s="8" t="inlineStr">
        <is>
          <t>high</t>
        </is>
      </c>
      <c r="G24" s="9" t="n">
        <v>165552</v>
      </c>
    </row>
    <row r="25">
      <c r="A25" s="8" t="inlineStr">
        <is>
          <t>Revenue (detail)</t>
        </is>
      </c>
      <c r="B25" s="8" t="inlineStr">
        <is>
          <t>B9</t>
        </is>
      </c>
      <c r="C25" s="8" t="inlineStr">
        <is>
          <t>3. Investment income</t>
        </is>
      </c>
      <c r="D25" s="8" t="inlineStr">
        <is>
          <t>3</t>
        </is>
      </c>
      <c r="E25" s="8" t="inlineStr">
        <is>
          <t>part_viii_revenue.investment_income</t>
        </is>
      </c>
      <c r="F25" s="8" t="inlineStr">
        <is>
          <t>high</t>
        </is>
      </c>
      <c r="G25" s="9" t="n">
        <v>0</v>
      </c>
    </row>
    <row r="26">
      <c r="A26" s="8" t="inlineStr">
        <is>
          <t>Revenue (detail)</t>
        </is>
      </c>
      <c r="B26" s="8" t="inlineStr">
        <is>
          <t>B10</t>
        </is>
      </c>
      <c r="C26" s="8" t="inlineStr">
        <is>
          <t>6d. Net rental income</t>
        </is>
      </c>
      <c r="D26" s="8" t="inlineStr">
        <is>
          <t>6d</t>
        </is>
      </c>
      <c r="E26" s="8" t="inlineStr">
        <is>
          <t>part_viii_revenue.net_rental_income</t>
        </is>
      </c>
      <c r="F26" s="8" t="inlineStr">
        <is>
          <t>high</t>
        </is>
      </c>
      <c r="G26" s="9" t="n">
        <v>0</v>
      </c>
    </row>
    <row r="27">
      <c r="A27" s="8" t="inlineStr">
        <is>
          <t>Revenue (detail)</t>
        </is>
      </c>
      <c r="B27" s="8" t="inlineStr">
        <is>
          <t>B11</t>
        </is>
      </c>
      <c r="C27" s="8" t="inlineStr">
        <is>
          <t>7d. Net gain/(loss) from investment sales</t>
        </is>
      </c>
      <c r="D27" s="8" t="inlineStr">
        <is>
          <t>7d</t>
        </is>
      </c>
      <c r="E27" s="8" t="inlineStr">
        <is>
          <t>part_viii_revenue.net_gain_or_loss_investments</t>
        </is>
      </c>
      <c r="F27" s="8" t="inlineStr">
        <is>
          <t>high</t>
        </is>
      </c>
      <c r="G27" s="9" t="n">
        <v>0</v>
      </c>
    </row>
    <row r="28">
      <c r="A28" s="8" t="inlineStr">
        <is>
          <t>Revenue (detail)</t>
        </is>
      </c>
      <c r="B28" s="8" t="inlineStr">
        <is>
          <t>B12</t>
        </is>
      </c>
      <c r="C28" s="8" t="inlineStr">
        <is>
          <t>11e. Other revenue</t>
        </is>
      </c>
      <c r="D28" s="8" t="inlineStr">
        <is>
          <t>11e</t>
        </is>
      </c>
      <c r="E28" s="8" t="inlineStr">
        <is>
          <t>part_viii_revenue.other_revenue_total</t>
        </is>
      </c>
      <c r="F28" s="8" t="inlineStr">
        <is>
          <t>high</t>
        </is>
      </c>
      <c r="G28" s="9" t="n">
        <v>0</v>
      </c>
    </row>
    <row r="29">
      <c r="A29" s="8" t="inlineStr">
        <is>
          <t>Operating expenses (detail)</t>
        </is>
      </c>
      <c r="B29" s="8" t="inlineStr">
        <is>
          <t>B7</t>
        </is>
      </c>
      <c r="C29" s="8" t="inlineStr">
        <is>
          <t>1. Grants to domestic organizations and governments</t>
        </is>
      </c>
      <c r="D29" s="8" t="inlineStr">
        <is>
          <t>1</t>
        </is>
      </c>
      <c r="E29" s="8" t="inlineStr">
        <is>
          <t>part_ix_expenses.grants_domestic_orgs</t>
        </is>
      </c>
      <c r="F29" s="8" t="inlineStr">
        <is>
          <t>high</t>
        </is>
      </c>
      <c r="G29" s="9" t="n">
        <v>0</v>
      </c>
    </row>
    <row r="30">
      <c r="A30" s="8" t="inlineStr">
        <is>
          <t>Operating expenses (detail)</t>
        </is>
      </c>
      <c r="B30" s="8" t="inlineStr">
        <is>
          <t>B8</t>
        </is>
      </c>
      <c r="C30" s="8" t="inlineStr">
        <is>
          <t>2. Grants to domestic individuals</t>
        </is>
      </c>
      <c r="D30" s="8" t="inlineStr">
        <is>
          <t>2</t>
        </is>
      </c>
      <c r="E30" s="8" t="inlineStr">
        <is>
          <t>part_ix_expenses.grants_domestic_individuals</t>
        </is>
      </c>
      <c r="F30" s="8" t="inlineStr">
        <is>
          <t>high</t>
        </is>
      </c>
      <c r="G30" s="9" t="n">
        <v>0</v>
      </c>
    </row>
    <row r="31">
      <c r="A31" s="8" t="inlineStr">
        <is>
          <t>Operating expenses (detail)</t>
        </is>
      </c>
      <c r="B31" s="8" t="inlineStr">
        <is>
          <t>B9</t>
        </is>
      </c>
      <c r="C31" s="8" t="inlineStr">
        <is>
          <t>3. Grants to foreign organizations and individuals</t>
        </is>
      </c>
      <c r="D31" s="8" t="inlineStr">
        <is>
          <t>3</t>
        </is>
      </c>
      <c r="E31" s="8" t="inlineStr">
        <is>
          <t>part_ix_expenses.foreign_grants</t>
        </is>
      </c>
      <c r="F31" s="8" t="inlineStr">
        <is>
          <t>high</t>
        </is>
      </c>
      <c r="G31" s="9" t="n">
        <v>0</v>
      </c>
    </row>
    <row r="32">
      <c r="A32" s="8" t="inlineStr">
        <is>
          <t>Operating expenses (detail)</t>
        </is>
      </c>
      <c r="B32" s="8" t="inlineStr">
        <is>
          <t>B10</t>
        </is>
      </c>
      <c r="C32" s="8" t="inlineStr">
        <is>
          <t>4. Benefits paid to or for members</t>
        </is>
      </c>
      <c r="D32" s="8" t="inlineStr">
        <is>
          <t>4</t>
        </is>
      </c>
      <c r="E32" s="8" t="inlineStr">
        <is>
          <t>part_ix_expenses.benefits_to_members</t>
        </is>
      </c>
      <c r="F32" s="8" t="inlineStr">
        <is>
          <t>high</t>
        </is>
      </c>
      <c r="G32" s="9" t="n">
        <v>0</v>
      </c>
    </row>
    <row r="33">
      <c r="A33" s="8" t="inlineStr">
        <is>
          <t>Operating expenses (detail)</t>
        </is>
      </c>
      <c r="B33" s="8" t="inlineStr">
        <is>
          <t>B11</t>
        </is>
      </c>
      <c r="C33" s="8" t="inlineStr">
        <is>
          <t>5. Compensation of current officers, directors, trustees</t>
        </is>
      </c>
      <c r="D33" s="8" t="inlineStr">
        <is>
          <t>5</t>
        </is>
      </c>
      <c r="E33" s="8" t="inlineStr">
        <is>
          <t>part_ix_expenses.comp_current_officers</t>
        </is>
      </c>
      <c r="F33" s="8" t="inlineStr">
        <is>
          <t>high</t>
        </is>
      </c>
      <c r="G33" s="9" t="n">
        <v>0</v>
      </c>
    </row>
    <row r="34">
      <c r="A34" s="8" t="inlineStr">
        <is>
          <t>Operating expenses (detail)</t>
        </is>
      </c>
      <c r="B34" s="8" t="inlineStr">
        <is>
          <t>B12</t>
        </is>
      </c>
      <c r="C34" s="8" t="inlineStr">
        <is>
          <t>6. Compensation to disqualified persons</t>
        </is>
      </c>
      <c r="D34" s="8" t="inlineStr">
        <is>
          <t>6</t>
        </is>
      </c>
      <c r="E34" s="8" t="inlineStr">
        <is>
          <t>part_ix_expenses.comp_disqualified_persons</t>
        </is>
      </c>
      <c r="F34" s="8" t="inlineStr">
        <is>
          <t>high</t>
        </is>
      </c>
      <c r="G34" s="9" t="n">
        <v>0</v>
      </c>
    </row>
    <row r="35">
      <c r="A35" s="8" t="inlineStr">
        <is>
          <t>Operating expenses (detail)</t>
        </is>
      </c>
      <c r="B35" s="8" t="inlineStr">
        <is>
          <t>B13</t>
        </is>
      </c>
      <c r="C35" s="8" t="inlineStr">
        <is>
          <t>7. Other salaries and wages</t>
        </is>
      </c>
      <c r="D35" s="8" t="inlineStr">
        <is>
          <t>7</t>
        </is>
      </c>
      <c r="E35" s="8" t="inlineStr">
        <is>
          <t>part_ix_expenses.other_salaries_and_wages</t>
        </is>
      </c>
      <c r="F35" s="8" t="inlineStr">
        <is>
          <t>high</t>
        </is>
      </c>
      <c r="G35" s="9" t="n">
        <v>0</v>
      </c>
    </row>
    <row r="36">
      <c r="A36" s="8" t="inlineStr">
        <is>
          <t>Operating expenses (detail)</t>
        </is>
      </c>
      <c r="B36" s="8" t="inlineStr">
        <is>
          <t>B14</t>
        </is>
      </c>
      <c r="C36" s="8" t="inlineStr">
        <is>
          <t>8. Pension plan accruals and contributions</t>
        </is>
      </c>
      <c r="D36" s="8" t="inlineStr">
        <is>
          <t>8</t>
        </is>
      </c>
      <c r="E36" s="8" t="inlineStr">
        <is>
          <t>part_ix_expenses.pension_plan_contributions</t>
        </is>
      </c>
      <c r="F36" s="8" t="inlineStr">
        <is>
          <t>high</t>
        </is>
      </c>
      <c r="G36" s="9" t="n">
        <v>0</v>
      </c>
    </row>
    <row r="37">
      <c r="A37" s="8" t="inlineStr">
        <is>
          <t>Operating expenses (detail)</t>
        </is>
      </c>
      <c r="B37" s="8" t="inlineStr">
        <is>
          <t>B15</t>
        </is>
      </c>
      <c r="C37" s="8" t="inlineStr">
        <is>
          <t>9. Other employee benefits</t>
        </is>
      </c>
      <c r="D37" s="8" t="inlineStr">
        <is>
          <t>9</t>
        </is>
      </c>
      <c r="E37" s="8" t="inlineStr">
        <is>
          <t>part_ix_expenses.other_employee_benefits</t>
        </is>
      </c>
      <c r="F37" s="8" t="inlineStr">
        <is>
          <t>high</t>
        </is>
      </c>
      <c r="G37" s="9" t="n">
        <v>0</v>
      </c>
    </row>
    <row r="38">
      <c r="A38" s="8" t="inlineStr">
        <is>
          <t>Operating expenses (detail)</t>
        </is>
      </c>
      <c r="B38" s="8" t="inlineStr">
        <is>
          <t>B16</t>
        </is>
      </c>
      <c r="C38" s="8" t="inlineStr">
        <is>
          <t>10. Payroll taxes</t>
        </is>
      </c>
      <c r="D38" s="8" t="inlineStr">
        <is>
          <t>10</t>
        </is>
      </c>
      <c r="E38" s="8" t="inlineStr">
        <is>
          <t>part_ix_expenses.payroll_taxes</t>
        </is>
      </c>
      <c r="F38" s="8" t="inlineStr">
        <is>
          <t>high</t>
        </is>
      </c>
      <c r="G38" s="9" t="n">
        <v>0</v>
      </c>
    </row>
    <row r="39">
      <c r="A39" s="8" t="inlineStr">
        <is>
          <t>Operating expenses (detail)</t>
        </is>
      </c>
      <c r="B39" s="8" t="inlineStr">
        <is>
          <t>B17</t>
        </is>
      </c>
      <c r="C39" s="8" t="inlineStr">
        <is>
          <t>11a. Fees for services: management</t>
        </is>
      </c>
      <c r="D39" s="8" t="inlineStr">
        <is>
          <t>11a</t>
        </is>
      </c>
      <c r="E39" s="8" t="inlineStr">
        <is>
          <t>part_ix_expenses.fees_management</t>
        </is>
      </c>
      <c r="F39" s="8" t="inlineStr">
        <is>
          <t>high</t>
        </is>
      </c>
      <c r="G39" s="9" t="n">
        <v>0</v>
      </c>
    </row>
    <row r="40">
      <c r="A40" s="8" t="inlineStr">
        <is>
          <t>Operating expenses (detail)</t>
        </is>
      </c>
      <c r="B40" s="8" t="inlineStr">
        <is>
          <t>B18</t>
        </is>
      </c>
      <c r="C40" s="8" t="inlineStr">
        <is>
          <t>11b. Fees for services: legal</t>
        </is>
      </c>
      <c r="D40" s="8" t="inlineStr">
        <is>
          <t>11b</t>
        </is>
      </c>
      <c r="E40" s="8" t="inlineStr">
        <is>
          <t>part_ix_expenses.fees_legal</t>
        </is>
      </c>
      <c r="F40" s="8" t="inlineStr">
        <is>
          <t>high</t>
        </is>
      </c>
      <c r="G40" s="9" t="n">
        <v>0</v>
      </c>
    </row>
    <row r="41">
      <c r="A41" s="8" t="inlineStr">
        <is>
          <t>Operating expenses (detail)</t>
        </is>
      </c>
      <c r="B41" s="8" t="inlineStr">
        <is>
          <t>B19</t>
        </is>
      </c>
      <c r="C41" s="8" t="inlineStr">
        <is>
          <t>11c. Fees for services: accounting</t>
        </is>
      </c>
      <c r="D41" s="8" t="inlineStr">
        <is>
          <t>11c</t>
        </is>
      </c>
      <c r="E41" s="8" t="inlineStr">
        <is>
          <t>part_ix_expenses.fees_accounting</t>
        </is>
      </c>
      <c r="F41" s="8" t="inlineStr">
        <is>
          <t>high</t>
        </is>
      </c>
      <c r="G41" s="9" t="n">
        <v>16340</v>
      </c>
    </row>
    <row r="42">
      <c r="A42" s="8" t="inlineStr">
        <is>
          <t>Operating expenses (detail)</t>
        </is>
      </c>
      <c r="B42" s="8" t="inlineStr">
        <is>
          <t>C19</t>
        </is>
      </c>
      <c r="C42" s="8" t="inlineStr">
        <is>
          <t>11c. Fees for services: accounting</t>
        </is>
      </c>
      <c r="D42" s="8" t="inlineStr">
        <is>
          <t>11c</t>
        </is>
      </c>
      <c r="E42" s="8" t="inlineStr">
        <is>
          <t>part_ix_expenses.fees_accounting</t>
        </is>
      </c>
      <c r="F42" s="8" t="inlineStr">
        <is>
          <t>high</t>
        </is>
      </c>
      <c r="G42" s="9" t="n">
        <v>1227</v>
      </c>
    </row>
    <row r="43">
      <c r="A43" s="8" t="inlineStr">
        <is>
          <t>Operating expenses (detail)</t>
        </is>
      </c>
      <c r="B43" s="8" t="inlineStr">
        <is>
          <t>D19</t>
        </is>
      </c>
      <c r="C43" s="8" t="inlineStr">
        <is>
          <t>11c. Fees for services: accounting</t>
        </is>
      </c>
      <c r="D43" s="8" t="inlineStr">
        <is>
          <t>11c</t>
        </is>
      </c>
      <c r="E43" s="8" t="inlineStr">
        <is>
          <t>part_ix_expenses.fees_accounting</t>
        </is>
      </c>
      <c r="F43" s="8" t="inlineStr">
        <is>
          <t>high</t>
        </is>
      </c>
      <c r="G43" s="9" t="n">
        <v>23946</v>
      </c>
    </row>
    <row r="44">
      <c r="A44" s="8" t="inlineStr">
        <is>
          <t>Operating expenses (detail)</t>
        </is>
      </c>
      <c r="B44" s="8" t="inlineStr">
        <is>
          <t>B20</t>
        </is>
      </c>
      <c r="C44" s="8" t="inlineStr">
        <is>
          <t>11d. Fees for services: lobbying</t>
        </is>
      </c>
      <c r="D44" s="8" t="inlineStr">
        <is>
          <t>11d</t>
        </is>
      </c>
      <c r="E44" s="8" t="inlineStr">
        <is>
          <t>part_ix_expenses.fees_lobbying</t>
        </is>
      </c>
      <c r="F44" s="8" t="inlineStr">
        <is>
          <t>high</t>
        </is>
      </c>
      <c r="G44" s="9" t="n">
        <v>0</v>
      </c>
    </row>
    <row r="45">
      <c r="A45" s="8" t="inlineStr">
        <is>
          <t>Operating expenses (detail)</t>
        </is>
      </c>
      <c r="B45" s="8" t="inlineStr">
        <is>
          <t>B21</t>
        </is>
      </c>
      <c r="C45" s="8" t="inlineStr">
        <is>
          <t>11e. Fees for services: professional fundraising</t>
        </is>
      </c>
      <c r="D45" s="8" t="inlineStr">
        <is>
          <t>11e</t>
        </is>
      </c>
      <c r="E45" s="8" t="inlineStr">
        <is>
          <t>part_ix_expenses.fees_prof_fundraising</t>
        </is>
      </c>
      <c r="F45" s="8" t="inlineStr">
        <is>
          <t>high</t>
        </is>
      </c>
      <c r="G45" s="9" t="n">
        <v>0</v>
      </c>
    </row>
    <row r="46">
      <c r="A46" s="8" t="inlineStr">
        <is>
          <t>Operating expenses (detail)</t>
        </is>
      </c>
      <c r="B46" s="8" t="inlineStr">
        <is>
          <t>B22</t>
        </is>
      </c>
      <c r="C46" s="8" t="inlineStr">
        <is>
          <t>11f. Fees for services: investment management</t>
        </is>
      </c>
      <c r="D46" s="8" t="inlineStr">
        <is>
          <t>11f</t>
        </is>
      </c>
      <c r="E46" s="8" t="inlineStr">
        <is>
          <t>part_ix_expenses.fees_investment_mgmt</t>
        </is>
      </c>
      <c r="F46" s="8" t="inlineStr">
        <is>
          <t>high</t>
        </is>
      </c>
      <c r="G46" s="9" t="n">
        <v>0</v>
      </c>
    </row>
    <row r="47">
      <c r="A47" s="8" t="inlineStr">
        <is>
          <t>Operating expenses (detail)</t>
        </is>
      </c>
      <c r="B47" s="8" t="inlineStr">
        <is>
          <t>B23</t>
        </is>
      </c>
      <c r="C47" s="8" t="inlineStr">
        <is>
          <t>11g. Fees for services: other</t>
        </is>
      </c>
      <c r="D47" s="8" t="inlineStr">
        <is>
          <t>11g</t>
        </is>
      </c>
      <c r="E47" s="8" t="inlineStr">
        <is>
          <t>part_ix_expenses.fees_other</t>
        </is>
      </c>
      <c r="F47" s="8" t="inlineStr">
        <is>
          <t>high</t>
        </is>
      </c>
      <c r="G47" s="9" t="n">
        <v>0</v>
      </c>
    </row>
    <row r="48">
      <c r="A48" s="8" t="inlineStr">
        <is>
          <t>Operating expenses (detail)</t>
        </is>
      </c>
      <c r="B48" s="8" t="inlineStr">
        <is>
          <t>D23</t>
        </is>
      </c>
      <c r="C48" s="8" t="inlineStr">
        <is>
          <t>11g. Fees for services: other</t>
        </is>
      </c>
      <c r="D48" s="8" t="inlineStr">
        <is>
          <t>11g</t>
        </is>
      </c>
      <c r="E48" s="8" t="inlineStr">
        <is>
          <t>part_ix_expenses.fees_other</t>
        </is>
      </c>
      <c r="F48" s="8" t="inlineStr">
        <is>
          <t>high</t>
        </is>
      </c>
      <c r="G48" s="9" t="n">
        <v>68049</v>
      </c>
    </row>
    <row r="49">
      <c r="A49" s="8" t="inlineStr">
        <is>
          <t>Operating expenses (detail)</t>
        </is>
      </c>
      <c r="B49" s="8" t="inlineStr">
        <is>
          <t>B24</t>
        </is>
      </c>
      <c r="C49" s="8" t="inlineStr">
        <is>
          <t>12. Advertising and promotion</t>
        </is>
      </c>
      <c r="D49" s="8" t="inlineStr">
        <is>
          <t>12</t>
        </is>
      </c>
      <c r="E49" s="8" t="inlineStr">
        <is>
          <t>part_ix_expenses.advertising</t>
        </is>
      </c>
      <c r="F49" s="8" t="inlineStr">
        <is>
          <t>high</t>
        </is>
      </c>
      <c r="G49" s="9" t="n">
        <v>0</v>
      </c>
    </row>
    <row r="50">
      <c r="A50" s="8" t="inlineStr">
        <is>
          <t>Operating expenses (detail)</t>
        </is>
      </c>
      <c r="B50" s="8" t="inlineStr">
        <is>
          <t>B25</t>
        </is>
      </c>
      <c r="C50" s="8" t="inlineStr">
        <is>
          <t>13. Office expenses</t>
        </is>
      </c>
      <c r="D50" s="8" t="inlineStr">
        <is>
          <t>13</t>
        </is>
      </c>
      <c r="E50" s="8" t="inlineStr">
        <is>
          <t>part_ix_expenses.office_expenses</t>
        </is>
      </c>
      <c r="F50" s="8" t="inlineStr">
        <is>
          <t>high</t>
        </is>
      </c>
      <c r="G50" s="9" t="n">
        <v>1464</v>
      </c>
    </row>
    <row r="51">
      <c r="A51" s="8" t="inlineStr">
        <is>
          <t>Operating expenses (detail)</t>
        </is>
      </c>
      <c r="B51" s="8" t="inlineStr">
        <is>
          <t>C25</t>
        </is>
      </c>
      <c r="C51" s="8" t="inlineStr">
        <is>
          <t>13. Office expenses</t>
        </is>
      </c>
      <c r="D51" s="8" t="inlineStr">
        <is>
          <t>13</t>
        </is>
      </c>
      <c r="E51" s="8" t="inlineStr">
        <is>
          <t>part_ix_expenses.office_expenses</t>
        </is>
      </c>
      <c r="F51" s="8" t="inlineStr">
        <is>
          <t>high</t>
        </is>
      </c>
      <c r="G51" s="9" t="n">
        <v>3969</v>
      </c>
    </row>
    <row r="52">
      <c r="A52" s="8" t="inlineStr">
        <is>
          <t>Operating expenses (detail)</t>
        </is>
      </c>
      <c r="B52" s="8" t="inlineStr">
        <is>
          <t>D25</t>
        </is>
      </c>
      <c r="C52" s="8" t="inlineStr">
        <is>
          <t>13. Office expenses</t>
        </is>
      </c>
      <c r="D52" s="8" t="inlineStr">
        <is>
          <t>13</t>
        </is>
      </c>
      <c r="E52" s="8" t="inlineStr">
        <is>
          <t>part_ix_expenses.office_expenses</t>
        </is>
      </c>
      <c r="F52" s="8" t="inlineStr">
        <is>
          <t>high</t>
        </is>
      </c>
      <c r="G52" s="9" t="n">
        <v>1977</v>
      </c>
    </row>
    <row r="53">
      <c r="A53" s="8" t="inlineStr">
        <is>
          <t>Operating expenses (detail)</t>
        </is>
      </c>
      <c r="B53" s="8" t="inlineStr">
        <is>
          <t>B26</t>
        </is>
      </c>
      <c r="C53" s="8" t="inlineStr">
        <is>
          <t>14. Information technology</t>
        </is>
      </c>
      <c r="D53" s="8" t="inlineStr">
        <is>
          <t>14</t>
        </is>
      </c>
      <c r="E53" s="8" t="inlineStr">
        <is>
          <t>part_ix_expenses.information_technology</t>
        </is>
      </c>
      <c r="F53" s="8" t="inlineStr">
        <is>
          <t>high</t>
        </is>
      </c>
      <c r="G53" s="9" t="n">
        <v>0</v>
      </c>
    </row>
    <row r="54">
      <c r="A54" s="8" t="inlineStr">
        <is>
          <t>Operating expenses (detail)</t>
        </is>
      </c>
      <c r="B54" s="8" t="inlineStr">
        <is>
          <t>B27</t>
        </is>
      </c>
      <c r="C54" s="8" t="inlineStr">
        <is>
          <t>15. Royalties</t>
        </is>
      </c>
      <c r="D54" s="8" t="inlineStr">
        <is>
          <t>15</t>
        </is>
      </c>
      <c r="E54" s="8" t="inlineStr">
        <is>
          <t>part_ix_expenses.royalties</t>
        </is>
      </c>
      <c r="F54" s="8" t="inlineStr">
        <is>
          <t>high</t>
        </is>
      </c>
      <c r="G54" s="9" t="n">
        <v>0</v>
      </c>
    </row>
    <row r="55">
      <c r="A55" s="8" t="inlineStr">
        <is>
          <t>Operating expenses (detail)</t>
        </is>
      </c>
      <c r="B55" s="8" t="inlineStr">
        <is>
          <t>B28</t>
        </is>
      </c>
      <c r="C55" s="8" t="inlineStr">
        <is>
          <t>16. Occupancy</t>
        </is>
      </c>
      <c r="D55" s="8" t="inlineStr">
        <is>
          <t>16</t>
        </is>
      </c>
      <c r="E55" s="8" t="inlineStr">
        <is>
          <t>part_ix_expenses.occupancy</t>
        </is>
      </c>
      <c r="F55" s="8" t="inlineStr">
        <is>
          <t>high</t>
        </is>
      </c>
      <c r="G55" s="9" t="n">
        <v>0</v>
      </c>
    </row>
    <row r="56">
      <c r="A56" s="8" t="inlineStr">
        <is>
          <t>Operating expenses (detail)</t>
        </is>
      </c>
      <c r="B56" s="8" t="inlineStr">
        <is>
          <t>B29</t>
        </is>
      </c>
      <c r="C56" s="8" t="inlineStr">
        <is>
          <t>17. Travel</t>
        </is>
      </c>
      <c r="D56" s="8" t="inlineStr">
        <is>
          <t>17</t>
        </is>
      </c>
      <c r="E56" s="8" t="inlineStr">
        <is>
          <t>part_ix_expenses.travel</t>
        </is>
      </c>
      <c r="F56" s="8" t="inlineStr">
        <is>
          <t>high</t>
        </is>
      </c>
      <c r="G56" s="9" t="n">
        <v>0</v>
      </c>
    </row>
    <row r="57">
      <c r="A57" s="8" t="inlineStr">
        <is>
          <t>Operating expenses (detail)</t>
        </is>
      </c>
      <c r="B57" s="8" t="inlineStr">
        <is>
          <t>C29</t>
        </is>
      </c>
      <c r="C57" s="8" t="inlineStr">
        <is>
          <t>17. Travel</t>
        </is>
      </c>
      <c r="D57" s="8" t="inlineStr">
        <is>
          <t>17</t>
        </is>
      </c>
      <c r="E57" s="8" t="inlineStr">
        <is>
          <t>part_ix_expenses.travel</t>
        </is>
      </c>
      <c r="F57" s="8" t="inlineStr">
        <is>
          <t>high</t>
        </is>
      </c>
      <c r="G57" s="9" t="n">
        <v>1500</v>
      </c>
    </row>
    <row r="58">
      <c r="A58" s="8" t="inlineStr">
        <is>
          <t>Operating expenses (detail)</t>
        </is>
      </c>
      <c r="B58" s="8" t="inlineStr">
        <is>
          <t>B30</t>
        </is>
      </c>
      <c r="C58" s="8" t="inlineStr">
        <is>
          <t>18. Payments of travel/entertainment for public officials</t>
        </is>
      </c>
      <c r="D58" s="8" t="inlineStr">
        <is>
          <t>18</t>
        </is>
      </c>
      <c r="E58" s="8" t="inlineStr">
        <is>
          <t>part_ix_expenses.travel_entertainment_public_officials</t>
        </is>
      </c>
      <c r="F58" s="8" t="inlineStr">
        <is>
          <t>high</t>
        </is>
      </c>
      <c r="G58" s="9" t="n">
        <v>0</v>
      </c>
    </row>
    <row r="59">
      <c r="A59" s="8" t="inlineStr">
        <is>
          <t>Operating expenses (detail)</t>
        </is>
      </c>
      <c r="B59" s="8" t="inlineStr">
        <is>
          <t>B31</t>
        </is>
      </c>
      <c r="C59" s="8" t="inlineStr">
        <is>
          <t>19. Conferences, conventions, and meetings</t>
        </is>
      </c>
      <c r="D59" s="8" t="inlineStr">
        <is>
          <t>19</t>
        </is>
      </c>
      <c r="E59" s="8" t="inlineStr">
        <is>
          <t>part_ix_expenses.conferences_conventions_meetings</t>
        </is>
      </c>
      <c r="F59" s="8" t="inlineStr">
        <is>
          <t>high</t>
        </is>
      </c>
      <c r="G59" s="9" t="n">
        <v>0</v>
      </c>
    </row>
    <row r="60">
      <c r="A60" s="8" t="inlineStr">
        <is>
          <t>Operating expenses (detail)</t>
        </is>
      </c>
      <c r="B60" s="8" t="inlineStr">
        <is>
          <t>B32</t>
        </is>
      </c>
      <c r="C60" s="8" t="inlineStr">
        <is>
          <t>20. Interest</t>
        </is>
      </c>
      <c r="D60" s="8" t="inlineStr">
        <is>
          <t>20</t>
        </is>
      </c>
      <c r="E60" s="8" t="inlineStr">
        <is>
          <t>part_ix_expenses.interest</t>
        </is>
      </c>
      <c r="F60" s="8" t="inlineStr">
        <is>
          <t>high</t>
        </is>
      </c>
      <c r="G60" s="9" t="n">
        <v>4011</v>
      </c>
    </row>
    <row r="61">
      <c r="A61" s="8" t="inlineStr">
        <is>
          <t>Operating expenses (detail)</t>
        </is>
      </c>
      <c r="B61" s="8" t="inlineStr">
        <is>
          <t>C32</t>
        </is>
      </c>
      <c r="C61" s="8" t="inlineStr">
        <is>
          <t>20. Interest</t>
        </is>
      </c>
      <c r="D61" s="8" t="inlineStr">
        <is>
          <t>20</t>
        </is>
      </c>
      <c r="E61" s="8" t="inlineStr">
        <is>
          <t>part_ix_expenses.interest</t>
        </is>
      </c>
      <c r="F61" s="8" t="inlineStr">
        <is>
          <t>high</t>
        </is>
      </c>
      <c r="G61" s="9" t="n">
        <v>3987</v>
      </c>
    </row>
    <row r="62">
      <c r="A62" s="8" t="inlineStr">
        <is>
          <t>Operating expenses (detail)</t>
        </is>
      </c>
      <c r="B62" s="8" t="inlineStr">
        <is>
          <t>D32</t>
        </is>
      </c>
      <c r="C62" s="8" t="inlineStr">
        <is>
          <t>20. Interest</t>
        </is>
      </c>
      <c r="D62" s="8" t="inlineStr">
        <is>
          <t>20</t>
        </is>
      </c>
      <c r="E62" s="8" t="inlineStr">
        <is>
          <t>part_ix_expenses.interest</t>
        </is>
      </c>
      <c r="F62" s="8" t="inlineStr">
        <is>
          <t>high</t>
        </is>
      </c>
      <c r="G62" s="9" t="n">
        <v>7974</v>
      </c>
    </row>
    <row r="63">
      <c r="A63" s="8" t="inlineStr">
        <is>
          <t>Operating expenses (detail)</t>
        </is>
      </c>
      <c r="B63" s="8" t="inlineStr">
        <is>
          <t>B33</t>
        </is>
      </c>
      <c r="C63" s="8" t="inlineStr">
        <is>
          <t>21. Payments to affiliates</t>
        </is>
      </c>
      <c r="D63" s="8" t="inlineStr">
        <is>
          <t>21</t>
        </is>
      </c>
      <c r="E63" s="8" t="inlineStr">
        <is>
          <t>part_ix_expenses.payments_to_affiliates</t>
        </is>
      </c>
      <c r="F63" s="8" t="inlineStr">
        <is>
          <t>high</t>
        </is>
      </c>
      <c r="G63" s="9" t="n">
        <v>0</v>
      </c>
    </row>
    <row r="64">
      <c r="A64" s="8" t="inlineStr">
        <is>
          <t>Operating expenses (detail)</t>
        </is>
      </c>
      <c r="B64" s="8" t="inlineStr">
        <is>
          <t>B34</t>
        </is>
      </c>
      <c r="C64" s="8" t="inlineStr">
        <is>
          <t>22. Depreciation, depletion, and amortization</t>
        </is>
      </c>
      <c r="D64" s="8" t="inlineStr">
        <is>
          <t>22</t>
        </is>
      </c>
      <c r="E64" s="8" t="inlineStr">
        <is>
          <t>part_ix_expenses.depreciation</t>
        </is>
      </c>
      <c r="F64" s="8" t="inlineStr">
        <is>
          <t>high</t>
        </is>
      </c>
      <c r="G64" s="9" t="n">
        <v>7770</v>
      </c>
    </row>
    <row r="65">
      <c r="A65" s="8" t="inlineStr">
        <is>
          <t>Operating expenses (detail)</t>
        </is>
      </c>
      <c r="B65" s="8" t="inlineStr">
        <is>
          <t>C34</t>
        </is>
      </c>
      <c r="C65" s="8" t="inlineStr">
        <is>
          <t>22. Depreciation, depletion, and amortization</t>
        </is>
      </c>
      <c r="D65" s="8" t="inlineStr">
        <is>
          <t>22</t>
        </is>
      </c>
      <c r="E65" s="8" t="inlineStr">
        <is>
          <t>part_ix_expenses.depreciation</t>
        </is>
      </c>
      <c r="F65" s="8" t="inlineStr">
        <is>
          <t>high</t>
        </is>
      </c>
      <c r="G65" s="9" t="n">
        <v>8899</v>
      </c>
    </row>
    <row r="66">
      <c r="A66" s="8" t="inlineStr">
        <is>
          <t>Operating expenses (detail)</t>
        </is>
      </c>
      <c r="B66" s="8" t="inlineStr">
        <is>
          <t>D34</t>
        </is>
      </c>
      <c r="C66" s="8" t="inlineStr">
        <is>
          <t>22. Depreciation, depletion, and amortization</t>
        </is>
      </c>
      <c r="D66" s="8" t="inlineStr">
        <is>
          <t>22</t>
        </is>
      </c>
      <c r="E66" s="8" t="inlineStr">
        <is>
          <t>part_ix_expenses.depreciation</t>
        </is>
      </c>
      <c r="F66" s="8" t="inlineStr">
        <is>
          <t>high</t>
        </is>
      </c>
      <c r="G66" s="9" t="n">
        <v>9756</v>
      </c>
    </row>
    <row r="67">
      <c r="A67" s="8" t="inlineStr">
        <is>
          <t>Operating expenses (detail)</t>
        </is>
      </c>
      <c r="B67" s="8" t="inlineStr">
        <is>
          <t>B35</t>
        </is>
      </c>
      <c r="C67" s="8" t="inlineStr">
        <is>
          <t>23. Insurance</t>
        </is>
      </c>
      <c r="D67" s="8" t="inlineStr">
        <is>
          <t>23</t>
        </is>
      </c>
      <c r="E67" s="8" t="inlineStr">
        <is>
          <t>part_ix_expenses.insurance</t>
        </is>
      </c>
      <c r="F67" s="8" t="inlineStr">
        <is>
          <t>high</t>
        </is>
      </c>
      <c r="G67" s="9" t="n">
        <v>3269</v>
      </c>
    </row>
    <row r="68">
      <c r="A68" s="8" t="inlineStr">
        <is>
          <t>Operating expenses (detail)</t>
        </is>
      </c>
      <c r="B68" s="8" t="inlineStr">
        <is>
          <t>C35</t>
        </is>
      </c>
      <c r="C68" s="8" t="inlineStr">
        <is>
          <t>23. Insurance</t>
        </is>
      </c>
      <c r="D68" s="8" t="inlineStr">
        <is>
          <t>23</t>
        </is>
      </c>
      <c r="E68" s="8" t="inlineStr">
        <is>
          <t>part_ix_expenses.insurance</t>
        </is>
      </c>
      <c r="F68" s="8" t="inlineStr">
        <is>
          <t>high</t>
        </is>
      </c>
      <c r="G68" s="9" t="n">
        <v>6334</v>
      </c>
    </row>
    <row r="69">
      <c r="A69" s="8" t="inlineStr">
        <is>
          <t>Operating expenses (detail)</t>
        </is>
      </c>
      <c r="B69" s="8" t="inlineStr">
        <is>
          <t>B40</t>
        </is>
      </c>
      <c r="C69" s="8" t="inlineStr">
        <is>
          <t>24e. All other expenses</t>
        </is>
      </c>
      <c r="D69" s="8" t="inlineStr">
        <is>
          <t>24e</t>
        </is>
      </c>
      <c r="E69" s="8" t="inlineStr">
        <is>
          <t>part_ix_expenses.all_other_expenses</t>
        </is>
      </c>
      <c r="F69" s="8" t="inlineStr">
        <is>
          <t>high</t>
        </is>
      </c>
      <c r="G69" s="9" t="n">
        <v>18455</v>
      </c>
    </row>
    <row r="70">
      <c r="A70" s="8" t="inlineStr">
        <is>
          <t>Operating expenses (detail)</t>
        </is>
      </c>
      <c r="B70" s="8" t="inlineStr">
        <is>
          <t>C40</t>
        </is>
      </c>
      <c r="C70" s="8" t="inlineStr">
        <is>
          <t>24e. All other expenses</t>
        </is>
      </c>
      <c r="D70" s="8" t="inlineStr">
        <is>
          <t>24e</t>
        </is>
      </c>
      <c r="E70" s="8" t="inlineStr">
        <is>
          <t>part_ix_expenses.all_other_expenses</t>
        </is>
      </c>
      <c r="F70" s="8" t="inlineStr">
        <is>
          <t>high</t>
        </is>
      </c>
      <c r="G70" s="9" t="n">
        <v>20311</v>
      </c>
    </row>
    <row r="71">
      <c r="A71" s="8" t="inlineStr">
        <is>
          <t>Operating expenses (detail)</t>
        </is>
      </c>
      <c r="B71" s="8" t="inlineStr">
        <is>
          <t>D40</t>
        </is>
      </c>
      <c r="C71" s="8" t="inlineStr">
        <is>
          <t>24e. All other expenses</t>
        </is>
      </c>
      <c r="D71" s="8" t="inlineStr">
        <is>
          <t>24e</t>
        </is>
      </c>
      <c r="E71" s="8" t="inlineStr">
        <is>
          <t>part_ix_expenses.all_other_expenses</t>
        </is>
      </c>
      <c r="F71" s="8" t="inlineStr">
        <is>
          <t>high</t>
        </is>
      </c>
      <c r="G71" s="9" t="n">
        <v>23353</v>
      </c>
    </row>
    <row r="72">
      <c r="A72" s="8" t="inlineStr">
        <is>
          <t>Balance sheet (detail)</t>
        </is>
      </c>
      <c r="B72" s="8" t="inlineStr">
        <is>
          <t>B7</t>
        </is>
      </c>
      <c r="C72" s="8" t="inlineStr">
        <is>
          <t>1. Cash - non-interest-bearing</t>
        </is>
      </c>
      <c r="D72" s="8" t="inlineStr">
        <is>
          <t>1E</t>
        </is>
      </c>
      <c r="E72" s="8" t="inlineStr">
        <is>
          <t>part_x_balance_sheet.cash_noninterest_eoy</t>
        </is>
      </c>
      <c r="F72" s="8" t="inlineStr">
        <is>
          <t>high</t>
        </is>
      </c>
      <c r="G72" s="9" t="n">
        <v>30398</v>
      </c>
    </row>
    <row r="73">
      <c r="A73" s="8" t="inlineStr">
        <is>
          <t>Balance sheet (detail)</t>
        </is>
      </c>
      <c r="B73" s="8" t="inlineStr">
        <is>
          <t>C7</t>
        </is>
      </c>
      <c r="C73" s="8" t="inlineStr">
        <is>
          <t>1. Cash - non-interest-bearing</t>
        </is>
      </c>
      <c r="D73" s="8" t="inlineStr">
        <is>
          <t>1E</t>
        </is>
      </c>
      <c r="E73" s="8" t="inlineStr">
        <is>
          <t>part_x_balance_sheet.cash_noninterest_eoy</t>
        </is>
      </c>
      <c r="F73" s="8" t="inlineStr">
        <is>
          <t>high</t>
        </is>
      </c>
      <c r="G73" s="9" t="n">
        <v>11978</v>
      </c>
    </row>
    <row r="74">
      <c r="A74" s="8" t="inlineStr">
        <is>
          <t>Balance sheet (detail)</t>
        </is>
      </c>
      <c r="B74" s="8" t="inlineStr">
        <is>
          <t>D7</t>
        </is>
      </c>
      <c r="C74" s="8" t="inlineStr">
        <is>
          <t>1. Cash - non-interest-bearing</t>
        </is>
      </c>
      <c r="D74" s="8" t="inlineStr">
        <is>
          <t>1E</t>
        </is>
      </c>
      <c r="E74" s="8" t="inlineStr">
        <is>
          <t>part_x_balance_sheet.cash_noninterest_eoy</t>
        </is>
      </c>
      <c r="F74" s="8" t="inlineStr">
        <is>
          <t>high</t>
        </is>
      </c>
      <c r="G74" s="9" t="n">
        <v>23386</v>
      </c>
    </row>
    <row r="75">
      <c r="A75" s="8" t="inlineStr">
        <is>
          <t>Balance sheet (detail)</t>
        </is>
      </c>
      <c r="B75" s="8" t="inlineStr">
        <is>
          <t>B8</t>
        </is>
      </c>
      <c r="C75" s="8" t="inlineStr">
        <is>
          <t>2. Savings and temporary cash investments</t>
        </is>
      </c>
      <c r="D75" s="8" t="inlineStr">
        <is>
          <t>2E</t>
        </is>
      </c>
      <c r="E75" s="8" t="inlineStr">
        <is>
          <t>part_x_balance_sheet.savings_temp_invest_eoy</t>
        </is>
      </c>
      <c r="F75" s="8" t="inlineStr">
        <is>
          <t>high</t>
        </is>
      </c>
      <c r="G75" s="9" t="n">
        <v>0</v>
      </c>
    </row>
    <row r="76">
      <c r="A76" s="8" t="inlineStr">
        <is>
          <t>Balance sheet (detail)</t>
        </is>
      </c>
      <c r="B76" s="8" t="inlineStr">
        <is>
          <t>B9</t>
        </is>
      </c>
      <c r="C76" s="8" t="inlineStr">
        <is>
          <t>3. Pledges and grants receivable, net</t>
        </is>
      </c>
      <c r="D76" s="8" t="inlineStr">
        <is>
          <t>3E</t>
        </is>
      </c>
      <c r="E76" s="8" t="inlineStr">
        <is>
          <t>part_x_balance_sheet.pledges_grants_receivable_eoy</t>
        </is>
      </c>
      <c r="F76" s="8" t="inlineStr">
        <is>
          <t>high</t>
        </is>
      </c>
      <c r="G76" s="9" t="n">
        <v>0</v>
      </c>
    </row>
    <row r="77">
      <c r="A77" s="8" t="inlineStr">
        <is>
          <t>Balance sheet (detail)</t>
        </is>
      </c>
      <c r="B77" s="8" t="inlineStr">
        <is>
          <t>B10</t>
        </is>
      </c>
      <c r="C77" s="8" t="inlineStr">
        <is>
          <t>4. Accounts receivable, net</t>
        </is>
      </c>
      <c r="D77" s="8" t="inlineStr">
        <is>
          <t>4E</t>
        </is>
      </c>
      <c r="E77" s="8" t="inlineStr">
        <is>
          <t>part_x_balance_sheet.accounts_receivable_eoy</t>
        </is>
      </c>
      <c r="F77" s="8" t="inlineStr">
        <is>
          <t>high</t>
        </is>
      </c>
      <c r="G77" s="9" t="n">
        <v>0</v>
      </c>
    </row>
    <row r="78">
      <c r="A78" s="8" t="inlineStr">
        <is>
          <t>Balance sheet (detail)</t>
        </is>
      </c>
      <c r="B78" s="8" t="inlineStr">
        <is>
          <t>B11</t>
        </is>
      </c>
      <c r="C78" s="8" t="inlineStr">
        <is>
          <t>5. Receivables from officers/directors/trustees</t>
        </is>
      </c>
      <c r="D78" s="8" t="inlineStr">
        <is>
          <t>5E</t>
        </is>
      </c>
      <c r="E78" s="8" t="inlineStr">
        <is>
          <t>part_x_balance_sheet.receivables_officers_eoy</t>
        </is>
      </c>
      <c r="F78" s="8" t="inlineStr">
        <is>
          <t>high</t>
        </is>
      </c>
      <c r="G78" s="9" t="n">
        <v>0</v>
      </c>
    </row>
    <row r="79">
      <c r="A79" s="8" t="inlineStr">
        <is>
          <t>Balance sheet (detail)</t>
        </is>
      </c>
      <c r="B79" s="8" t="inlineStr">
        <is>
          <t>B12</t>
        </is>
      </c>
      <c r="C79" s="8" t="inlineStr">
        <is>
          <t>6. Receivables from disqualified persons</t>
        </is>
      </c>
      <c r="D79" s="8" t="inlineStr">
        <is>
          <t>6E</t>
        </is>
      </c>
      <c r="E79" s="8" t="inlineStr">
        <is>
          <t>part_x_balance_sheet.receivables_disqualified_eoy</t>
        </is>
      </c>
      <c r="F79" s="8" t="inlineStr">
        <is>
          <t>high</t>
        </is>
      </c>
      <c r="G79" s="9" t="n">
        <v>0</v>
      </c>
    </row>
    <row r="80">
      <c r="A80" s="8" t="inlineStr">
        <is>
          <t>Balance sheet (detail)</t>
        </is>
      </c>
      <c r="B80" s="8" t="inlineStr">
        <is>
          <t>B13</t>
        </is>
      </c>
      <c r="C80" s="8" t="inlineStr">
        <is>
          <t>7. Notes and loans receivable, net</t>
        </is>
      </c>
      <c r="D80" s="8" t="inlineStr">
        <is>
          <t>7E</t>
        </is>
      </c>
      <c r="E80" s="8" t="inlineStr">
        <is>
          <t>part_x_balance_sheet.notes_loans_receivable_eoy</t>
        </is>
      </c>
      <c r="F80" s="8" t="inlineStr">
        <is>
          <t>high</t>
        </is>
      </c>
      <c r="G80" s="9" t="n">
        <v>0</v>
      </c>
    </row>
    <row r="81">
      <c r="A81" s="8" t="inlineStr">
        <is>
          <t>Balance sheet (detail)</t>
        </is>
      </c>
      <c r="B81" s="8" t="inlineStr">
        <is>
          <t>B14</t>
        </is>
      </c>
      <c r="C81" s="8" t="inlineStr">
        <is>
          <t>8. Inventories for sale or use</t>
        </is>
      </c>
      <c r="D81" s="8" t="inlineStr">
        <is>
          <t>8E</t>
        </is>
      </c>
      <c r="E81" s="8" t="inlineStr">
        <is>
          <t>part_x_balance_sheet.inventories_eoy</t>
        </is>
      </c>
      <c r="F81" s="8" t="inlineStr">
        <is>
          <t>high</t>
        </is>
      </c>
      <c r="G81" s="9" t="n">
        <v>0</v>
      </c>
    </row>
    <row r="82">
      <c r="A82" s="8" t="inlineStr">
        <is>
          <t>Balance sheet (detail)</t>
        </is>
      </c>
      <c r="B82" s="8" t="inlineStr">
        <is>
          <t>B15</t>
        </is>
      </c>
      <c r="C82" s="8" t="inlineStr">
        <is>
          <t>9. Prepaid expenses and deferred charges</t>
        </is>
      </c>
      <c r="D82" s="8" t="inlineStr">
        <is>
          <t>9E</t>
        </is>
      </c>
      <c r="E82" s="8" t="inlineStr">
        <is>
          <t>part_x_balance_sheet.prepaid_expenses_eoy</t>
        </is>
      </c>
      <c r="F82" s="8" t="inlineStr">
        <is>
          <t>high</t>
        </is>
      </c>
      <c r="G82" s="9" t="n">
        <v>0</v>
      </c>
    </row>
    <row r="83">
      <c r="A83" s="8" t="inlineStr">
        <is>
          <t>Balance sheet (detail)</t>
        </is>
      </c>
      <c r="B83" s="8" t="inlineStr">
        <is>
          <t>B16</t>
        </is>
      </c>
      <c r="C83" s="8" t="inlineStr">
        <is>
          <t>10c. Land, buildings, and equipment, net</t>
        </is>
      </c>
      <c r="D83" s="8" t="inlineStr">
        <is>
          <t>10cE</t>
        </is>
      </c>
      <c r="E83" s="8" t="inlineStr">
        <is>
          <t>part_x_balance_sheet.land_bldg_equip_net_eoy</t>
        </is>
      </c>
      <c r="F83" s="8" t="inlineStr">
        <is>
          <t>high</t>
        </is>
      </c>
      <c r="G83" s="9" t="n">
        <v>144890</v>
      </c>
    </row>
    <row r="84">
      <c r="A84" s="8" t="inlineStr">
        <is>
          <t>Balance sheet (detail)</t>
        </is>
      </c>
      <c r="B84" s="8" t="inlineStr">
        <is>
          <t>C16</t>
        </is>
      </c>
      <c r="C84" s="8" t="inlineStr">
        <is>
          <t>10c. Land, buildings, and equipment, net</t>
        </is>
      </c>
      <c r="D84" s="8" t="inlineStr">
        <is>
          <t>10cE</t>
        </is>
      </c>
      <c r="E84" s="8" t="inlineStr">
        <is>
          <t>part_x_balance_sheet.land_bldg_equip_net_eoy</t>
        </is>
      </c>
      <c r="F84" s="8" t="inlineStr">
        <is>
          <t>high</t>
        </is>
      </c>
      <c r="G84" s="9" t="n">
        <v>235434</v>
      </c>
    </row>
    <row r="85">
      <c r="A85" s="8" t="inlineStr">
        <is>
          <t>Balance sheet (detail)</t>
        </is>
      </c>
      <c r="B85" s="8" t="inlineStr">
        <is>
          <t>D16</t>
        </is>
      </c>
      <c r="C85" s="8" t="inlineStr">
        <is>
          <t>10c. Land, buildings, and equipment, net</t>
        </is>
      </c>
      <c r="D85" s="8" t="inlineStr">
        <is>
          <t>10cE</t>
        </is>
      </c>
      <c r="E85" s="8" t="inlineStr">
        <is>
          <t>part_x_balance_sheet.land_bldg_equip_net_eoy</t>
        </is>
      </c>
      <c r="F85" s="8" t="inlineStr">
        <is>
          <t>high</t>
        </is>
      </c>
      <c r="G85" s="9" t="n">
        <v>225678</v>
      </c>
    </row>
    <row r="86">
      <c r="A86" s="8" t="inlineStr">
        <is>
          <t>Balance sheet (detail)</t>
        </is>
      </c>
      <c r="B86" s="8" t="inlineStr">
        <is>
          <t>B17</t>
        </is>
      </c>
      <c r="C86" s="8" t="inlineStr">
        <is>
          <t>11. Investments - publicly traded securities</t>
        </is>
      </c>
      <c r="D86" s="8" t="inlineStr">
        <is>
          <t>11E</t>
        </is>
      </c>
      <c r="E86" s="8" t="inlineStr">
        <is>
          <t>part_x_balance_sheet.investments_public_securities_eoy</t>
        </is>
      </c>
      <c r="F86" s="8" t="inlineStr">
        <is>
          <t>high</t>
        </is>
      </c>
      <c r="G86" s="9" t="n">
        <v>0</v>
      </c>
    </row>
    <row r="87">
      <c r="A87" s="8" t="inlineStr">
        <is>
          <t>Balance sheet (detail)</t>
        </is>
      </c>
      <c r="B87" s="8" t="inlineStr">
        <is>
          <t>B18</t>
        </is>
      </c>
      <c r="C87" s="8" t="inlineStr">
        <is>
          <t>12. Investments - other securities</t>
        </is>
      </c>
      <c r="D87" s="8" t="inlineStr">
        <is>
          <t>12E</t>
        </is>
      </c>
      <c r="E87" s="8" t="inlineStr">
        <is>
          <t>part_x_balance_sheet.investments_other_securities_eoy</t>
        </is>
      </c>
      <c r="F87" s="8" t="inlineStr">
        <is>
          <t>high</t>
        </is>
      </c>
      <c r="G87" s="9" t="n">
        <v>0</v>
      </c>
    </row>
    <row r="88">
      <c r="A88" s="8" t="inlineStr">
        <is>
          <t>Balance sheet (detail)</t>
        </is>
      </c>
      <c r="B88" s="8" t="inlineStr">
        <is>
          <t>B19</t>
        </is>
      </c>
      <c r="C88" s="8" t="inlineStr">
        <is>
          <t>13. Investments - program-related</t>
        </is>
      </c>
      <c r="D88" s="8" t="inlineStr">
        <is>
          <t>13E</t>
        </is>
      </c>
      <c r="E88" s="8" t="inlineStr">
        <is>
          <t>part_x_balance_sheet.investments_program_related_eoy</t>
        </is>
      </c>
      <c r="F88" s="8" t="inlineStr">
        <is>
          <t>high</t>
        </is>
      </c>
      <c r="G88" s="9" t="n">
        <v>0</v>
      </c>
    </row>
    <row r="89">
      <c r="A89" s="8" t="inlineStr">
        <is>
          <t>Balance sheet (detail)</t>
        </is>
      </c>
      <c r="B89" s="8" t="inlineStr">
        <is>
          <t>B20</t>
        </is>
      </c>
      <c r="C89" s="8" t="inlineStr">
        <is>
          <t>14. Intangible assets</t>
        </is>
      </c>
      <c r="D89" s="8" t="inlineStr">
        <is>
          <t>14E</t>
        </is>
      </c>
      <c r="E89" s="8" t="inlineStr">
        <is>
          <t>part_x_balance_sheet.intangible_assets_eoy</t>
        </is>
      </c>
      <c r="F89" s="8" t="inlineStr">
        <is>
          <t>high</t>
        </is>
      </c>
      <c r="G89" s="9" t="n">
        <v>0</v>
      </c>
    </row>
    <row r="90">
      <c r="A90" s="8" t="inlineStr">
        <is>
          <t>Balance sheet (detail)</t>
        </is>
      </c>
      <c r="B90" s="8" t="inlineStr">
        <is>
          <t>B21</t>
        </is>
      </c>
      <c r="C90" s="8" t="inlineStr">
        <is>
          <t>15. Other assets</t>
        </is>
      </c>
      <c r="D90" s="8" t="inlineStr">
        <is>
          <t>15E</t>
        </is>
      </c>
      <c r="E90" s="8" t="inlineStr">
        <is>
          <t>part_x_balance_sheet.other_assets_eoy</t>
        </is>
      </c>
      <c r="F90" s="8" t="inlineStr">
        <is>
          <t>high</t>
        </is>
      </c>
      <c r="G90" s="9" t="n">
        <v>275483</v>
      </c>
    </row>
    <row r="91">
      <c r="A91" s="8" t="inlineStr">
        <is>
          <t>Balance sheet (detail)</t>
        </is>
      </c>
      <c r="B91" s="8" t="inlineStr">
        <is>
          <t>C21</t>
        </is>
      </c>
      <c r="C91" s="8" t="inlineStr">
        <is>
          <t>15. Other assets</t>
        </is>
      </c>
      <c r="D91" s="8" t="inlineStr">
        <is>
          <t>15E</t>
        </is>
      </c>
      <c r="E91" s="8" t="inlineStr">
        <is>
          <t>part_x_balance_sheet.other_assets_eoy</t>
        </is>
      </c>
      <c r="F91" s="8" t="inlineStr">
        <is>
          <t>high</t>
        </is>
      </c>
      <c r="G91" s="9" t="n">
        <v>176429</v>
      </c>
    </row>
    <row r="92">
      <c r="A92" s="8" t="inlineStr">
        <is>
          <t>Balance sheet (detail)</t>
        </is>
      </c>
      <c r="B92" s="8" t="inlineStr">
        <is>
          <t>D21</t>
        </is>
      </c>
      <c r="C92" s="8" t="inlineStr">
        <is>
          <t>15. Other assets</t>
        </is>
      </c>
      <c r="D92" s="8" t="inlineStr">
        <is>
          <t>15E</t>
        </is>
      </c>
      <c r="E92" s="8" t="inlineStr">
        <is>
          <t>part_x_balance_sheet.other_assets_eoy</t>
        </is>
      </c>
      <c r="F92" s="8" t="inlineStr">
        <is>
          <t>high</t>
        </is>
      </c>
      <c r="G92" s="9" t="n">
        <v>183085</v>
      </c>
    </row>
    <row r="93">
      <c r="A93" s="8" t="inlineStr">
        <is>
          <t>Balance sheet (detail)</t>
        </is>
      </c>
      <c r="B93" s="8" t="inlineStr">
        <is>
          <t>B25</t>
        </is>
      </c>
      <c r="C93" s="8" t="inlineStr">
        <is>
          <t>25. Other liabilities</t>
        </is>
      </c>
      <c r="D93" s="8" t="inlineStr">
        <is>
          <t>25E</t>
        </is>
      </c>
      <c r="E93" s="8" t="inlineStr">
        <is>
          <t>part_x_balance_sheet.other_liabilities_eoy</t>
        </is>
      </c>
      <c r="F93" s="8" t="inlineStr">
        <is>
          <t>high</t>
        </is>
      </c>
      <c r="G93" s="9" t="n">
        <v>258747</v>
      </c>
    </row>
    <row r="94">
      <c r="A94" s="8" t="inlineStr">
        <is>
          <t>Balance sheet (detail)</t>
        </is>
      </c>
      <c r="B94" s="8" t="inlineStr">
        <is>
          <t>C25</t>
        </is>
      </c>
      <c r="C94" s="8" t="inlineStr">
        <is>
          <t>25. Other liabilities</t>
        </is>
      </c>
      <c r="D94" s="8" t="inlineStr">
        <is>
          <t>25E</t>
        </is>
      </c>
      <c r="E94" s="8" t="inlineStr">
        <is>
          <t>part_x_balance_sheet.other_liabilities_eoy</t>
        </is>
      </c>
      <c r="F94" s="8" t="inlineStr">
        <is>
          <t>high</t>
        </is>
      </c>
      <c r="G94" s="9" t="n">
        <v>262133</v>
      </c>
    </row>
    <row r="95">
      <c r="A95" s="8" t="inlineStr">
        <is>
          <t>Balance sheet (detail)</t>
        </is>
      </c>
      <c r="B95" s="8" t="inlineStr">
        <is>
          <t>D25</t>
        </is>
      </c>
      <c r="C95" s="8" t="inlineStr">
        <is>
          <t>25. Other liabilities</t>
        </is>
      </c>
      <c r="D95" s="8" t="inlineStr">
        <is>
          <t>25E</t>
        </is>
      </c>
      <c r="E95" s="8" t="inlineStr">
        <is>
          <t>part_x_balance_sheet.other_liabilities_eoy</t>
        </is>
      </c>
      <c r="F95" s="8" t="inlineStr">
        <is>
          <t>high</t>
        </is>
      </c>
      <c r="G95" s="9" t="n">
        <v>262133</v>
      </c>
    </row>
    <row r="96">
      <c r="A96" s="8" t="inlineStr">
        <is>
          <t>Balance sheet (detail)</t>
        </is>
      </c>
      <c r="B96" s="8" t="inlineStr">
        <is>
          <t>B29</t>
        </is>
      </c>
      <c r="C96" s="8" t="inlineStr">
        <is>
          <t>27. Net assets without donor restrictions</t>
        </is>
      </c>
      <c r="D96" s="8" t="inlineStr">
        <is>
          <t>27E</t>
        </is>
      </c>
      <c r="E96" s="8" t="inlineStr">
        <is>
          <t>part_x_balance_sheet.net_assets_no_donor_restriction_eoy</t>
        </is>
      </c>
      <c r="F96" s="8" t="inlineStr">
        <is>
          <t>high</t>
        </is>
      </c>
      <c r="G96" s="9" t="n">
        <v>192024</v>
      </c>
    </row>
    <row r="97">
      <c r="A97" s="8" t="inlineStr">
        <is>
          <t>Balance sheet (detail)</t>
        </is>
      </c>
      <c r="B97" s="8" t="inlineStr">
        <is>
          <t>C29</t>
        </is>
      </c>
      <c r="C97" s="8" t="inlineStr">
        <is>
          <t>27. Net assets without donor restrictions</t>
        </is>
      </c>
      <c r="D97" s="8" t="inlineStr">
        <is>
          <t>27E</t>
        </is>
      </c>
      <c r="E97" s="8" t="inlineStr">
        <is>
          <t>part_x_balance_sheet.net_assets_no_donor_restriction_eoy</t>
        </is>
      </c>
      <c r="F97" s="8" t="inlineStr">
        <is>
          <t>high</t>
        </is>
      </c>
      <c r="G97" s="9" t="n">
        <v>161708</v>
      </c>
    </row>
    <row r="98">
      <c r="A98" s="8" t="inlineStr">
        <is>
          <t>Balance sheet (detail)</t>
        </is>
      </c>
      <c r="B98" s="8" t="inlineStr">
        <is>
          <t>D29</t>
        </is>
      </c>
      <c r="C98" s="8" t="inlineStr">
        <is>
          <t>27. Net assets without donor restrictions</t>
        </is>
      </c>
      <c r="D98" s="8" t="inlineStr">
        <is>
          <t>27E</t>
        </is>
      </c>
      <c r="E98" s="8" t="inlineStr">
        <is>
          <t>part_x_balance_sheet.net_assets_no_donor_restriction_eoy</t>
        </is>
      </c>
      <c r="F98" s="8" t="inlineStr">
        <is>
          <t>high</t>
        </is>
      </c>
      <c r="G98" s="9" t="n">
        <v>170016</v>
      </c>
    </row>
    <row r="99">
      <c r="A99" s="8" t="inlineStr">
        <is>
          <t>Net-assets reconciliation</t>
        </is>
      </c>
      <c r="B99" s="8" t="inlineStr">
        <is>
          <t>B7</t>
        </is>
      </c>
      <c r="C99" s="8" t="inlineStr">
        <is>
          <t>4. Net assets, beginning of year</t>
        </is>
      </c>
      <c r="D99" s="8" t="inlineStr">
        <is>
          <t>Part XI line 4</t>
        </is>
      </c>
      <c r="E99" s="8" t="inlineStr">
        <is>
          <t>part_xi_reconciliation.net_assets_boy</t>
        </is>
      </c>
      <c r="F99" s="8" t="inlineStr">
        <is>
          <t>high</t>
        </is>
      </c>
      <c r="G99" s="9" t="n">
        <v>105812</v>
      </c>
    </row>
    <row r="100">
      <c r="A100" s="8" t="inlineStr">
        <is>
          <t>Net-assets reconciliation</t>
        </is>
      </c>
      <c r="B100" s="8" t="inlineStr">
        <is>
          <t>C7</t>
        </is>
      </c>
      <c r="C100" s="8" t="inlineStr">
        <is>
          <t>4. Net assets, beginning of year</t>
        </is>
      </c>
      <c r="D100" s="8" t="inlineStr">
        <is>
          <t>Part XI line 4</t>
        </is>
      </c>
      <c r="E100" s="8" t="inlineStr">
        <is>
          <t>part_xi_reconciliation.net_assets_boy</t>
        </is>
      </c>
      <c r="F100" s="8" t="inlineStr">
        <is>
          <t>high</t>
        </is>
      </c>
      <c r="G100" s="9" t="n">
        <v>192024</v>
      </c>
    </row>
    <row r="101">
      <c r="A101" s="8" t="inlineStr">
        <is>
          <t>Net-assets reconciliation</t>
        </is>
      </c>
      <c r="B101" s="8" t="inlineStr">
        <is>
          <t>D7</t>
        </is>
      </c>
      <c r="C101" s="8" t="inlineStr">
        <is>
          <t>4. Net assets, beginning of year</t>
        </is>
      </c>
      <c r="D101" s="8" t="inlineStr">
        <is>
          <t>Part XI line 4</t>
        </is>
      </c>
      <c r="E101" s="8" t="inlineStr">
        <is>
          <t>part_xi_reconciliation.net_assets_boy</t>
        </is>
      </c>
      <c r="F101" s="8" t="inlineStr">
        <is>
          <t>high</t>
        </is>
      </c>
      <c r="G101" s="9" t="n">
        <v>161708</v>
      </c>
    </row>
    <row r="102">
      <c r="A102" s="8" t="inlineStr">
        <is>
          <t>Net-assets reconciliation</t>
        </is>
      </c>
      <c r="B102" s="8" t="inlineStr">
        <is>
          <t>B8</t>
        </is>
      </c>
      <c r="C102" s="8" t="inlineStr">
        <is>
          <t>3. Revenue less expenses</t>
        </is>
      </c>
      <c r="D102" s="8" t="inlineStr">
        <is>
          <t>Part XI line 3</t>
        </is>
      </c>
      <c r="E102" s="8" t="inlineStr">
        <is>
          <t>part_xi_reconciliation.reconciliation_revenue_expenses</t>
        </is>
      </c>
      <c r="F102" s="8" t="inlineStr">
        <is>
          <t>high</t>
        </is>
      </c>
      <c r="G102" s="9" t="n">
        <v>86212</v>
      </c>
    </row>
    <row r="103">
      <c r="A103" s="8" t="inlineStr">
        <is>
          <t>Net-assets reconciliation</t>
        </is>
      </c>
      <c r="B103" s="8" t="inlineStr">
        <is>
          <t>C8</t>
        </is>
      </c>
      <c r="C103" s="8" t="inlineStr">
        <is>
          <t>3. Revenue less expenses</t>
        </is>
      </c>
      <c r="D103" s="8" t="inlineStr">
        <is>
          <t>Part XI line 3</t>
        </is>
      </c>
      <c r="E103" s="8" t="inlineStr">
        <is>
          <t>part_xi_reconciliation.reconciliation_revenue_expenses</t>
        </is>
      </c>
      <c r="F103" s="8" t="inlineStr">
        <is>
          <t>high</t>
        </is>
      </c>
      <c r="G103" s="9" t="n">
        <v>-30316</v>
      </c>
    </row>
    <row r="104">
      <c r="A104" s="8" t="inlineStr">
        <is>
          <t>Net-assets reconciliation</t>
        </is>
      </c>
      <c r="B104" s="8" t="inlineStr">
        <is>
          <t>D8</t>
        </is>
      </c>
      <c r="C104" s="8" t="inlineStr">
        <is>
          <t>3. Revenue less expenses</t>
        </is>
      </c>
      <c r="D104" s="8" t="inlineStr">
        <is>
          <t>Part XI line 3</t>
        </is>
      </c>
      <c r="E104" s="8" t="inlineStr">
        <is>
          <t>part_xi_reconciliation.reconciliation_revenue_expenses</t>
        </is>
      </c>
      <c r="F104" s="8" t="inlineStr">
        <is>
          <t>high</t>
        </is>
      </c>
      <c r="G104" s="9" t="n">
        <v>8308</v>
      </c>
    </row>
    <row r="106">
      <c r="A106" s="29" t="inlineStr">
        <is>
          <t>C. Tie-out checks (filed vs computed; any nonzero variance is flagged red)</t>
        </is>
      </c>
      <c r="B106" s="7" t="n"/>
      <c r="C106" s="7" t="n"/>
      <c r="D106" s="7" t="n"/>
      <c r="E106" s="7" t="n"/>
      <c r="F106" s="7" t="n"/>
      <c r="G106" s="7" t="n"/>
      <c r="H106" s="7" t="n"/>
      <c r="I106" s="7" t="n"/>
      <c r="J106" s="7" t="n"/>
      <c r="K106" s="7" t="n"/>
    </row>
    <row r="107">
      <c r="A107" s="5" t="inlineStr">
        <is>
          <t>Tab</t>
        </is>
      </c>
      <c r="B107" s="5" t="inlineStr">
        <is>
          <t>Check</t>
        </is>
      </c>
      <c r="C107" s="5" t="inlineStr">
        <is>
          <t>Fiscal year</t>
        </is>
      </c>
      <c r="D107" s="5" t="inlineStr">
        <is>
          <t>Filed</t>
        </is>
      </c>
      <c r="E107" s="5" t="inlineStr">
        <is>
          <t>Computed</t>
        </is>
      </c>
      <c r="F107" s="5" t="inlineStr">
        <is>
          <t>Variance (computed - filed)</t>
        </is>
      </c>
    </row>
    <row r="108">
      <c r="A108" s="18" t="inlineStr">
        <is>
          <t>Revenue (detail)</t>
        </is>
      </c>
      <c r="B108" s="18" t="inlineStr">
        <is>
          <t>12. Total revenue</t>
        </is>
      </c>
      <c r="C108" s="18" t="inlineStr">
        <is>
          <t>FY2020</t>
        </is>
      </c>
      <c r="D108" s="9" t="n">
        <v>218417</v>
      </c>
      <c r="E108" s="9">
        <f>'Revenue (detail)'!B13</f>
        <v/>
      </c>
      <c r="F108" s="9">
        <f>E108-D108</f>
        <v/>
      </c>
    </row>
    <row r="109">
      <c r="A109" s="18" t="inlineStr">
        <is>
          <t>Revenue (detail)</t>
        </is>
      </c>
      <c r="B109" s="18" t="inlineStr">
        <is>
          <t>12. Total revenue</t>
        </is>
      </c>
      <c r="C109" s="18" t="inlineStr">
        <is>
          <t>FY2021</t>
        </is>
      </c>
      <c r="D109" s="9" t="n">
        <v>94582</v>
      </c>
      <c r="E109" s="9">
        <f>'Revenue (detail)'!C13</f>
        <v/>
      </c>
      <c r="F109" s="9">
        <f>E109-D109</f>
        <v/>
      </c>
    </row>
    <row r="110">
      <c r="A110" s="18" t="inlineStr">
        <is>
          <t>Revenue (detail)</t>
        </is>
      </c>
      <c r="B110" s="18" t="inlineStr">
        <is>
          <t>12. Total revenue</t>
        </is>
      </c>
      <c r="C110" s="18" t="inlineStr">
        <is>
          <t>FY2022</t>
        </is>
      </c>
      <c r="D110" s="9" t="n">
        <v>165552</v>
      </c>
      <c r="E110" s="9">
        <f>'Revenue (detail)'!D13</f>
        <v/>
      </c>
      <c r="F110" s="9">
        <f>E110-D110</f>
        <v/>
      </c>
    </row>
    <row r="111">
      <c r="A111" s="18" t="inlineStr">
        <is>
          <t>Revenue (detail)</t>
        </is>
      </c>
      <c r="B111" s="18" t="inlineStr">
        <is>
          <t>2g program service revenue = sum of lines 2a-2f (FY2022)</t>
        </is>
      </c>
      <c r="C111" s="18" t="inlineStr">
        <is>
          <t>FY2022</t>
        </is>
      </c>
      <c r="D111" s="9" t="n">
        <v>165552</v>
      </c>
      <c r="E111" s="9">
        <f>SUM('Revenue (detail)'!C17:C18)</f>
        <v/>
      </c>
      <c r="F111" s="9">
        <f>E111-D111</f>
        <v/>
      </c>
    </row>
    <row r="112">
      <c r="A112" s="18" t="inlineStr">
        <is>
          <t>Operating expenses (detail)</t>
        </is>
      </c>
      <c r="B112" s="18" t="inlineStr">
        <is>
          <t>25. Total functional expenses</t>
        </is>
      </c>
      <c r="C112" s="18" t="inlineStr">
        <is>
          <t>FY2020</t>
        </is>
      </c>
      <c r="D112" s="9" t="n">
        <v>132205</v>
      </c>
      <c r="E112" s="9">
        <f>'Operating expenses (detail)'!B41</f>
        <v/>
      </c>
      <c r="F112" s="9">
        <f>E112-D112</f>
        <v/>
      </c>
    </row>
    <row r="113">
      <c r="A113" s="18" t="inlineStr">
        <is>
          <t>Operating expenses (detail)</t>
        </is>
      </c>
      <c r="B113" s="18" t="inlineStr">
        <is>
          <t>25. Total functional expenses</t>
        </is>
      </c>
      <c r="C113" s="18" t="inlineStr">
        <is>
          <t>FY2021</t>
        </is>
      </c>
      <c r="D113" s="9" t="n">
        <v>124898</v>
      </c>
      <c r="E113" s="9">
        <f>'Operating expenses (detail)'!C41</f>
        <v/>
      </c>
      <c r="F113" s="9">
        <f>E113-D113</f>
        <v/>
      </c>
    </row>
    <row r="114">
      <c r="A114" s="18" t="inlineStr">
        <is>
          <t>Operating expenses (detail)</t>
        </is>
      </c>
      <c r="B114" s="18" t="inlineStr">
        <is>
          <t>25. Total functional expenses</t>
        </is>
      </c>
      <c r="C114" s="18" t="inlineStr">
        <is>
          <t>FY2022</t>
        </is>
      </c>
      <c r="D114" s="9" t="n">
        <v>157244</v>
      </c>
      <c r="E114" s="9">
        <f>'Operating expenses (detail)'!D41</f>
        <v/>
      </c>
      <c r="F114" s="9">
        <f>E114-D114</f>
        <v/>
      </c>
    </row>
    <row r="115">
      <c r="A115" s="18" t="inlineStr">
        <is>
          <t>Operating expenses (detail)</t>
        </is>
      </c>
      <c r="B115" s="18" t="inlineStr">
        <is>
          <t>Part IX column split: col A = B + C + D (FY2022)</t>
        </is>
      </c>
      <c r="C115" s="18" t="inlineStr">
        <is>
          <t>FY2022</t>
        </is>
      </c>
      <c r="D115" s="9">
        <f>'Operating expenses (detail)'!B50</f>
        <v/>
      </c>
      <c r="E115" s="9">
        <f>'Operating expenses (detail)'!C50+'Operating expenses (detail)'!D50+'Operating expenses (detail)'!E50</f>
        <v/>
      </c>
      <c r="F115" s="9">
        <f>E115-D115</f>
        <v/>
      </c>
    </row>
    <row r="116">
      <c r="A116" s="18" t="inlineStr">
        <is>
          <t>Balance sheet (detail)</t>
        </is>
      </c>
      <c r="B116" s="18" t="inlineStr">
        <is>
          <t>16. Total assets</t>
        </is>
      </c>
      <c r="C116" s="18" t="inlineStr">
        <is>
          <t>FY2020</t>
        </is>
      </c>
      <c r="D116" s="9" t="n">
        <v>450771</v>
      </c>
      <c r="E116" s="9">
        <f>'Balance sheet (detail)'!B22</f>
        <v/>
      </c>
      <c r="F116" s="9">
        <f>E116-D116</f>
        <v/>
      </c>
    </row>
    <row r="117">
      <c r="A117" s="18" t="inlineStr">
        <is>
          <t>Balance sheet (detail)</t>
        </is>
      </c>
      <c r="B117" s="18" t="inlineStr">
        <is>
          <t>16. Total assets</t>
        </is>
      </c>
      <c r="C117" s="18" t="inlineStr">
        <is>
          <t>FY2021</t>
        </is>
      </c>
      <c r="D117" s="9" t="n">
        <v>423841</v>
      </c>
      <c r="E117" s="9">
        <f>'Balance sheet (detail)'!C22</f>
        <v/>
      </c>
      <c r="F117" s="9">
        <f>E117-D117</f>
        <v/>
      </c>
    </row>
    <row r="118">
      <c r="A118" s="18" t="inlineStr">
        <is>
          <t>Balance sheet (detail)</t>
        </is>
      </c>
      <c r="B118" s="18" t="inlineStr">
        <is>
          <t>16. Total assets</t>
        </is>
      </c>
      <c r="C118" s="18" t="inlineStr">
        <is>
          <t>FY2022</t>
        </is>
      </c>
      <c r="D118" s="9" t="n">
        <v>432149</v>
      </c>
      <c r="E118" s="9">
        <f>'Balance sheet (detail)'!D22</f>
        <v/>
      </c>
      <c r="F118" s="9">
        <f>E118-D118</f>
        <v/>
      </c>
    </row>
    <row r="119">
      <c r="A119" s="18" t="inlineStr">
        <is>
          <t>Balance sheet (detail)</t>
        </is>
      </c>
      <c r="B119" s="18" t="inlineStr">
        <is>
          <t>26. Total liabilities</t>
        </is>
      </c>
      <c r="C119" s="18" t="inlineStr">
        <is>
          <t>FY2020</t>
        </is>
      </c>
      <c r="D119" s="9" t="n">
        <v>258747</v>
      </c>
      <c r="E119" s="9">
        <f>'Balance sheet (detail)'!B26</f>
        <v/>
      </c>
      <c r="F119" s="9">
        <f>E119-D119</f>
        <v/>
      </c>
    </row>
    <row r="120">
      <c r="A120" s="18" t="inlineStr">
        <is>
          <t>Balance sheet (detail)</t>
        </is>
      </c>
      <c r="B120" s="18" t="inlineStr">
        <is>
          <t>26. Total liabilities</t>
        </is>
      </c>
      <c r="C120" s="18" t="inlineStr">
        <is>
          <t>FY2021</t>
        </is>
      </c>
      <c r="D120" s="9" t="n">
        <v>262133</v>
      </c>
      <c r="E120" s="9">
        <f>'Balance sheet (detail)'!C26</f>
        <v/>
      </c>
      <c r="F120" s="9">
        <f>E120-D120</f>
        <v/>
      </c>
    </row>
    <row r="121">
      <c r="A121" s="18" t="inlineStr">
        <is>
          <t>Balance sheet (detail)</t>
        </is>
      </c>
      <c r="B121" s="18" t="inlineStr">
        <is>
          <t>26. Total liabilities</t>
        </is>
      </c>
      <c r="C121" s="18" t="inlineStr">
        <is>
          <t>FY2022</t>
        </is>
      </c>
      <c r="D121" s="9" t="n">
        <v>262133</v>
      </c>
      <c r="E121" s="9">
        <f>'Balance sheet (detail)'!D26</f>
        <v/>
      </c>
      <c r="F121" s="9">
        <f>E121-D121</f>
        <v/>
      </c>
    </row>
    <row r="122">
      <c r="A122" s="18" t="inlineStr">
        <is>
          <t>Balance sheet (detail)</t>
        </is>
      </c>
      <c r="B122" s="18" t="inlineStr">
        <is>
          <t>32. Total net assets / fund balances</t>
        </is>
      </c>
      <c r="C122" s="18" t="inlineStr">
        <is>
          <t>FY2020</t>
        </is>
      </c>
      <c r="D122" s="9" t="n">
        <v>192024</v>
      </c>
      <c r="E122" s="9">
        <f>'Balance sheet (detail)'!B30</f>
        <v/>
      </c>
      <c r="F122" s="9">
        <f>E122-D122</f>
        <v/>
      </c>
    </row>
    <row r="123">
      <c r="A123" s="18" t="inlineStr">
        <is>
          <t>Balance sheet (detail)</t>
        </is>
      </c>
      <c r="B123" s="18" t="inlineStr">
        <is>
          <t>32. Total net assets / fund balances</t>
        </is>
      </c>
      <c r="C123" s="18" t="inlineStr">
        <is>
          <t>FY2021</t>
        </is>
      </c>
      <c r="D123" s="9" t="n">
        <v>161708</v>
      </c>
      <c r="E123" s="9">
        <f>'Balance sheet (detail)'!C30</f>
        <v/>
      </c>
      <c r="F123" s="9">
        <f>E123-D123</f>
        <v/>
      </c>
    </row>
    <row r="124">
      <c r="A124" s="18" t="inlineStr">
        <is>
          <t>Balance sheet (detail)</t>
        </is>
      </c>
      <c r="B124" s="18" t="inlineStr">
        <is>
          <t>32. Total net assets / fund balances</t>
        </is>
      </c>
      <c r="C124" s="18" t="inlineStr">
        <is>
          <t>FY2022</t>
        </is>
      </c>
      <c r="D124" s="9" t="n">
        <v>170016</v>
      </c>
      <c r="E124" s="9">
        <f>'Balance sheet (detail)'!D30</f>
        <v/>
      </c>
      <c r="F124" s="9">
        <f>E124-D124</f>
        <v/>
      </c>
    </row>
    <row r="125">
      <c r="A125" s="18" t="inlineStr">
        <is>
          <t>Balance sheet (detail)</t>
        </is>
      </c>
      <c r="B125" s="18" t="inlineStr">
        <is>
          <t>Balance sheet identity: line 16 = line 26 + line 32 (EOY)</t>
        </is>
      </c>
      <c r="C125" s="18" t="inlineStr">
        <is>
          <t>FY2020</t>
        </is>
      </c>
      <c r="D125" s="9">
        <f>'Balance sheet (detail)'!B22</f>
        <v/>
      </c>
      <c r="E125" s="9">
        <f>SUM('Balance sheet (detail)'!B26,'Balance sheet (detail)'!B30)</f>
        <v/>
      </c>
      <c r="F125" s="9">
        <f>E125-D125</f>
        <v/>
      </c>
    </row>
    <row r="126">
      <c r="A126" s="18" t="inlineStr">
        <is>
          <t>Balance sheet (detail)</t>
        </is>
      </c>
      <c r="B126" s="18" t="inlineStr">
        <is>
          <t>Balance sheet identity: line 16 = line 26 + line 32 (EOY)</t>
        </is>
      </c>
      <c r="C126" s="18" t="inlineStr">
        <is>
          <t>FY2021</t>
        </is>
      </c>
      <c r="D126" s="9">
        <f>'Balance sheet (detail)'!C22</f>
        <v/>
      </c>
      <c r="E126" s="9">
        <f>SUM('Balance sheet (detail)'!C26,'Balance sheet (detail)'!C30)</f>
        <v/>
      </c>
      <c r="F126" s="9">
        <f>E126-D126</f>
        <v/>
      </c>
    </row>
    <row r="127">
      <c r="A127" s="18" t="inlineStr">
        <is>
          <t>Balance sheet (detail)</t>
        </is>
      </c>
      <c r="B127" s="18" t="inlineStr">
        <is>
          <t>Balance sheet identity: line 16 = line 26 + line 32 (EOY)</t>
        </is>
      </c>
      <c r="C127" s="18" t="inlineStr">
        <is>
          <t>FY2022</t>
        </is>
      </c>
      <c r="D127" s="9">
        <f>'Balance sheet (detail)'!D22</f>
        <v/>
      </c>
      <c r="E127" s="9">
        <f>SUM('Balance sheet (detail)'!D26,'Balance sheet (detail)'!D30)</f>
        <v/>
      </c>
      <c r="F127" s="9">
        <f>E127-D127</f>
        <v/>
      </c>
    </row>
    <row r="128">
      <c r="A128" s="18" t="inlineStr">
        <is>
          <t>Net-assets reconciliation</t>
        </is>
      </c>
      <c r="B128" s="18" t="inlineStr">
        <is>
          <t>10. Net assets, end of year</t>
        </is>
      </c>
      <c r="C128" s="18" t="inlineStr">
        <is>
          <t>FY2020</t>
        </is>
      </c>
      <c r="D128" s="9" t="n">
        <v>192024</v>
      </c>
      <c r="E128" s="9">
        <f>'Net-assets reconciliation'!B11</f>
        <v/>
      </c>
      <c r="F128" s="9">
        <f>E128-D128</f>
        <v/>
      </c>
    </row>
    <row r="129">
      <c r="A129" s="18" t="inlineStr">
        <is>
          <t>Net-assets reconciliation</t>
        </is>
      </c>
      <c r="B129" s="18" t="inlineStr">
        <is>
          <t>10. Net assets, end of year</t>
        </is>
      </c>
      <c r="C129" s="18" t="inlineStr">
        <is>
          <t>FY2021</t>
        </is>
      </c>
      <c r="D129" s="9" t="n">
        <v>161708</v>
      </c>
      <c r="E129" s="9">
        <f>'Net-assets reconciliation'!C11</f>
        <v/>
      </c>
      <c r="F129" s="9">
        <f>E129-D129</f>
        <v/>
      </c>
    </row>
    <row r="130">
      <c r="A130" s="18" t="inlineStr">
        <is>
          <t>Net-assets reconciliation</t>
        </is>
      </c>
      <c r="B130" s="18" t="inlineStr">
        <is>
          <t>10. Net assets, end of year</t>
        </is>
      </c>
      <c r="C130" s="18" t="inlineStr">
        <is>
          <t>FY2022</t>
        </is>
      </c>
      <c r="D130" s="9" t="n">
        <v>170016</v>
      </c>
      <c r="E130" s="9">
        <f>'Net-assets reconciliation'!D11</f>
        <v/>
      </c>
      <c r="F130" s="9">
        <f>E130-D130</f>
        <v/>
      </c>
    </row>
    <row r="132">
      <c r="A132" s="29" t="inlineStr">
        <is>
          <t>D. Preparer / auditor trail (one row per fiscal year, as filed)</t>
        </is>
      </c>
      <c r="B132" s="7" t="n"/>
      <c r="C132" s="7" t="n"/>
      <c r="D132" s="7" t="n"/>
      <c r="E132" s="7" t="n"/>
      <c r="F132" s="7" t="n"/>
      <c r="G132" s="7" t="n"/>
      <c r="H132" s="7" t="n"/>
      <c r="I132" s="7" t="n"/>
      <c r="J132" s="7" t="n"/>
      <c r="K132" s="7" t="n"/>
    </row>
    <row r="133">
      <c r="A133" s="5" t="inlineStr">
        <is>
          <t>Fiscal year</t>
        </is>
      </c>
      <c r="B133" s="5" t="inlineStr">
        <is>
          <t>Paid preparer</t>
        </is>
      </c>
      <c r="C133" s="5" t="inlineStr">
        <is>
          <t>Preparer firm</t>
        </is>
      </c>
      <c r="D133" s="5" t="inlineStr">
        <is>
          <t>Independent auditor</t>
        </is>
      </c>
      <c r="E133" s="5" t="inlineStr">
        <is>
          <t>Citation</t>
        </is>
      </c>
    </row>
    <row r="134" ht="42" customHeight="1">
      <c r="A134" s="27" t="inlineStr">
        <is>
          <t>FY2020</t>
        </is>
      </c>
      <c r="B134" s="8" t="inlineStr">
        <is>
          <t>Margaret Schopp</t>
        </is>
      </c>
      <c r="C134" s="8" t="inlineStr">
        <is>
          <t>Schopp &amp; Co CPA</t>
        </is>
      </c>
      <c r="D134" s="30" t="inlineStr">
        <is>
          <t>not reported</t>
        </is>
      </c>
      <c r="E134" s="21" t="inlineStr">
        <is>
          <t>Form 990 Return Header, Paid Preparer block (return_header.preparer_person_name / preparer_firm_name); auditor: Part XII line 2 reports audited financial statements but does not name the firm.</t>
        </is>
      </c>
    </row>
    <row r="135" ht="42" customHeight="1">
      <c r="A135" s="27" t="inlineStr">
        <is>
          <t>FY2021</t>
        </is>
      </c>
      <c r="B135" s="8" t="inlineStr">
        <is>
          <t>Janine Weber EA</t>
        </is>
      </c>
      <c r="C135" s="8" t="inlineStr">
        <is>
          <t>Janine Weber Bookkeeping and Tax</t>
        </is>
      </c>
      <c r="D135" s="30" t="inlineStr">
        <is>
          <t>not reported</t>
        </is>
      </c>
      <c r="E135" s="21" t="inlineStr">
        <is>
          <t>Form 990 Return Header, Paid Preparer block (return_header.preparer_person_name / preparer_firm_name); auditor: Part XII line 2 reports audited financial statements but does not name the firm.</t>
        </is>
      </c>
    </row>
    <row r="136" ht="42" customHeight="1">
      <c r="A136" s="27" t="inlineStr">
        <is>
          <t>FY2022</t>
        </is>
      </c>
      <c r="B136" s="8" t="inlineStr">
        <is>
          <t>Janine Weber EA</t>
        </is>
      </c>
      <c r="C136" s="8" t="inlineStr">
        <is>
          <t>Janine Weber Bookkeeping and Tax</t>
        </is>
      </c>
      <c r="D136" s="30" t="inlineStr">
        <is>
          <t>not reported</t>
        </is>
      </c>
      <c r="E136" s="21" t="inlineStr">
        <is>
          <t>Form 990 Return Header, Paid Preparer block (return_header.preparer_person_name / preparer_firm_name); auditor: Part XII line 2 reports audited financial statements but does not name the firm.</t>
        </is>
      </c>
    </row>
    <row r="138">
      <c r="A138" s="29" t="inlineStr">
        <is>
          <t>E. Filed-label variants (case/spacing-only wording consolidated to one row; displayed = most recent year)</t>
        </is>
      </c>
      <c r="B138" s="7" t="n"/>
      <c r="C138" s="7" t="n"/>
      <c r="D138" s="7" t="n"/>
      <c r="E138" s="7" t="n"/>
      <c r="F138" s="7" t="n"/>
      <c r="G138" s="7" t="n"/>
      <c r="H138" s="7" t="n"/>
      <c r="I138" s="7" t="n"/>
      <c r="J138" s="7" t="n"/>
      <c r="K138" s="7" t="n"/>
    </row>
    <row r="139">
      <c r="A139" s="5" t="inlineStr">
        <is>
          <t>Tab</t>
        </is>
      </c>
      <c r="B139" s="5" t="inlineStr">
        <is>
          <t>Displayed (most recent)</t>
        </is>
      </c>
      <c r="C139" s="5" t="inlineStr">
        <is>
          <t>As-filed variant</t>
        </is>
      </c>
      <c r="D139" s="5" t="inlineStr">
        <is>
          <t>Years filed</t>
        </is>
      </c>
      <c r="E139" s="5" t="inlineStr">
        <is>
          <t>Note</t>
        </is>
      </c>
    </row>
    <row r="140">
      <c r="A140" s="8" t="inlineStr">
        <is>
          <t>Operating expenses (detail)</t>
        </is>
      </c>
      <c r="B140" s="8" t="inlineStr">
        <is>
          <t>Plant Supplies</t>
        </is>
      </c>
      <c r="C140" s="8" t="inlineStr">
        <is>
          <t>Plant supplies</t>
        </is>
      </c>
      <c r="D140" s="8" t="inlineStr">
        <is>
          <t>FY2020</t>
        </is>
      </c>
      <c r="E140" s="21" t="inlineStr">
        <is>
          <t>Same line; differs only by capitalization / spacing.</t>
        </is>
      </c>
    </row>
    <row r="141">
      <c r="A141" s="8" t="inlineStr">
        <is>
          <t>Operating expenses (detail)</t>
        </is>
      </c>
      <c r="B141" s="8" t="inlineStr">
        <is>
          <t>Plant Supplies</t>
        </is>
      </c>
      <c r="C141" s="8" t="inlineStr">
        <is>
          <t>Plant Supplies</t>
        </is>
      </c>
      <c r="D141" s="8" t="inlineStr">
        <is>
          <t>FY2021, FY2022</t>
        </is>
      </c>
      <c r="E141" s="21" t="inlineStr">
        <is>
          <t>Same line; differs only by capitalization / spacing.</t>
        </is>
      </c>
    </row>
    <row r="142">
      <c r="A142" s="8" t="inlineStr">
        <is>
          <t>Operating expenses (detail)</t>
        </is>
      </c>
      <c r="B142" s="8" t="inlineStr">
        <is>
          <t>Plant Hardware</t>
        </is>
      </c>
      <c r="C142" s="8" t="inlineStr">
        <is>
          <t>Plant hardware</t>
        </is>
      </c>
      <c r="D142" s="8" t="inlineStr">
        <is>
          <t>FY2020</t>
        </is>
      </c>
      <c r="E142" s="21" t="inlineStr">
        <is>
          <t>Same line; differs only by capitalization / spacing.</t>
        </is>
      </c>
    </row>
    <row r="143">
      <c r="A143" s="8" t="inlineStr">
        <is>
          <t>Operating expenses (detail)</t>
        </is>
      </c>
      <c r="B143" s="8" t="inlineStr">
        <is>
          <t>Plant Hardware</t>
        </is>
      </c>
      <c r="C143" s="8" t="inlineStr">
        <is>
          <t>Plant Hardware</t>
        </is>
      </c>
      <c r="D143" s="8" t="inlineStr">
        <is>
          <t>FY2021, FY2022</t>
        </is>
      </c>
      <c r="E143" s="21" t="inlineStr">
        <is>
          <t>Same line; differs only by capitalization / spacing.</t>
        </is>
      </c>
    </row>
    <row r="144">
      <c r="A144" s="8" t="inlineStr">
        <is>
          <t>Operating expenses (detail)</t>
        </is>
      </c>
      <c r="B144" s="8" t="inlineStr">
        <is>
          <t>Lab Fees</t>
        </is>
      </c>
      <c r="C144" s="8" t="inlineStr">
        <is>
          <t>Lab fees</t>
        </is>
      </c>
      <c r="D144" s="8" t="inlineStr">
        <is>
          <t>FY2020</t>
        </is>
      </c>
      <c r="E144" s="21" t="inlineStr">
        <is>
          <t>Same line; differs only by capitalization / spacing.</t>
        </is>
      </c>
    </row>
    <row r="145">
      <c r="A145" s="8" t="inlineStr">
        <is>
          <t>Operating expenses (detail)</t>
        </is>
      </c>
      <c r="B145" s="8" t="inlineStr">
        <is>
          <t>Lab Fees</t>
        </is>
      </c>
      <c r="C145" s="8" t="inlineStr">
        <is>
          <t>Lab Fees</t>
        </is>
      </c>
      <c r="D145" s="8" t="inlineStr">
        <is>
          <t>FY2021, FY2022</t>
        </is>
      </c>
      <c r="E145" s="21" t="inlineStr">
        <is>
          <t>Same line; differs only by capitalization / spacing.</t>
        </is>
      </c>
    </row>
    <row r="147" ht="42" customHeight="1">
      <c r="A14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47:K147"/>
    <mergeCell ref="A2:K2"/>
    <mergeCell ref="A5:K5"/>
    <mergeCell ref="A1:K1"/>
  </mergeCells>
  <conditionalFormatting sqref="F108:F130">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