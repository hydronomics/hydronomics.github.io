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Sources &amp; audit" sheetId="20" state="visible" r:id="rId20"/>
    <sheet name="Provenance" sheetId="21" state="visible" r:id="rId21"/>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b val="1"/>
      <color rgb="007F60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1" fillId="7" borderId="1" applyAlignment="1" pivotButton="0" quotePrefix="0" xfId="0">
      <alignment horizontal="right"/>
    </xf>
    <xf numFmtId="1" fontId="11" fillId="7"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8" fillId="5" borderId="1" applyAlignment="1" pivotButton="0" quotePrefix="0" xfId="0">
      <alignment horizontal="right"/>
    </xf>
    <xf numFmtId="166" fontId="8" fillId="5" borderId="1" applyAlignment="1" pivotButton="0" quotePrefix="0" xfId="0">
      <alignment horizontal="right"/>
    </xf>
    <xf numFmtId="166" fontId="8" fillId="4" borderId="1" applyAlignment="1" pivotButton="0" quotePrefix="0" xfId="0">
      <alignment horizontal="right"/>
    </xf>
    <xf numFmtId="10" fontId="8" fillId="5" borderId="1" applyAlignment="1" pivotButton="0" quotePrefix="0" xfId="0">
      <alignment horizontal="right"/>
    </xf>
    <xf numFmtId="2" fontId="8" fillId="5" borderId="1" applyAlignment="1" pivotButton="0" quotePrefix="0" xfId="0">
      <alignment horizontal="right"/>
    </xf>
    <xf numFmtId="0" fontId="8"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Montebello Land and Water Company</t>
        </is>
      </c>
    </row>
    <row r="2">
      <c r="A2" s="2" t="inlineStr">
        <is>
          <t>Financial Summary - multi-year overview (USD)</t>
        </is>
      </c>
    </row>
    <row r="3">
      <c r="A3" s="2" t="inlineStr">
        <is>
          <t>Entity ID: cawc_0031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row>
    <row r="9">
      <c r="A9" s="6" t="inlineStr">
        <is>
          <t>Operating results (USD)</t>
        </is>
      </c>
      <c r="B9" s="7" t="n"/>
      <c r="C9" s="7" t="n"/>
      <c r="D9" s="7" t="n"/>
      <c r="E9" s="7" t="n"/>
    </row>
    <row r="10">
      <c r="A10" s="8" t="inlineStr">
        <is>
          <t xml:space="preserve">    Total revenue</t>
        </is>
      </c>
      <c r="B10" s="9" t="n">
        <v>6119676</v>
      </c>
      <c r="C10" s="9" t="n">
        <v>6771352</v>
      </c>
      <c r="D10" s="9" t="n">
        <v>10023447</v>
      </c>
      <c r="E10" s="9" t="n">
        <v>10411332</v>
      </c>
    </row>
    <row r="11">
      <c r="A11" s="8" t="inlineStr">
        <is>
          <t xml:space="preserve">    Total expenses</t>
        </is>
      </c>
      <c r="B11" s="9" t="n">
        <v>4983572</v>
      </c>
      <c r="C11" s="9" t="n">
        <v>4810920</v>
      </c>
      <c r="D11" s="9" t="n">
        <v>4786324</v>
      </c>
      <c r="E11" s="9" t="n">
        <v>4760974</v>
      </c>
    </row>
    <row r="12">
      <c r="A12" s="10" t="inlineStr">
        <is>
          <t xml:space="preserve">    Net income</t>
        </is>
      </c>
      <c r="B12" s="11" t="n">
        <v>1136104</v>
      </c>
      <c r="C12" s="11" t="n">
        <v>1960432</v>
      </c>
      <c r="D12" s="11" t="n">
        <v>5237123</v>
      </c>
      <c r="E12" s="11" t="n">
        <v>5650358</v>
      </c>
    </row>
    <row r="14">
      <c r="A14" s="6" t="inlineStr">
        <is>
          <t>Financial position (USD, end of year)</t>
        </is>
      </c>
      <c r="B14" s="7" t="n"/>
      <c r="C14" s="7" t="n"/>
      <c r="D14" s="7" t="n"/>
      <c r="E14" s="7" t="n"/>
    </row>
    <row r="15">
      <c r="A15" s="8" t="inlineStr">
        <is>
          <t xml:space="preserve">    Total assets</t>
        </is>
      </c>
      <c r="B15" s="9" t="n">
        <v>25302243</v>
      </c>
      <c r="C15" s="9" t="n">
        <v>27602664</v>
      </c>
      <c r="D15" s="9" t="n">
        <v>32912596</v>
      </c>
      <c r="E15" s="9" t="n">
        <v>37967556</v>
      </c>
    </row>
    <row r="16">
      <c r="A16" s="8" t="inlineStr">
        <is>
          <t xml:space="preserve">    Total liabilities</t>
        </is>
      </c>
      <c r="B16" s="9" t="n">
        <v>417080</v>
      </c>
      <c r="C16" s="9" t="n">
        <v>936658</v>
      </c>
      <c r="D16" s="9" t="n">
        <v>1391208</v>
      </c>
      <c r="E16" s="9" t="n">
        <v>770353</v>
      </c>
    </row>
    <row r="17">
      <c r="A17" s="10" t="inlineStr">
        <is>
          <t xml:space="preserve">    Net assets</t>
        </is>
      </c>
      <c r="B17" s="11" t="n">
        <v>24885163</v>
      </c>
      <c r="C17" s="11" t="n">
        <v>26666006</v>
      </c>
      <c r="D17" s="11" t="n">
        <v>31521388</v>
      </c>
      <c r="E17" s="11" t="n">
        <v>37197203</v>
      </c>
    </row>
    <row r="19">
      <c r="A19" s="6" t="inlineStr">
        <is>
          <t>Headline ratios</t>
        </is>
      </c>
      <c r="B19" s="7" t="n"/>
      <c r="C19" s="7" t="n"/>
      <c r="D19" s="7" t="n"/>
      <c r="E19" s="7" t="n"/>
    </row>
    <row r="20">
      <c r="A20" s="8" t="inlineStr">
        <is>
          <t xml:space="preserve">    Operating margin</t>
        </is>
      </c>
      <c r="B20" s="12" t="n">
        <v>0.185647736906333</v>
      </c>
      <c r="C20" s="12" t="n">
        <v>0.2895185481422322</v>
      </c>
      <c r="D20" s="12" t="n">
        <v>0.5224872242054056</v>
      </c>
      <c r="E20" s="12" t="n">
        <v>0.5427123061679332</v>
      </c>
    </row>
    <row r="21">
      <c r="A21" s="8" t="inlineStr">
        <is>
          <t xml:space="preserve">    Revenue growth (YoY)</t>
        </is>
      </c>
      <c r="B21" s="12" t="n">
        <v>-0.001768854844287271</v>
      </c>
      <c r="C21" s="12" t="n">
        <v>0.1064886441700508</v>
      </c>
      <c r="D21" s="12" t="n">
        <v>0.4802726250237767</v>
      </c>
      <c r="E21" s="12" t="n">
        <v>0.03869776534958483</v>
      </c>
    </row>
    <row r="22">
      <c r="A22" s="8" t="inlineStr">
        <is>
          <t xml:space="preserve">    Return on assets</t>
        </is>
      </c>
      <c r="B22" s="12" t="n">
        <v>0.04490131566596685</v>
      </c>
      <c r="C22" s="12" t="n">
        <v>0.07102328963610179</v>
      </c>
      <c r="D22" s="12" t="n">
        <v>0.1591221488575377</v>
      </c>
      <c r="E22" s="12" t="n">
        <v>0.1488206931201998</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Montebello Land and Water Company</t>
        </is>
      </c>
    </row>
    <row r="2">
      <c r="A2" s="2" t="inlineStr">
        <is>
          <t>Financial Statements - income statement, balance sheet, cash flow, member income test (USD)</t>
        </is>
      </c>
    </row>
    <row r="3">
      <c r="A3" s="2" t="inlineStr">
        <is>
          <t>Entity ID: cawc_0031   |   Fiscal year ends June 30.</t>
        </is>
      </c>
    </row>
    <row r="5">
      <c r="A5" s="6" t="inlineStr">
        <is>
          <t>INCOME STATEMENT - as reported (USD)</t>
        </is>
      </c>
      <c r="B5" s="7" t="n"/>
      <c r="C5" s="7" t="n"/>
      <c r="D5" s="7" t="n"/>
      <c r="E5" s="7" t="n"/>
    </row>
    <row r="6">
      <c r="A6" s="4" t="inlineStr">
        <is>
          <t>Line item</t>
        </is>
      </c>
      <c r="B6" s="5" t="inlineStr">
        <is>
          <t>FY2021</t>
        </is>
      </c>
      <c r="C6" s="5" t="inlineStr">
        <is>
          <t>FY2022</t>
        </is>
      </c>
      <c r="D6" s="5" t="inlineStr">
        <is>
          <t>FY2023</t>
        </is>
      </c>
      <c r="E6" s="5" t="inlineStr">
        <is>
          <t>FY2024</t>
        </is>
      </c>
    </row>
    <row r="7">
      <c r="A7" s="6" t="inlineStr">
        <is>
          <t>Revenue</t>
        </is>
      </c>
      <c r="B7" s="7" t="n"/>
      <c r="C7" s="7" t="n"/>
      <c r="D7" s="7" t="n"/>
      <c r="E7" s="7" t="n"/>
    </row>
    <row r="8">
      <c r="A8" s="8" t="inlineStr">
        <is>
          <t xml:space="preserve">    Program service revenue</t>
        </is>
      </c>
      <c r="B8" s="9" t="n">
        <v>6001213</v>
      </c>
      <c r="C8" s="9" t="n">
        <v>6537460</v>
      </c>
      <c r="D8" s="9" t="n">
        <v>6548139</v>
      </c>
      <c r="E8" s="9" t="n">
        <v>6786362</v>
      </c>
    </row>
    <row r="9">
      <c r="A9" s="8" t="inlineStr">
        <is>
          <t xml:space="preserve">    Investment income</t>
        </is>
      </c>
      <c r="B9" s="9" t="n">
        <v>79468</v>
      </c>
      <c r="C9" s="9" t="n">
        <v>76951</v>
      </c>
      <c r="D9" s="9" t="n">
        <v>175461</v>
      </c>
      <c r="E9" s="9" t="n">
        <v>314633</v>
      </c>
    </row>
    <row r="10">
      <c r="A10" s="8" t="inlineStr">
        <is>
          <t xml:space="preserve">    Net rental income</t>
        </is>
      </c>
      <c r="B10" s="9" t="n"/>
      <c r="C10" s="9" t="n"/>
      <c r="D10" s="9" t="n"/>
      <c r="E10" s="9" t="n"/>
    </row>
    <row r="11">
      <c r="A11" s="8" t="inlineStr">
        <is>
          <t xml:space="preserve">    Net gain/(loss) on investment sales</t>
        </is>
      </c>
      <c r="B11" s="9" t="n">
        <v>1500</v>
      </c>
      <c r="C11" s="9" t="n">
        <v>10000</v>
      </c>
      <c r="D11" s="9" t="n"/>
      <c r="E11" s="9" t="n">
        <v>11000</v>
      </c>
    </row>
    <row r="12">
      <c r="A12" s="8" t="inlineStr">
        <is>
          <t xml:space="preserve">    Other revenue</t>
        </is>
      </c>
      <c r="B12" s="9" t="n">
        <v>37495</v>
      </c>
      <c r="C12" s="9" t="n">
        <v>107070</v>
      </c>
      <c r="D12" s="9" t="n">
        <v>369379</v>
      </c>
      <c r="E12" s="9" t="n">
        <v>1001189</v>
      </c>
    </row>
    <row r="13">
      <c r="A13" s="8" t="inlineStr">
        <is>
          <t xml:space="preserve">    Contributions &amp; grants</t>
        </is>
      </c>
      <c r="B13" s="9" t="n"/>
      <c r="C13" s="9" t="n">
        <v>39871</v>
      </c>
      <c r="D13" s="9" t="n">
        <v>2930468</v>
      </c>
      <c r="E13" s="9" t="n">
        <v>2298148</v>
      </c>
    </row>
    <row r="14">
      <c r="A14" s="10" t="inlineStr">
        <is>
          <t>Total revenue</t>
        </is>
      </c>
      <c r="B14" s="11" t="n">
        <v>6119676</v>
      </c>
      <c r="C14" s="11" t="n">
        <v>6771352</v>
      </c>
      <c r="D14" s="11" t="n">
        <v>10023447</v>
      </c>
      <c r="E14" s="11" t="n">
        <v>10411332</v>
      </c>
    </row>
    <row r="16">
      <c r="A16" s="6" t="inlineStr">
        <is>
          <t>Expenses</t>
        </is>
      </c>
      <c r="B16" s="7" t="n"/>
      <c r="C16" s="7" t="n"/>
      <c r="D16" s="7" t="n"/>
      <c r="E16" s="7" t="n"/>
    </row>
    <row r="17">
      <c r="A17" s="8" t="inlineStr">
        <is>
          <t xml:space="preserve">    Depreciation</t>
        </is>
      </c>
      <c r="B17" s="9" t="n">
        <v>700696</v>
      </c>
      <c r="C17" s="9" t="n">
        <v>705040</v>
      </c>
      <c r="D17" s="9" t="n">
        <v>701606</v>
      </c>
      <c r="E17" s="9" t="n">
        <v>719217</v>
      </c>
    </row>
    <row r="18">
      <c r="A18" s="8" t="inlineStr">
        <is>
          <t xml:space="preserve">    Interest expense</t>
        </is>
      </c>
      <c r="B18" s="9" t="n"/>
      <c r="C18" s="9" t="n"/>
      <c r="D18" s="9" t="n"/>
      <c r="E18" s="9" t="n"/>
    </row>
    <row r="19">
      <c r="A19" s="10" t="inlineStr">
        <is>
          <t>Total expenses</t>
        </is>
      </c>
      <c r="B19" s="11" t="n">
        <v>4983572</v>
      </c>
      <c r="C19" s="11" t="n">
        <v>4810920</v>
      </c>
      <c r="D19" s="11" t="n">
        <v>4786324</v>
      </c>
      <c r="E19" s="11" t="n">
        <v>4760974</v>
      </c>
    </row>
    <row r="21">
      <c r="A21" s="10" t="inlineStr">
        <is>
          <t>Net income</t>
        </is>
      </c>
      <c r="B21" s="11" t="n">
        <v>1136104</v>
      </c>
      <c r="C21" s="11" t="n">
        <v>1960432</v>
      </c>
      <c r="D21" s="11" t="n">
        <v>5237123</v>
      </c>
      <c r="E21" s="11" t="n">
        <v>5650358</v>
      </c>
    </row>
    <row r="24">
      <c r="A24" s="6" t="inlineStr">
        <is>
          <t>BALANCE SHEET - as reported (USD, end of year)</t>
        </is>
      </c>
      <c r="B24" s="7" t="n"/>
      <c r="C24" s="7" t="n"/>
      <c r="D24" s="7" t="n"/>
      <c r="E24" s="7" t="n"/>
    </row>
    <row r="25">
      <c r="A25" s="4" t="inlineStr">
        <is>
          <t>Line item</t>
        </is>
      </c>
      <c r="B25" s="5" t="inlineStr">
        <is>
          <t>FY2021</t>
        </is>
      </c>
      <c r="C25" s="5" t="inlineStr">
        <is>
          <t>FY2022</t>
        </is>
      </c>
      <c r="D25" s="5" t="inlineStr">
        <is>
          <t>FY2023</t>
        </is>
      </c>
      <c r="E25" s="5" t="inlineStr">
        <is>
          <t>FY2024</t>
        </is>
      </c>
    </row>
    <row r="26">
      <c r="A26" s="6" t="inlineStr">
        <is>
          <t>Assets</t>
        </is>
      </c>
      <c r="B26" s="7" t="n"/>
      <c r="C26" s="7" t="n"/>
      <c r="D26" s="7" t="n"/>
      <c r="E26" s="7" t="n"/>
    </row>
    <row r="27">
      <c r="A27" s="8" t="inlineStr">
        <is>
          <t xml:space="preserve">    Cash</t>
        </is>
      </c>
      <c r="B27" s="9" t="n">
        <v>57818</v>
      </c>
      <c r="C27" s="9" t="n">
        <v>517176</v>
      </c>
      <c r="D27" s="9" t="n">
        <v>543443</v>
      </c>
      <c r="E27" s="9" t="n">
        <v>217947</v>
      </c>
    </row>
    <row r="28">
      <c r="A28" s="8" t="inlineStr">
        <is>
          <t xml:space="preserve">    Savings &amp; temporary investments</t>
        </is>
      </c>
      <c r="B28" s="9" t="n">
        <v>4428799</v>
      </c>
      <c r="C28" s="9" t="n">
        <v>3142076</v>
      </c>
      <c r="D28" s="9" t="n">
        <v>6967537</v>
      </c>
      <c r="E28" s="9" t="n">
        <v>6250170</v>
      </c>
    </row>
    <row r="29">
      <c r="A29" s="8" t="inlineStr">
        <is>
          <t xml:space="preserve">    Accounts receivable</t>
        </is>
      </c>
      <c r="B29" s="9" t="n">
        <v>751576</v>
      </c>
      <c r="C29" s="9" t="n">
        <v>845963</v>
      </c>
      <c r="D29" s="9" t="n">
        <v>1373920</v>
      </c>
      <c r="E29" s="9" t="n">
        <v>2474145</v>
      </c>
    </row>
    <row r="30">
      <c r="A30" s="8" t="inlineStr">
        <is>
          <t xml:space="preserve">    Inventories</t>
        </is>
      </c>
      <c r="B30" s="9" t="n">
        <v>257880</v>
      </c>
      <c r="C30" s="9" t="n">
        <v>484939</v>
      </c>
      <c r="D30" s="9" t="n">
        <v>410183</v>
      </c>
      <c r="E30" s="9" t="n">
        <v>369901</v>
      </c>
    </row>
    <row r="31">
      <c r="A31" s="8" t="inlineStr">
        <is>
          <t xml:space="preserve">    Prepaid expenses</t>
        </is>
      </c>
      <c r="B31" s="9" t="n">
        <v>115546</v>
      </c>
      <c r="C31" s="9" t="n">
        <v>132648</v>
      </c>
      <c r="D31" s="9" t="n">
        <v>135542</v>
      </c>
      <c r="E31" s="9" t="n">
        <v>158416</v>
      </c>
    </row>
    <row r="32">
      <c r="A32" s="8" t="inlineStr">
        <is>
          <t xml:space="preserve">    Property, plant &amp; equipment (gross)</t>
        </is>
      </c>
      <c r="B32" s="9" t="n">
        <v>26912273</v>
      </c>
      <c r="C32" s="9" t="n">
        <v>27184987</v>
      </c>
      <c r="D32" s="9" t="n">
        <v>27816833</v>
      </c>
      <c r="E32" s="9" t="n">
        <v>28532464</v>
      </c>
    </row>
    <row r="33">
      <c r="A33" s="8" t="inlineStr">
        <is>
          <t xml:space="preserve">    Less: accumulated depreciation</t>
        </is>
      </c>
      <c r="B33" s="9" t="n">
        <v>-13314739</v>
      </c>
      <c r="C33" s="9" t="n">
        <v>-13982616</v>
      </c>
      <c r="D33" s="9" t="n">
        <v>-14684223</v>
      </c>
      <c r="E33" s="9" t="n">
        <v>-15368858</v>
      </c>
    </row>
    <row r="34">
      <c r="A34" s="10" t="inlineStr">
        <is>
          <t xml:space="preserve">    Net property, plant &amp; equipment</t>
        </is>
      </c>
      <c r="B34" s="11" t="n">
        <v>13597534</v>
      </c>
      <c r="C34" s="11" t="n">
        <v>13202371</v>
      </c>
      <c r="D34" s="11" t="n">
        <v>13132610</v>
      </c>
      <c r="E34" s="11" t="n">
        <v>13163606</v>
      </c>
    </row>
    <row r="35">
      <c r="A35" s="10" t="inlineStr">
        <is>
          <t>Total assets</t>
        </is>
      </c>
      <c r="B35" s="11" t="n">
        <v>25302243</v>
      </c>
      <c r="C35" s="11" t="n">
        <v>27602664</v>
      </c>
      <c r="D35" s="11" t="n">
        <v>32912596</v>
      </c>
      <c r="E35" s="11" t="n">
        <v>37967556</v>
      </c>
    </row>
    <row r="37">
      <c r="A37" s="6" t="inlineStr">
        <is>
          <t>Liabilities</t>
        </is>
      </c>
      <c r="B37" s="7" t="n"/>
      <c r="C37" s="7" t="n"/>
      <c r="D37" s="7" t="n"/>
      <c r="E37" s="7" t="n"/>
    </row>
    <row r="38">
      <c r="A38" s="8" t="inlineStr">
        <is>
          <t xml:space="preserve">    Accounts payable</t>
        </is>
      </c>
      <c r="B38" s="9" t="n">
        <v>42845</v>
      </c>
      <c r="C38" s="9" t="n">
        <v>53260</v>
      </c>
      <c r="D38" s="9" t="n">
        <v>209524</v>
      </c>
      <c r="E38" s="9" t="n">
        <v>482643</v>
      </c>
    </row>
    <row r="39">
      <c r="A39" s="8" t="inlineStr">
        <is>
          <t xml:space="preserve">    Mortgages &amp; notes payable</t>
        </is>
      </c>
      <c r="B39" s="9" t="n"/>
      <c r="C39" s="9" t="n"/>
      <c r="D39" s="9" t="n"/>
      <c r="E39" s="9" t="n"/>
    </row>
    <row r="40">
      <c r="A40" s="10" t="inlineStr">
        <is>
          <t>Total liabilities</t>
        </is>
      </c>
      <c r="B40" s="11" t="n">
        <v>417080</v>
      </c>
      <c r="C40" s="11" t="n">
        <v>936658</v>
      </c>
      <c r="D40" s="11" t="n">
        <v>1391208</v>
      </c>
      <c r="E40" s="11" t="n">
        <v>770353</v>
      </c>
    </row>
    <row r="42">
      <c r="A42" s="6" t="inlineStr">
        <is>
          <t>Net Assets / Equity</t>
        </is>
      </c>
      <c r="B42" s="7" t="n"/>
      <c r="C42" s="7" t="n"/>
      <c r="D42" s="7" t="n"/>
      <c r="E42" s="7" t="n"/>
    </row>
    <row r="43">
      <c r="A43" s="8" t="inlineStr">
        <is>
          <t xml:space="preserve">    Capital stock</t>
        </is>
      </c>
      <c r="B43" s="9" t="n">
        <v>77813</v>
      </c>
      <c r="C43" s="9" t="n">
        <v>77813</v>
      </c>
      <c r="D43" s="9" t="n">
        <v>77813</v>
      </c>
      <c r="E43" s="9" t="n">
        <v>77813</v>
      </c>
    </row>
    <row r="44">
      <c r="A44" s="8" t="inlineStr">
        <is>
          <t xml:space="preserve">    Paid-in capital</t>
        </is>
      </c>
      <c r="B44" s="9" t="n">
        <v>3512</v>
      </c>
      <c r="C44" s="9" t="n">
        <v>3512</v>
      </c>
      <c r="D44" s="9" t="n">
        <v>3512</v>
      </c>
      <c r="E44" s="9" t="n">
        <v>3512</v>
      </c>
    </row>
    <row r="45">
      <c r="A45" s="8" t="inlineStr">
        <is>
          <t xml:space="preserve">    Retained earnings</t>
        </is>
      </c>
      <c r="B45" s="9" t="n">
        <v>24803838</v>
      </c>
      <c r="C45" s="9" t="n">
        <v>26584681</v>
      </c>
      <c r="D45" s="9" t="n">
        <v>31440063</v>
      </c>
      <c r="E45" s="9" t="n">
        <v>37115878</v>
      </c>
    </row>
    <row r="46">
      <c r="A46" s="10" t="inlineStr">
        <is>
          <t>Net assets</t>
        </is>
      </c>
      <c r="B46" s="11" t="n">
        <v>24885163</v>
      </c>
      <c r="C46" s="11" t="n">
        <v>26666006</v>
      </c>
      <c r="D46" s="11" t="n">
        <v>31521388</v>
      </c>
      <c r="E46" s="11" t="n">
        <v>37197203</v>
      </c>
    </row>
    <row r="49">
      <c r="A49" s="6" t="inlineStr">
        <is>
          <t>CASH FLOW - derived proxy (USD)</t>
        </is>
      </c>
      <c r="B49" s="7" t="n"/>
      <c r="C49" s="7" t="n"/>
      <c r="D49" s="7" t="n"/>
      <c r="E49" s="7" t="n"/>
    </row>
    <row r="50">
      <c r="A50" s="4" t="inlineStr">
        <is>
          <t>Proxy line</t>
        </is>
      </c>
      <c r="B50" s="5" t="inlineStr">
        <is>
          <t>FY2021</t>
        </is>
      </c>
      <c r="C50" s="5" t="inlineStr">
        <is>
          <t>FY2022</t>
        </is>
      </c>
      <c r="D50" s="5" t="inlineStr">
        <is>
          <t>FY2023</t>
        </is>
      </c>
      <c r="E50" s="5" t="inlineStr">
        <is>
          <t>FY2024</t>
        </is>
      </c>
    </row>
    <row r="51">
      <c r="A51" s="6" t="inlineStr">
        <is>
          <t>Operating</t>
        </is>
      </c>
      <c r="B51" s="7" t="n"/>
      <c r="C51" s="7" t="n"/>
      <c r="D51" s="7" t="n"/>
      <c r="E51" s="7" t="n"/>
    </row>
    <row r="52">
      <c r="A52" s="8" t="inlineStr">
        <is>
          <t xml:space="preserve">    Net income</t>
        </is>
      </c>
      <c r="B52" s="9" t="n">
        <v>1136104</v>
      </c>
      <c r="C52" s="9" t="n">
        <v>1960432</v>
      </c>
      <c r="D52" s="9" t="n">
        <v>5237123</v>
      </c>
      <c r="E52" s="9" t="n">
        <v>5650358</v>
      </c>
    </row>
    <row r="53">
      <c r="A53" s="8" t="inlineStr">
        <is>
          <t xml:space="preserve">    + Depreciation (reported)</t>
        </is>
      </c>
      <c r="B53" s="9" t="n">
        <v>700696</v>
      </c>
      <c r="C53" s="9" t="n">
        <v>705040</v>
      </c>
      <c r="D53" s="9" t="n">
        <v>701606</v>
      </c>
      <c r="E53" s="9" t="n">
        <v>719217</v>
      </c>
    </row>
    <row r="54">
      <c r="A54" s="8" t="inlineStr">
        <is>
          <t xml:space="preserve">    − Δ Accounts receivable</t>
        </is>
      </c>
      <c r="B54" s="9" t="n"/>
      <c r="C54" s="9" t="n">
        <v>-94387</v>
      </c>
      <c r="D54" s="9" t="n">
        <v>-527957</v>
      </c>
      <c r="E54" s="9" t="n">
        <v>-1100225</v>
      </c>
    </row>
    <row r="55">
      <c r="A55" s="8" t="inlineStr">
        <is>
          <t xml:space="preserve">    − Δ Inventories</t>
        </is>
      </c>
      <c r="B55" s="9" t="n"/>
      <c r="C55" s="9" t="n">
        <v>-227059</v>
      </c>
      <c r="D55" s="9" t="n">
        <v>74756</v>
      </c>
      <c r="E55" s="9" t="n">
        <v>40282</v>
      </c>
    </row>
    <row r="56">
      <c r="A56" s="8" t="inlineStr">
        <is>
          <t xml:space="preserve">    − Δ Prepaid expenses</t>
        </is>
      </c>
      <c r="B56" s="9" t="n"/>
      <c r="C56" s="9" t="n">
        <v>-17102</v>
      </c>
      <c r="D56" s="9" t="n">
        <v>-2894</v>
      </c>
      <c r="E56" s="9" t="n">
        <v>-22874</v>
      </c>
    </row>
    <row r="57">
      <c r="A57" s="8" t="inlineStr">
        <is>
          <t xml:space="preserve">    + Δ Accounts payable</t>
        </is>
      </c>
      <c r="B57" s="9" t="n"/>
      <c r="C57" s="9" t="n">
        <v>10415</v>
      </c>
      <c r="D57" s="9" t="n">
        <v>156264</v>
      </c>
      <c r="E57" s="9" t="n">
        <v>273119</v>
      </c>
    </row>
    <row r="58">
      <c r="A58" s="10" t="inlineStr">
        <is>
          <t xml:space="preserve">    Operating cash flow proxy</t>
        </is>
      </c>
      <c r="B58" s="11" t="n"/>
      <c r="C58" s="11" t="n">
        <v>2337339</v>
      </c>
      <c r="D58" s="11" t="n">
        <v>5638898</v>
      </c>
      <c r="E58" s="11" t="n">
        <v>5559877</v>
      </c>
    </row>
    <row r="60">
      <c r="A60" s="6" t="inlineStr">
        <is>
          <t>Investing</t>
        </is>
      </c>
      <c r="B60" s="7" t="n"/>
      <c r="C60" s="7" t="n"/>
      <c r="D60" s="7" t="n"/>
      <c r="E60" s="7" t="n"/>
    </row>
    <row r="61">
      <c r="A61" s="8" t="inlineStr">
        <is>
          <t xml:space="preserve">    − Δ PP&amp;E gross (capex proxy)</t>
        </is>
      </c>
      <c r="B61" s="9" t="n"/>
      <c r="C61" s="9" t="n">
        <v>-272714</v>
      </c>
      <c r="D61" s="9" t="n">
        <v>-631846</v>
      </c>
      <c r="E61" s="9" t="n">
        <v>-715631</v>
      </c>
    </row>
    <row r="63">
      <c r="A63" s="6" t="inlineStr">
        <is>
          <t>Financing</t>
        </is>
      </c>
      <c r="B63" s="7" t="n"/>
      <c r="C63" s="7" t="n"/>
      <c r="D63" s="7" t="n"/>
      <c r="E63" s="7" t="n"/>
    </row>
    <row r="64">
      <c r="A64" s="8" t="inlineStr">
        <is>
          <t xml:space="preserve">    Δ Mortgages &amp; notes payable</t>
        </is>
      </c>
      <c r="B64" s="9" t="n"/>
      <c r="C64" s="9" t="n"/>
      <c r="D64" s="9" t="n"/>
      <c r="E64" s="9" t="n"/>
    </row>
    <row r="66">
      <c r="A66" s="6" t="inlineStr">
        <is>
          <t>Reconciliation</t>
        </is>
      </c>
      <c r="B66" s="7" t="n"/>
      <c r="C66" s="7" t="n"/>
      <c r="D66" s="7" t="n"/>
      <c r="E66" s="7" t="n"/>
    </row>
    <row r="67">
      <c r="A67" s="10" t="inlineStr">
        <is>
          <t xml:space="preserve">    Δ Cash + temp. investments (actual)</t>
        </is>
      </c>
      <c r="B67" s="11" t="n"/>
      <c r="C67" s="11" t="n">
        <v>-827365</v>
      </c>
      <c r="D67" s="11" t="n">
        <v>3851728</v>
      </c>
      <c r="E67" s="11" t="n">
        <v>-1042863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row>
    <row r="72">
      <c r="A72" s="4" t="inlineStr">
        <is>
          <t>Part V line 11</t>
        </is>
      </c>
      <c r="B72" s="5" t="inlineStr">
        <is>
          <t>FY2021</t>
        </is>
      </c>
      <c r="C72" s="5" t="inlineStr">
        <is>
          <t>FY2022</t>
        </is>
      </c>
      <c r="D72" s="5" t="inlineStr">
        <is>
          <t>FY2023</t>
        </is>
      </c>
      <c r="E72" s="5" t="inlineStr">
        <is>
          <t>FY2024</t>
        </is>
      </c>
    </row>
    <row r="73">
      <c r="A73" s="8" t="inlineStr">
        <is>
          <t xml:space="preserve">    11a. Gross income from members or shareholders</t>
        </is>
      </c>
      <c r="B73" s="9" t="n">
        <v>6001213</v>
      </c>
      <c r="C73" s="9" t="n">
        <v>6537460</v>
      </c>
      <c r="D73" s="9" t="n">
        <v>6548139</v>
      </c>
      <c r="E73" s="9" t="n">
        <v>6786362</v>
      </c>
    </row>
    <row r="74">
      <c r="A74" s="8" t="inlineStr">
        <is>
          <t xml:space="preserve">    11b. Gross income from other sources</t>
        </is>
      </c>
      <c r="B74" s="9" t="n">
        <v>118463</v>
      </c>
      <c r="C74" s="9" t="n">
        <v>233892</v>
      </c>
      <c r="D74" s="9" t="n">
        <v>3472684</v>
      </c>
      <c r="E74" s="9" t="n">
        <v>3623308</v>
      </c>
    </row>
    <row r="75">
      <c r="A75" s="14" t="inlineStr">
        <is>
          <t>Total gross income (11a + 11b)</t>
        </is>
      </c>
      <c r="B75" s="15">
        <f>SUM(B73,B74)</f>
        <v/>
      </c>
      <c r="C75" s="15">
        <f>SUM(C73,C74)</f>
        <v/>
      </c>
      <c r="D75" s="15">
        <f>SUM(D73,D74)</f>
        <v/>
      </c>
      <c r="E75" s="15">
        <f>SUM(E73,E74)</f>
        <v/>
      </c>
    </row>
    <row r="76">
      <c r="A76" s="14" t="inlineStr">
        <is>
          <t>Member income share (11a / total)</t>
        </is>
      </c>
      <c r="B76" s="16">
        <f>IF(B75=0,"",B73/B75)</f>
        <v/>
      </c>
      <c r="C76" s="16">
        <f>IF(C75=0,"",C73/C75)</f>
        <v/>
      </c>
      <c r="D76" s="16">
        <f>IF(D75=0,"",D73/D75)</f>
        <v/>
      </c>
      <c r="E76" s="16">
        <f>IF(E75=0,"",E73/E75)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69:E69"/>
    <mergeCell ref="A78:E78"/>
    <mergeCell ref="A2:E2"/>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Montebello Land and Water Company</t>
        </is>
      </c>
    </row>
    <row r="2">
      <c r="A2" s="2" t="inlineStr">
        <is>
          <t>Balance Sheet - as reported (USD, end of year)</t>
        </is>
      </c>
    </row>
    <row r="3">
      <c r="A3" s="2" t="inlineStr">
        <is>
          <t>Entity ID: cawc_0031   |   Fiscal year ends June 30.</t>
        </is>
      </c>
    </row>
    <row r="5">
      <c r="A5" s="4" t="inlineStr">
        <is>
          <t>Line item</t>
        </is>
      </c>
      <c r="B5" s="5" t="inlineStr">
        <is>
          <t>FY2021</t>
        </is>
      </c>
      <c r="C5" s="5" t="inlineStr">
        <is>
          <t>FY2022</t>
        </is>
      </c>
      <c r="D5" s="5" t="inlineStr">
        <is>
          <t>FY2023</t>
        </is>
      </c>
      <c r="E5" s="5" t="inlineStr">
        <is>
          <t>FY2024</t>
        </is>
      </c>
    </row>
    <row r="6">
      <c r="A6" s="6" t="inlineStr">
        <is>
          <t>Assets</t>
        </is>
      </c>
      <c r="B6" s="7" t="n"/>
      <c r="C6" s="7" t="n"/>
      <c r="D6" s="7" t="n"/>
      <c r="E6" s="7" t="n"/>
    </row>
    <row r="7">
      <c r="A7" s="8" t="inlineStr">
        <is>
          <t xml:space="preserve">    Cash</t>
        </is>
      </c>
      <c r="B7" s="9" t="n">
        <v>57818</v>
      </c>
      <c r="C7" s="9" t="n">
        <v>517176</v>
      </c>
      <c r="D7" s="9" t="n">
        <v>543443</v>
      </c>
      <c r="E7" s="9" t="n">
        <v>217947</v>
      </c>
    </row>
    <row r="8">
      <c r="A8" s="8" t="inlineStr">
        <is>
          <t xml:space="preserve">    Savings &amp; temporary investments</t>
        </is>
      </c>
      <c r="B8" s="9" t="n">
        <v>4428799</v>
      </c>
      <c r="C8" s="9" t="n">
        <v>3142076</v>
      </c>
      <c r="D8" s="9" t="n">
        <v>6967537</v>
      </c>
      <c r="E8" s="9" t="n">
        <v>6250170</v>
      </c>
    </row>
    <row r="9">
      <c r="A9" s="8" t="inlineStr">
        <is>
          <t xml:space="preserve">    Accounts receivable</t>
        </is>
      </c>
      <c r="B9" s="9" t="n">
        <v>751576</v>
      </c>
      <c r="C9" s="9" t="n">
        <v>845963</v>
      </c>
      <c r="D9" s="9" t="n">
        <v>1373920</v>
      </c>
      <c r="E9" s="9" t="n">
        <v>2474145</v>
      </c>
    </row>
    <row r="10">
      <c r="A10" s="8" t="inlineStr">
        <is>
          <t xml:space="preserve">    Inventories</t>
        </is>
      </c>
      <c r="B10" s="9" t="n">
        <v>257880</v>
      </c>
      <c r="C10" s="9" t="n">
        <v>484939</v>
      </c>
      <c r="D10" s="9" t="n">
        <v>410183</v>
      </c>
      <c r="E10" s="9" t="n">
        <v>369901</v>
      </c>
    </row>
    <row r="11">
      <c r="A11" s="8" t="inlineStr">
        <is>
          <t xml:space="preserve">    Prepaid expenses</t>
        </is>
      </c>
      <c r="B11" s="9" t="n">
        <v>115546</v>
      </c>
      <c r="C11" s="9" t="n">
        <v>132648</v>
      </c>
      <c r="D11" s="9" t="n">
        <v>135542</v>
      </c>
      <c r="E11" s="9" t="n">
        <v>158416</v>
      </c>
    </row>
    <row r="12">
      <c r="A12" s="8" t="inlineStr">
        <is>
          <t xml:space="preserve">    Property, plant &amp; equipment (gross)</t>
        </is>
      </c>
      <c r="B12" s="9" t="n">
        <v>26912273</v>
      </c>
      <c r="C12" s="9" t="n">
        <v>27184987</v>
      </c>
      <c r="D12" s="9" t="n">
        <v>27816833</v>
      </c>
      <c r="E12" s="9" t="n">
        <v>28532464</v>
      </c>
    </row>
    <row r="13">
      <c r="A13" s="8" t="inlineStr">
        <is>
          <t xml:space="preserve">    Less: accumulated depreciation</t>
        </is>
      </c>
      <c r="B13" s="9" t="n">
        <v>-13314739</v>
      </c>
      <c r="C13" s="9" t="n">
        <v>-13982616</v>
      </c>
      <c r="D13" s="9" t="n">
        <v>-14684223</v>
      </c>
      <c r="E13" s="9" t="n">
        <v>-15368858</v>
      </c>
    </row>
    <row r="14">
      <c r="A14" s="10" t="inlineStr">
        <is>
          <t xml:space="preserve">    Net property, plant &amp; equipment</t>
        </is>
      </c>
      <c r="B14" s="11" t="n">
        <v>13597534</v>
      </c>
      <c r="C14" s="11" t="n">
        <v>13202371</v>
      </c>
      <c r="D14" s="11" t="n">
        <v>13132610</v>
      </c>
      <c r="E14" s="11" t="n">
        <v>13163606</v>
      </c>
    </row>
    <row r="15">
      <c r="A15" s="10" t="inlineStr">
        <is>
          <t>Total assets</t>
        </is>
      </c>
      <c r="B15" s="11" t="n">
        <v>25302243</v>
      </c>
      <c r="C15" s="11" t="n">
        <v>27602664</v>
      </c>
      <c r="D15" s="11" t="n">
        <v>32912596</v>
      </c>
      <c r="E15" s="11" t="n">
        <v>37967556</v>
      </c>
    </row>
    <row r="17">
      <c r="A17" s="6" t="inlineStr">
        <is>
          <t>Liabilities</t>
        </is>
      </c>
      <c r="B17" s="7" t="n"/>
      <c r="C17" s="7" t="n"/>
      <c r="D17" s="7" t="n"/>
      <c r="E17" s="7" t="n"/>
    </row>
    <row r="18">
      <c r="A18" s="8" t="inlineStr">
        <is>
          <t xml:space="preserve">    Accounts payable</t>
        </is>
      </c>
      <c r="B18" s="9" t="n">
        <v>42845</v>
      </c>
      <c r="C18" s="9" t="n">
        <v>53260</v>
      </c>
      <c r="D18" s="9" t="n">
        <v>209524</v>
      </c>
      <c r="E18" s="9" t="n">
        <v>482643</v>
      </c>
    </row>
    <row r="19">
      <c r="A19" s="8" t="inlineStr">
        <is>
          <t xml:space="preserve">    Mortgages &amp; notes payable</t>
        </is>
      </c>
      <c r="B19" s="9" t="n"/>
      <c r="C19" s="9" t="n"/>
      <c r="D19" s="9" t="n"/>
      <c r="E19" s="9" t="n"/>
    </row>
    <row r="20">
      <c r="A20" s="10" t="inlineStr">
        <is>
          <t>Total liabilities</t>
        </is>
      </c>
      <c r="B20" s="11" t="n">
        <v>417080</v>
      </c>
      <c r="C20" s="11" t="n">
        <v>936658</v>
      </c>
      <c r="D20" s="11" t="n">
        <v>1391208</v>
      </c>
      <c r="E20" s="11" t="n">
        <v>770353</v>
      </c>
    </row>
    <row r="22">
      <c r="A22" s="6" t="inlineStr">
        <is>
          <t>Net Assets / Equity</t>
        </is>
      </c>
      <c r="B22" s="7" t="n"/>
      <c r="C22" s="7" t="n"/>
      <c r="D22" s="7" t="n"/>
      <c r="E22" s="7" t="n"/>
    </row>
    <row r="23">
      <c r="A23" s="8" t="inlineStr">
        <is>
          <t xml:space="preserve">    Capital stock</t>
        </is>
      </c>
      <c r="B23" s="9" t="n">
        <v>77813</v>
      </c>
      <c r="C23" s="9" t="n">
        <v>77813</v>
      </c>
      <c r="D23" s="9" t="n">
        <v>77813</v>
      </c>
      <c r="E23" s="9" t="n">
        <v>77813</v>
      </c>
    </row>
    <row r="24">
      <c r="A24" s="8" t="inlineStr">
        <is>
          <t xml:space="preserve">    Paid-in capital</t>
        </is>
      </c>
      <c r="B24" s="9" t="n">
        <v>3512</v>
      </c>
      <c r="C24" s="9" t="n">
        <v>3512</v>
      </c>
      <c r="D24" s="9" t="n">
        <v>3512</v>
      </c>
      <c r="E24" s="9" t="n">
        <v>3512</v>
      </c>
    </row>
    <row r="25">
      <c r="A25" s="8" t="inlineStr">
        <is>
          <t xml:space="preserve">    Retained earnings</t>
        </is>
      </c>
      <c r="B25" s="9" t="n">
        <v>24803838</v>
      </c>
      <c r="C25" s="9" t="n">
        <v>26584681</v>
      </c>
      <c r="D25" s="9" t="n">
        <v>31440063</v>
      </c>
      <c r="E25" s="9" t="n">
        <v>37115878</v>
      </c>
    </row>
    <row r="26">
      <c r="A26" s="10" t="inlineStr">
        <is>
          <t>Net assets</t>
        </is>
      </c>
      <c r="B26" s="11" t="n">
        <v>24885163</v>
      </c>
      <c r="C26" s="11" t="n">
        <v>26666006</v>
      </c>
      <c r="D26" s="11" t="n">
        <v>31521388</v>
      </c>
      <c r="E26" s="11" t="n">
        <v>37197203</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Montebello Land and Water Company</t>
        </is>
      </c>
    </row>
    <row r="2">
      <c r="A2" s="2" t="inlineStr">
        <is>
          <t>Officers, Directors &amp; Contractors - Form 990 Part VII (FY2024; USD)</t>
        </is>
      </c>
    </row>
    <row r="3">
      <c r="A3" s="2" t="inlineStr">
        <is>
          <t>Entity ID: cawc_0031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BRUCE JUGAN</t>
        </is>
      </c>
      <c r="B7" s="8" t="inlineStr">
        <is>
          <t>PRESIDENT</t>
        </is>
      </c>
      <c r="C7" s="9" t="n">
        <v>7200</v>
      </c>
      <c r="D7" s="9" t="n">
        <v>0</v>
      </c>
      <c r="E7" s="9" t="n">
        <v>0</v>
      </c>
      <c r="F7" s="9" t="n">
        <v>7200</v>
      </c>
    </row>
    <row r="8">
      <c r="A8" s="8" t="inlineStr">
        <is>
          <t>DAVID R REGO</t>
        </is>
      </c>
      <c r="B8" s="8" t="inlineStr">
        <is>
          <t>VICE PRESIDENT</t>
        </is>
      </c>
      <c r="C8" s="9" t="n">
        <v>7200</v>
      </c>
      <c r="D8" s="9" t="n">
        <v>0</v>
      </c>
      <c r="E8" s="9" t="n">
        <v>0</v>
      </c>
      <c r="F8" s="9" t="n">
        <v>7200</v>
      </c>
    </row>
    <row r="9">
      <c r="A9" s="8" t="inlineStr">
        <is>
          <t>OMER ZEKI KAYIRAN</t>
        </is>
      </c>
      <c r="B9" s="8" t="inlineStr">
        <is>
          <t>TREASURER</t>
        </is>
      </c>
      <c r="C9" s="9" t="n">
        <v>7200</v>
      </c>
      <c r="D9" s="9" t="n">
        <v>0</v>
      </c>
      <c r="E9" s="9" t="n">
        <v>0</v>
      </c>
      <c r="F9" s="9" t="n">
        <v>7200</v>
      </c>
    </row>
    <row r="10">
      <c r="A10" s="8" t="inlineStr">
        <is>
          <t>DAVID R REGO</t>
        </is>
      </c>
      <c r="B10" s="8" t="inlineStr">
        <is>
          <t>SECRETARY</t>
        </is>
      </c>
      <c r="C10" s="9" t="n">
        <v>7200</v>
      </c>
      <c r="D10" s="9" t="n">
        <v>0</v>
      </c>
      <c r="E10" s="9" t="n">
        <v>0</v>
      </c>
      <c r="F10" s="9" t="n">
        <v>7200</v>
      </c>
    </row>
    <row r="11">
      <c r="A11" s="8" t="inlineStr">
        <is>
          <t>NORMAN AKASHI</t>
        </is>
      </c>
      <c r="B11" s="8" t="inlineStr">
        <is>
          <t>DIRECTOR</t>
        </is>
      </c>
      <c r="C11" s="9" t="n">
        <v>7200</v>
      </c>
      <c r="D11" s="9" t="n">
        <v>0</v>
      </c>
      <c r="E11" s="9" t="n">
        <v>0</v>
      </c>
      <c r="F11" s="9" t="n">
        <v>7200</v>
      </c>
    </row>
    <row r="12">
      <c r="A12" s="8" t="inlineStr">
        <is>
          <t>KENNETH BRADBURY</t>
        </is>
      </c>
      <c r="B12" s="8" t="inlineStr">
        <is>
          <t>DIRECTOR</t>
        </is>
      </c>
      <c r="C12" s="9" t="n">
        <v>7200</v>
      </c>
      <c r="D12" s="9" t="n">
        <v>0</v>
      </c>
      <c r="E12" s="9" t="n">
        <v>0</v>
      </c>
      <c r="F12" s="9" t="n">
        <v>7200</v>
      </c>
    </row>
    <row r="13">
      <c r="A13" s="17" t="inlineStr">
        <is>
          <t>KOREY BRADBURY</t>
        </is>
      </c>
      <c r="B13" s="17" t="inlineStr">
        <is>
          <t>GENERAL MANAGER</t>
        </is>
      </c>
      <c r="C13" s="18" t="n">
        <v>184800</v>
      </c>
      <c r="D13" s="18" t="n">
        <v>0</v>
      </c>
      <c r="E13" s="18" t="n">
        <v>27295</v>
      </c>
      <c r="F13" s="18" t="n">
        <v>212095</v>
      </c>
    </row>
    <row r="14">
      <c r="A14" s="17" t="inlineStr">
        <is>
          <t>MARIO GARDEA</t>
        </is>
      </c>
      <c r="B14" s="17" t="inlineStr">
        <is>
          <t>SUPERINDENDENT</t>
        </is>
      </c>
      <c r="C14" s="18" t="n">
        <v>130359</v>
      </c>
      <c r="D14" s="18" t="n">
        <v>0</v>
      </c>
      <c r="E14" s="18" t="n">
        <v>45094</v>
      </c>
      <c r="F14" s="18" t="n">
        <v>175453</v>
      </c>
    </row>
    <row r="16">
      <c r="A16" s="6" t="inlineStr">
        <is>
          <t>Section B - Independent contractors (over $100,000)</t>
        </is>
      </c>
      <c r="B16" s="7" t="n"/>
      <c r="C16" s="7" t="n"/>
      <c r="D16" s="7" t="n"/>
      <c r="E16" s="7" t="n"/>
      <c r="F16" s="7" t="n"/>
    </row>
    <row r="17">
      <c r="A17" s="5" t="inlineStr">
        <is>
          <t>Contractor</t>
        </is>
      </c>
      <c r="B17" s="5" t="inlineStr">
        <is>
          <t>Services</t>
        </is>
      </c>
      <c r="C17" s="5" t="inlineStr">
        <is>
          <t>Compensation</t>
        </is>
      </c>
    </row>
    <row r="18">
      <c r="A18" s="8" t="inlineStr">
        <is>
          <t>DOTY BROTHERS EQUIPMENT CO</t>
        </is>
      </c>
      <c r="B18" s="8" t="inlineStr">
        <is>
          <t>CONSTRUCTION SERVICES</t>
        </is>
      </c>
      <c r="C18" s="9" t="n">
        <v>1308391</v>
      </c>
    </row>
    <row r="19">
      <c r="A19" s="8" t="inlineStr">
        <is>
          <t>AQUEOUS VETS</t>
        </is>
      </c>
      <c r="B19" s="8" t="inlineStr">
        <is>
          <t>FILTRATION EQUIPMENT</t>
        </is>
      </c>
      <c r="C19" s="9" t="n">
        <v>633083</v>
      </c>
    </row>
    <row r="20">
      <c r="A20" s="8" t="inlineStr">
        <is>
          <t>AKM CONSULTING ENGINEERING</t>
        </is>
      </c>
      <c r="B20" s="8" t="inlineStr">
        <is>
          <t>ENGINEERING CONSULTING SERVICES</t>
        </is>
      </c>
      <c r="C20" s="9" t="n">
        <v>266732</v>
      </c>
    </row>
    <row r="21">
      <c r="A21" s="8" t="inlineStr">
        <is>
          <t>ROBERT BRKICH CONSTRUCTION CORP</t>
        </is>
      </c>
      <c r="B21" s="8" t="inlineStr">
        <is>
          <t>CONSTRUCTION SERVICES</t>
        </is>
      </c>
      <c r="C21" s="9" t="n">
        <v>182028</v>
      </c>
    </row>
    <row r="22">
      <c r="A22" s="8" t="inlineStr">
        <is>
          <t>HIGHROAD INFORMATION TECHNOLOGY</t>
        </is>
      </c>
      <c r="B22" s="8" t="inlineStr">
        <is>
          <t>IT SERVICES</t>
        </is>
      </c>
      <c r="C22" s="9" t="n">
        <v>147677</v>
      </c>
    </row>
    <row r="24" ht="42" customHeight="1">
      <c r="A24"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5 such contractor(s). Source and confidence for every figure are on the Sources &amp; audit tab.</t>
        </is>
      </c>
    </row>
  </sheetData>
  <mergeCells count="4">
    <mergeCell ref="A3:F3"/>
    <mergeCell ref="A2:F2"/>
    <mergeCell ref="A1:F1"/>
    <mergeCell ref="A24:F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Montebello Land and Water Company</t>
        </is>
      </c>
    </row>
    <row r="2">
      <c r="A2" s="2" t="inlineStr">
        <is>
          <t>Revenue - Form 990 Part VIII (USD)</t>
        </is>
      </c>
    </row>
    <row r="3">
      <c r="A3" s="2" t="inlineStr">
        <is>
          <t>Entity ID: cawc_0031   |   Fiscal year ends June 30.</t>
        </is>
      </c>
    </row>
    <row r="5">
      <c r="A5" s="4" t="inlineStr">
        <is>
          <t>Part VIII line</t>
        </is>
      </c>
      <c r="B5" s="5" t="inlineStr">
        <is>
          <t>FY2021</t>
        </is>
      </c>
      <c r="C5" s="5" t="inlineStr">
        <is>
          <t>FY2022</t>
        </is>
      </c>
      <c r="D5" s="5" t="inlineStr">
        <is>
          <t>FY2023</t>
        </is>
      </c>
      <c r="E5" s="5" t="inlineStr">
        <is>
          <t>FY2024</t>
        </is>
      </c>
    </row>
    <row r="6">
      <c r="A6" s="6" t="inlineStr">
        <is>
          <t>Revenue by category</t>
        </is>
      </c>
      <c r="B6" s="7" t="n"/>
      <c r="C6" s="7" t="n"/>
      <c r="D6" s="7" t="n"/>
      <c r="E6" s="7" t="n"/>
    </row>
    <row r="7">
      <c r="A7" s="8" t="inlineStr">
        <is>
          <t xml:space="preserve">    1h. Total contributions, gifts, grants</t>
        </is>
      </c>
      <c r="B7" s="19" t="inlineStr">
        <is>
          <t>not reported</t>
        </is>
      </c>
      <c r="C7" s="9" t="n">
        <v>39871</v>
      </c>
      <c r="D7" s="9" t="n">
        <v>2930468</v>
      </c>
      <c r="E7" s="9" t="n">
        <v>2298148</v>
      </c>
    </row>
    <row r="8">
      <c r="A8" s="8" t="inlineStr">
        <is>
          <t xml:space="preserve">    2g. Total program service revenue</t>
        </is>
      </c>
      <c r="B8" s="9" t="n">
        <v>6001213</v>
      </c>
      <c r="C8" s="9" t="n">
        <v>6537460</v>
      </c>
      <c r="D8" s="9" t="n">
        <v>6548139</v>
      </c>
      <c r="E8" s="9" t="n">
        <v>6786362</v>
      </c>
    </row>
    <row r="9">
      <c r="A9" s="8" t="inlineStr">
        <is>
          <t xml:space="preserve">    3. Investment income</t>
        </is>
      </c>
      <c r="B9" s="9" t="n">
        <v>79468</v>
      </c>
      <c r="C9" s="9" t="n">
        <v>76951</v>
      </c>
      <c r="D9" s="9" t="n">
        <v>175461</v>
      </c>
      <c r="E9" s="9" t="n">
        <v>314633</v>
      </c>
    </row>
    <row r="10">
      <c r="A10" s="8" t="inlineStr">
        <is>
          <t xml:space="preserve">    6d. Net rental income</t>
        </is>
      </c>
      <c r="B10" s="19" t="inlineStr">
        <is>
          <t>not reported</t>
        </is>
      </c>
      <c r="C10" s="19" t="inlineStr">
        <is>
          <t>not reported</t>
        </is>
      </c>
      <c r="D10" s="19" t="inlineStr">
        <is>
          <t>not reported</t>
        </is>
      </c>
      <c r="E10" s="19" t="inlineStr">
        <is>
          <t>not reported</t>
        </is>
      </c>
    </row>
    <row r="11">
      <c r="A11" s="8" t="inlineStr">
        <is>
          <t xml:space="preserve">    7d. Net gain/(loss) from investment sales</t>
        </is>
      </c>
      <c r="B11" s="9" t="n">
        <v>1500</v>
      </c>
      <c r="C11" s="9" t="n">
        <v>10000</v>
      </c>
      <c r="D11" s="19" t="inlineStr">
        <is>
          <t>not reported</t>
        </is>
      </c>
      <c r="E11" s="9" t="n">
        <v>11000</v>
      </c>
    </row>
    <row r="12">
      <c r="A12" s="8" t="inlineStr">
        <is>
          <t xml:space="preserve">    11e. Other revenue</t>
        </is>
      </c>
      <c r="B12" s="9" t="n">
        <v>37495</v>
      </c>
      <c r="C12" s="9" t="n">
        <v>107070</v>
      </c>
      <c r="D12" s="9" t="n">
        <v>369379</v>
      </c>
      <c r="E12" s="9" t="n">
        <v>1001189</v>
      </c>
    </row>
    <row r="13">
      <c r="A13" s="10" t="inlineStr">
        <is>
          <t>12. Total revenue</t>
        </is>
      </c>
      <c r="B13" s="11">
        <f>SUM(B7:B12)</f>
        <v/>
      </c>
      <c r="C13" s="11">
        <f>SUM(C7:C12)</f>
        <v/>
      </c>
      <c r="D13" s="11">
        <f>SUM(D7:D12)</f>
        <v/>
      </c>
      <c r="E13" s="11">
        <f>SUM(E7:E12)</f>
        <v/>
      </c>
    </row>
    <row r="15">
      <c r="A15" s="6" t="inlineStr">
        <is>
          <t>Program service revenue detail - FY2024 (lines 2a-2f)</t>
        </is>
      </c>
      <c r="B15" s="7" t="n"/>
      <c r="C15" s="7" t="n"/>
      <c r="D15" s="7" t="n"/>
      <c r="E15" s="7" t="n"/>
    </row>
    <row r="16">
      <c r="A16" s="5" t="inlineStr">
        <is>
          <t>Description</t>
        </is>
      </c>
      <c r="B16" s="5" t="inlineStr">
        <is>
          <t>Business code</t>
        </is>
      </c>
      <c r="C16" s="5" t="inlineStr">
        <is>
          <t>Total revenue</t>
        </is>
      </c>
    </row>
    <row r="17">
      <c r="A17" s="8" t="inlineStr">
        <is>
          <t>WATER SALES</t>
        </is>
      </c>
      <c r="B17" s="8" t="inlineStr">
        <is>
          <t>221000</t>
        </is>
      </c>
      <c r="C17" s="9" t="n">
        <v>6733589</v>
      </c>
    </row>
    <row r="18">
      <c r="A18" s="8" t="inlineStr">
        <is>
          <t>DELINQUENT FEES</t>
        </is>
      </c>
      <c r="B18" s="8" t="inlineStr">
        <is>
          <t>221000</t>
        </is>
      </c>
      <c r="C18" s="9" t="n">
        <v>37540</v>
      </c>
    </row>
    <row r="19">
      <c r="A19" s="8" t="inlineStr">
        <is>
          <t>SHUT OFF FEES</t>
        </is>
      </c>
      <c r="B19" s="8" t="inlineStr">
        <is>
          <t>221000</t>
        </is>
      </c>
      <c r="C19" s="9" t="n">
        <v>12065</v>
      </c>
    </row>
    <row r="20">
      <c r="A20" s="8" t="inlineStr">
        <is>
          <t>STOCK TRANSFER FEES</t>
        </is>
      </c>
      <c r="B20" s="8" t="inlineStr">
        <is>
          <t>221000</t>
        </is>
      </c>
      <c r="C20" s="9" t="n">
        <v>3168</v>
      </c>
    </row>
    <row r="21" ht="42" customHeight="1">
      <c r="A21"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E2"/>
    <mergeCell ref="A21:E21"/>
    <mergeCell ref="A1:E1"/>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Montebello Land and Water Company</t>
        </is>
      </c>
    </row>
    <row r="2">
      <c r="A2" s="2" t="inlineStr">
        <is>
          <t>Statement of Functional Expenses - Form 990 Part IX (USD)</t>
        </is>
      </c>
    </row>
    <row r="3">
      <c r="A3" s="2" t="inlineStr">
        <is>
          <t>Entity ID: cawc_0031   |   Fiscal year ends June 30.</t>
        </is>
      </c>
    </row>
    <row r="5">
      <c r="A5" s="4" t="inlineStr">
        <is>
          <t>Part IX line (column A Total)</t>
        </is>
      </c>
      <c r="B5" s="5" t="inlineStr">
        <is>
          <t>FY2021</t>
        </is>
      </c>
      <c r="C5" s="5" t="inlineStr">
        <is>
          <t>FY2022</t>
        </is>
      </c>
      <c r="D5" s="5" t="inlineStr">
        <is>
          <t>FY2023</t>
        </is>
      </c>
      <c r="E5" s="5" t="inlineStr">
        <is>
          <t>FY2024</t>
        </is>
      </c>
    </row>
    <row r="6">
      <c r="A6" s="6" t="inlineStr">
        <is>
          <t>Functional expenses, column A Total - by year</t>
        </is>
      </c>
      <c r="B6" s="7" t="n"/>
      <c r="C6" s="7" t="n"/>
      <c r="D6" s="7" t="n"/>
      <c r="E6" s="7" t="n"/>
    </row>
    <row r="7">
      <c r="A7" s="8" t="inlineStr">
        <is>
          <t xml:space="preserve">    5. Compensation of current officers, directors, trustees</t>
        </is>
      </c>
      <c r="B7" s="9" t="n">
        <v>234027</v>
      </c>
      <c r="C7" s="9" t="n">
        <v>339169</v>
      </c>
      <c r="D7" s="9" t="n">
        <v>249738</v>
      </c>
      <c r="E7" s="9" t="n">
        <v>277260</v>
      </c>
    </row>
    <row r="8">
      <c r="A8" s="8" t="inlineStr">
        <is>
          <t xml:space="preserve">    7. Other salaries and wages</t>
        </is>
      </c>
      <c r="B8" s="9" t="n">
        <v>790543</v>
      </c>
      <c r="C8" s="9" t="n">
        <v>774184</v>
      </c>
      <c r="D8" s="9" t="n">
        <v>693589</v>
      </c>
      <c r="E8" s="9" t="n">
        <v>717376</v>
      </c>
    </row>
    <row r="9">
      <c r="A9" s="8" t="inlineStr">
        <is>
          <t xml:space="preserve">    8. Pension plan accruals and contributions</t>
        </is>
      </c>
      <c r="B9" s="9" t="n">
        <v>531864</v>
      </c>
      <c r="C9" s="9" t="n">
        <v>146974</v>
      </c>
      <c r="D9" s="9" t="n">
        <v>145502</v>
      </c>
      <c r="E9" s="9" t="n">
        <v>111902</v>
      </c>
    </row>
    <row r="10">
      <c r="A10" s="8" t="inlineStr">
        <is>
          <t xml:space="preserve">    9. Other employee benefits</t>
        </is>
      </c>
      <c r="B10" s="9" t="n">
        <v>215494</v>
      </c>
      <c r="C10" s="9" t="n">
        <v>195430</v>
      </c>
      <c r="D10" s="9" t="n">
        <v>188176</v>
      </c>
      <c r="E10" s="9" t="n">
        <v>193166</v>
      </c>
    </row>
    <row r="11">
      <c r="A11" s="8" t="inlineStr">
        <is>
          <t xml:space="preserve">    10. Payroll taxes</t>
        </is>
      </c>
      <c r="B11" s="9" t="n">
        <v>86855</v>
      </c>
      <c r="C11" s="9" t="n">
        <v>83241</v>
      </c>
      <c r="D11" s="9" t="n">
        <v>77323</v>
      </c>
      <c r="E11" s="9" t="n">
        <v>87480</v>
      </c>
    </row>
    <row r="12">
      <c r="A12" s="8" t="inlineStr">
        <is>
          <t xml:space="preserve">    11b. Fees for services: legal</t>
        </is>
      </c>
      <c r="B12" s="9" t="n">
        <v>47975</v>
      </c>
      <c r="C12" s="9" t="n">
        <v>33287</v>
      </c>
      <c r="D12" s="9" t="n">
        <v>44035</v>
      </c>
      <c r="E12" s="9" t="n">
        <v>31995</v>
      </c>
    </row>
    <row r="13">
      <c r="A13" s="8" t="inlineStr">
        <is>
          <t xml:space="preserve">    11c. Fees for services: accounting</t>
        </is>
      </c>
      <c r="B13" s="9" t="n">
        <v>34625</v>
      </c>
      <c r="C13" s="9" t="n">
        <v>36875</v>
      </c>
      <c r="D13" s="9" t="n">
        <v>36822</v>
      </c>
      <c r="E13" s="9" t="n">
        <v>38150</v>
      </c>
    </row>
    <row r="14">
      <c r="A14" s="8" t="inlineStr">
        <is>
          <t xml:space="preserve">    11g. Fees for services: other</t>
        </is>
      </c>
      <c r="B14" s="9" t="n">
        <v>172935</v>
      </c>
      <c r="C14" s="9" t="n">
        <v>216845</v>
      </c>
      <c r="D14" s="9" t="n">
        <v>161754</v>
      </c>
      <c r="E14" s="9" t="n">
        <v>176077</v>
      </c>
    </row>
    <row r="15">
      <c r="A15" s="8" t="inlineStr">
        <is>
          <t xml:space="preserve">    13. Office expenses</t>
        </is>
      </c>
      <c r="B15" s="9" t="n">
        <v>103493</v>
      </c>
      <c r="C15" s="9" t="n">
        <v>100386</v>
      </c>
      <c r="D15" s="9" t="n">
        <v>110246</v>
      </c>
      <c r="E15" s="9" t="n">
        <v>116548</v>
      </c>
    </row>
    <row r="16">
      <c r="A16" s="8" t="inlineStr">
        <is>
          <t xml:space="preserve">    16. Occupancy</t>
        </is>
      </c>
      <c r="B16" s="9" t="n">
        <v>18316</v>
      </c>
      <c r="C16" s="9" t="n">
        <v>16171</v>
      </c>
      <c r="D16" s="9" t="n">
        <v>18850</v>
      </c>
      <c r="E16" s="9" t="n">
        <v>18575</v>
      </c>
    </row>
    <row r="17">
      <c r="A17" s="8" t="inlineStr">
        <is>
          <t xml:space="preserve">    22. Depreciation, depletion, and amortization</t>
        </is>
      </c>
      <c r="B17" s="9" t="n">
        <v>700696</v>
      </c>
      <c r="C17" s="9" t="n">
        <v>705040</v>
      </c>
      <c r="D17" s="9" t="n">
        <v>701606</v>
      </c>
      <c r="E17" s="9" t="n">
        <v>719217</v>
      </c>
    </row>
    <row r="18">
      <c r="A18" s="8" t="inlineStr">
        <is>
          <t xml:space="preserve">    23. Insurance</t>
        </is>
      </c>
      <c r="B18" s="9" t="n">
        <v>135260</v>
      </c>
      <c r="C18" s="9" t="n">
        <v>145697</v>
      </c>
      <c r="D18" s="9" t="n">
        <v>167126</v>
      </c>
      <c r="E18" s="9" t="n">
        <v>186289</v>
      </c>
    </row>
    <row r="19">
      <c r="A19" s="8" t="inlineStr">
        <is>
          <t xml:space="preserve">    24. WATER REPLENISHMENT</t>
        </is>
      </c>
      <c r="B19" s="9" t="n">
        <v>1300502</v>
      </c>
      <c r="C19" s="9" t="n">
        <v>1309912</v>
      </c>
      <c r="D19" s="9" t="n">
        <v>1340440</v>
      </c>
      <c r="E19" s="9" t="n">
        <v>1333773</v>
      </c>
    </row>
    <row r="20">
      <c r="A20" s="8" t="inlineStr">
        <is>
          <t xml:space="preserve">    24. ALL OTHER EXPENSES</t>
        </is>
      </c>
      <c r="B20" s="9" t="n">
        <v>240935</v>
      </c>
      <c r="C20" s="9" t="n">
        <v>208523</v>
      </c>
      <c r="D20" s="9" t="n">
        <v>246330</v>
      </c>
      <c r="E20" s="9" t="n">
        <v>236249</v>
      </c>
    </row>
    <row r="21">
      <c r="A21" s="8" t="inlineStr">
        <is>
          <t xml:space="preserve">    24. POWER &amp; GAS</t>
        </is>
      </c>
      <c r="B21" s="9" t="n">
        <v>239515</v>
      </c>
      <c r="C21" s="9" t="n">
        <v>348420</v>
      </c>
      <c r="D21" s="9" t="n">
        <v>398719</v>
      </c>
      <c r="E21" s="9" t="n">
        <v>344318</v>
      </c>
    </row>
    <row r="22">
      <c r="A22" s="8" t="inlineStr">
        <is>
          <t xml:space="preserve">    24. FEES AND TAXES</t>
        </is>
      </c>
      <c r="B22" s="9" t="n">
        <v>71473</v>
      </c>
      <c r="C22" s="19" t="inlineStr">
        <is>
          <t>not reported</t>
        </is>
      </c>
      <c r="D22" s="19" t="inlineStr">
        <is>
          <t>not reported</t>
        </is>
      </c>
      <c r="E22" s="9" t="n">
        <v>92998</v>
      </c>
    </row>
    <row r="23">
      <c r="A23" s="8" t="inlineStr">
        <is>
          <t xml:space="preserve">    24. REPAIRS &amp; MAINTENANCE</t>
        </is>
      </c>
      <c r="B23" s="19" t="inlineStr">
        <is>
          <t>not reported</t>
        </is>
      </c>
      <c r="C23" s="9" t="n">
        <v>77252</v>
      </c>
      <c r="D23" s="9" t="n">
        <v>109968</v>
      </c>
      <c r="E23" s="19" t="inlineStr">
        <is>
          <t>not reported</t>
        </is>
      </c>
    </row>
    <row r="24">
      <c r="A24" s="8" t="inlineStr">
        <is>
          <t xml:space="preserve">    24e. All other expenses</t>
        </is>
      </c>
      <c r="B24" s="9" t="n">
        <v>59064</v>
      </c>
      <c r="C24" s="9" t="n">
        <v>73514</v>
      </c>
      <c r="D24" s="9" t="n">
        <v>96100</v>
      </c>
      <c r="E24" s="9" t="n">
        <v>79601</v>
      </c>
    </row>
    <row r="25">
      <c r="A25" s="10" t="inlineStr">
        <is>
          <t>25. Total functional expenses</t>
        </is>
      </c>
      <c r="B25" s="11">
        <f>SUM(B7:B24)</f>
        <v/>
      </c>
      <c r="C25" s="11">
        <f>SUM(C7:C24)</f>
        <v/>
      </c>
      <c r="D25" s="11">
        <f>SUM(D7:D24)</f>
        <v/>
      </c>
      <c r="E25" s="11">
        <f>SUM(E7:E24)</f>
        <v/>
      </c>
    </row>
    <row r="27">
      <c r="A27" s="6" t="inlineStr">
        <is>
          <t>Functional column split - FY2024 (col A = B + C + D)</t>
        </is>
      </c>
      <c r="B27" s="7" t="n"/>
      <c r="C27" s="7" t="n"/>
      <c r="D27" s="7" t="n"/>
      <c r="E27" s="7" t="n"/>
    </row>
    <row r="28">
      <c r="A28" s="5" t="inlineStr">
        <is>
          <t>Part IX line</t>
        </is>
      </c>
      <c r="B28" s="5" t="inlineStr">
        <is>
          <t>A. Total</t>
        </is>
      </c>
      <c r="C28" s="5" t="inlineStr">
        <is>
          <t>B. Program services</t>
        </is>
      </c>
      <c r="D28" s="5" t="inlineStr">
        <is>
          <t>C. Management &amp; general</t>
        </is>
      </c>
      <c r="E28" s="5" t="inlineStr">
        <is>
          <t>D. Fundraising</t>
        </is>
      </c>
    </row>
    <row r="29">
      <c r="A29" s="20" t="inlineStr">
        <is>
          <t>5. Compensation of current officers, directors, trustees</t>
        </is>
      </c>
      <c r="B29" s="9" t="n">
        <v>277260</v>
      </c>
      <c r="C29" s="9" t="n">
        <v>277260</v>
      </c>
      <c r="D29" s="9" t="n"/>
      <c r="E29" s="9" t="n"/>
    </row>
    <row r="30">
      <c r="A30" s="20" t="inlineStr">
        <is>
          <t>7. Other salaries and wages</t>
        </is>
      </c>
      <c r="B30" s="9" t="n">
        <v>717376</v>
      </c>
      <c r="C30" s="9" t="n">
        <v>717376</v>
      </c>
      <c r="D30" s="9" t="n"/>
      <c r="E30" s="9" t="n"/>
    </row>
    <row r="31">
      <c r="A31" s="20" t="inlineStr">
        <is>
          <t>8. Pension plan accruals and contributions</t>
        </is>
      </c>
      <c r="B31" s="9" t="n">
        <v>111902</v>
      </c>
      <c r="C31" s="9" t="n">
        <v>111902</v>
      </c>
      <c r="D31" s="9" t="n"/>
      <c r="E31" s="9" t="n"/>
    </row>
    <row r="32">
      <c r="A32" s="20" t="inlineStr">
        <is>
          <t>9. Other employee benefits</t>
        </is>
      </c>
      <c r="B32" s="9" t="n">
        <v>193166</v>
      </c>
      <c r="C32" s="9" t="n">
        <v>193166</v>
      </c>
      <c r="D32" s="9" t="n"/>
      <c r="E32" s="9" t="n"/>
    </row>
    <row r="33">
      <c r="A33" s="20" t="inlineStr">
        <is>
          <t>10. Payroll taxes</t>
        </is>
      </c>
      <c r="B33" s="9" t="n">
        <v>87480</v>
      </c>
      <c r="C33" s="9" t="n">
        <v>87480</v>
      </c>
      <c r="D33" s="9" t="n"/>
      <c r="E33" s="9" t="n"/>
    </row>
    <row r="34">
      <c r="A34" s="20" t="inlineStr">
        <is>
          <t>11b. Fees for services: legal</t>
        </is>
      </c>
      <c r="B34" s="9" t="n">
        <v>31995</v>
      </c>
      <c r="C34" s="9" t="n">
        <v>31995</v>
      </c>
      <c r="D34" s="9" t="n"/>
      <c r="E34" s="9" t="n"/>
    </row>
    <row r="35">
      <c r="A35" s="20" t="inlineStr">
        <is>
          <t>11c. Fees for services: accounting</t>
        </is>
      </c>
      <c r="B35" s="9" t="n">
        <v>38150</v>
      </c>
      <c r="C35" s="9" t="n">
        <v>38150</v>
      </c>
      <c r="D35" s="9" t="n"/>
      <c r="E35" s="9" t="n"/>
    </row>
    <row r="36">
      <c r="A36" s="20" t="inlineStr">
        <is>
          <t>11g. Fees for services: other</t>
        </is>
      </c>
      <c r="B36" s="9" t="n">
        <v>176077</v>
      </c>
      <c r="C36" s="9" t="n">
        <v>176077</v>
      </c>
      <c r="D36" s="9" t="n"/>
      <c r="E36" s="9" t="n"/>
    </row>
    <row r="37">
      <c r="A37" s="20" t="inlineStr">
        <is>
          <t>13. Office expenses</t>
        </is>
      </c>
      <c r="B37" s="9" t="n">
        <v>116548</v>
      </c>
      <c r="C37" s="9" t="n">
        <v>116548</v>
      </c>
      <c r="D37" s="9" t="n"/>
      <c r="E37" s="9" t="n"/>
    </row>
    <row r="38">
      <c r="A38" s="20" t="inlineStr">
        <is>
          <t>16. Occupancy</t>
        </is>
      </c>
      <c r="B38" s="9" t="n">
        <v>18575</v>
      </c>
      <c r="C38" s="9" t="n">
        <v>18575</v>
      </c>
      <c r="D38" s="9" t="n"/>
      <c r="E38" s="9" t="n"/>
    </row>
    <row r="39">
      <c r="A39" s="20" t="inlineStr">
        <is>
          <t>22. Depreciation, depletion, and amortization</t>
        </is>
      </c>
      <c r="B39" s="9" t="n">
        <v>719217</v>
      </c>
      <c r="C39" s="9" t="n">
        <v>719217</v>
      </c>
      <c r="D39" s="9" t="n"/>
      <c r="E39" s="9" t="n"/>
    </row>
    <row r="40">
      <c r="A40" s="20" t="inlineStr">
        <is>
          <t>23. Insurance</t>
        </is>
      </c>
      <c r="B40" s="9" t="n">
        <v>186289</v>
      </c>
      <c r="C40" s="9" t="n">
        <v>186289</v>
      </c>
      <c r="D40" s="9" t="n"/>
      <c r="E40" s="9" t="n"/>
    </row>
    <row r="41">
      <c r="A41" s="10" t="inlineStr">
        <is>
          <t>25. Total (filed col A / B / C / D)</t>
        </is>
      </c>
      <c r="B41" s="11" t="n">
        <v>4760974</v>
      </c>
      <c r="C41" s="11" t="n">
        <v>4760974</v>
      </c>
      <c r="D41" s="11" t="n">
        <v>0</v>
      </c>
      <c r="E41" s="11" t="n">
        <v>0</v>
      </c>
    </row>
    <row r="43" ht="42" customHeight="1">
      <c r="A43"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2:E2"/>
    <mergeCell ref="A1:E1"/>
    <mergeCell ref="A43:E43"/>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Montebello Land and Water Company</t>
        </is>
      </c>
    </row>
    <row r="2">
      <c r="A2" s="2" t="inlineStr">
        <is>
          <t>Balance Sheet - Form 990 Part X (end of year, USD)</t>
        </is>
      </c>
    </row>
    <row r="3">
      <c r="A3" s="2" t="inlineStr">
        <is>
          <t>Entity ID: cawc_0031   |   Fiscal year ends June 30.</t>
        </is>
      </c>
    </row>
    <row r="5">
      <c r="A5" s="4" t="inlineStr">
        <is>
          <t>Part X line (column B, EOY)</t>
        </is>
      </c>
      <c r="B5" s="5" t="inlineStr">
        <is>
          <t>FY2021</t>
        </is>
      </c>
      <c r="C5" s="5" t="inlineStr">
        <is>
          <t>FY2022</t>
        </is>
      </c>
      <c r="D5" s="5" t="inlineStr">
        <is>
          <t>FY2023</t>
        </is>
      </c>
      <c r="E5" s="5" t="inlineStr">
        <is>
          <t>FY2024</t>
        </is>
      </c>
    </row>
    <row r="6">
      <c r="A6" s="6" t="inlineStr">
        <is>
          <t>Assets</t>
        </is>
      </c>
      <c r="B6" s="7" t="n"/>
      <c r="C6" s="7" t="n"/>
      <c r="D6" s="7" t="n"/>
      <c r="E6" s="7" t="n"/>
    </row>
    <row r="7">
      <c r="A7" s="8" t="inlineStr">
        <is>
          <t xml:space="preserve">    1. Cash - non-interest-bearing</t>
        </is>
      </c>
      <c r="B7" s="9" t="n">
        <v>57818</v>
      </c>
      <c r="C7" s="9" t="n">
        <v>517176</v>
      </c>
      <c r="D7" s="9" t="n">
        <v>543443</v>
      </c>
      <c r="E7" s="9" t="n">
        <v>217947</v>
      </c>
    </row>
    <row r="8">
      <c r="A8" s="8" t="inlineStr">
        <is>
          <t xml:space="preserve">    2. Savings and temporary cash investments</t>
        </is>
      </c>
      <c r="B8" s="9" t="n">
        <v>4428799</v>
      </c>
      <c r="C8" s="9" t="n">
        <v>3142076</v>
      </c>
      <c r="D8" s="9" t="n">
        <v>6967537</v>
      </c>
      <c r="E8" s="9" t="n">
        <v>6250170</v>
      </c>
    </row>
    <row r="9">
      <c r="A9" s="8" t="inlineStr">
        <is>
          <t xml:space="preserve">    4. Accounts receivable, net</t>
        </is>
      </c>
      <c r="B9" s="9" t="n">
        <v>751576</v>
      </c>
      <c r="C9" s="9" t="n">
        <v>845963</v>
      </c>
      <c r="D9" s="9" t="n">
        <v>1373920</v>
      </c>
      <c r="E9" s="9" t="n">
        <v>2474145</v>
      </c>
    </row>
    <row r="10">
      <c r="A10" s="8" t="inlineStr">
        <is>
          <t xml:space="preserve">    8. Inventories for sale or use</t>
        </is>
      </c>
      <c r="B10" s="9" t="n">
        <v>257880</v>
      </c>
      <c r="C10" s="9" t="n">
        <v>484939</v>
      </c>
      <c r="D10" s="9" t="n">
        <v>410183</v>
      </c>
      <c r="E10" s="9" t="n">
        <v>369901</v>
      </c>
    </row>
    <row r="11">
      <c r="A11" s="8" t="inlineStr">
        <is>
          <t xml:space="preserve">    9. Prepaid expenses and deferred charges</t>
        </is>
      </c>
      <c r="B11" s="9" t="n">
        <v>115546</v>
      </c>
      <c r="C11" s="9" t="n">
        <v>132648</v>
      </c>
      <c r="D11" s="9" t="n">
        <v>135542</v>
      </c>
      <c r="E11" s="9" t="n">
        <v>158416</v>
      </c>
    </row>
    <row r="12">
      <c r="A12" s="8" t="inlineStr">
        <is>
          <t xml:space="preserve">    10c. Land, buildings, and equipment, net</t>
        </is>
      </c>
      <c r="B12" s="9" t="n">
        <v>13597534</v>
      </c>
      <c r="C12" s="9" t="n">
        <v>13202371</v>
      </c>
      <c r="D12" s="9" t="n">
        <v>13132610</v>
      </c>
      <c r="E12" s="9" t="n">
        <v>13163606</v>
      </c>
    </row>
    <row r="13">
      <c r="A13" s="8" t="inlineStr">
        <is>
          <t xml:space="preserve">    12. Investments - other securities</t>
        </is>
      </c>
      <c r="B13" s="9" t="n">
        <v>1928709</v>
      </c>
      <c r="C13" s="9" t="n">
        <v>1749065</v>
      </c>
      <c r="D13" s="9" t="n">
        <v>1793863</v>
      </c>
      <c r="E13" s="9" t="n">
        <v>1819321</v>
      </c>
    </row>
    <row r="14">
      <c r="A14" s="8" t="inlineStr">
        <is>
          <t xml:space="preserve">    15. Other assets</t>
        </is>
      </c>
      <c r="B14" s="9" t="n">
        <v>4164381</v>
      </c>
      <c r="C14" s="9" t="n">
        <v>7528426</v>
      </c>
      <c r="D14" s="9" t="n">
        <v>8555498</v>
      </c>
      <c r="E14" s="9" t="n">
        <v>13514050</v>
      </c>
    </row>
    <row r="15">
      <c r="A15" s="10" t="inlineStr">
        <is>
          <t>16. Total assets</t>
        </is>
      </c>
      <c r="B15" s="11">
        <f>SUM(B7:B14)</f>
        <v/>
      </c>
      <c r="C15" s="11">
        <f>SUM(C7:C14)</f>
        <v/>
      </c>
      <c r="D15" s="11">
        <f>SUM(D7:D14)</f>
        <v/>
      </c>
      <c r="E15" s="11">
        <f>SUM(E7:E14)</f>
        <v/>
      </c>
    </row>
    <row r="17">
      <c r="A17" s="6" t="inlineStr">
        <is>
          <t>Liabilities</t>
        </is>
      </c>
      <c r="B17" s="7" t="n"/>
      <c r="C17" s="7" t="n"/>
      <c r="D17" s="7" t="n"/>
      <c r="E17" s="7" t="n"/>
    </row>
    <row r="18">
      <c r="A18" s="8" t="inlineStr">
        <is>
          <t xml:space="preserve">    17. Accounts payable and accrued expenses</t>
        </is>
      </c>
      <c r="B18" s="9" t="n">
        <v>42845</v>
      </c>
      <c r="C18" s="9" t="n">
        <v>53260</v>
      </c>
      <c r="D18" s="9" t="n">
        <v>209524</v>
      </c>
      <c r="E18" s="9" t="n">
        <v>482643</v>
      </c>
    </row>
    <row r="19">
      <c r="A19" s="8" t="inlineStr">
        <is>
          <t xml:space="preserve">    19. Deferred revenue</t>
        </is>
      </c>
      <c r="B19" s="9" t="n">
        <v>35111</v>
      </c>
      <c r="C19" s="9" t="n">
        <v>57501</v>
      </c>
      <c r="D19" s="9" t="n">
        <v>58326</v>
      </c>
      <c r="E19" s="9" t="n">
        <v>64413</v>
      </c>
    </row>
    <row r="20">
      <c r="A20" s="8" t="inlineStr">
        <is>
          <t xml:space="preserve">    25. Other liabilities</t>
        </is>
      </c>
      <c r="B20" s="9" t="n">
        <v>339124</v>
      </c>
      <c r="C20" s="9" t="n">
        <v>825897</v>
      </c>
      <c r="D20" s="9" t="n">
        <v>1123358</v>
      </c>
      <c r="E20" s="9" t="n">
        <v>223297</v>
      </c>
    </row>
    <row r="21">
      <c r="A21" s="10" t="inlineStr">
        <is>
          <t>26. Total liabilities</t>
        </is>
      </c>
      <c r="B21" s="11">
        <f>SUM(B18:B20)</f>
        <v/>
      </c>
      <c r="C21" s="11">
        <f>SUM(C18:C20)</f>
        <v/>
      </c>
      <c r="D21" s="11">
        <f>SUM(D18:D20)</f>
        <v/>
      </c>
      <c r="E21" s="11">
        <f>SUM(E18:E20)</f>
        <v/>
      </c>
    </row>
    <row r="23">
      <c r="A23" s="6" t="inlineStr">
        <is>
          <t>Net assets / fund balances</t>
        </is>
      </c>
      <c r="B23" s="7" t="n"/>
      <c r="C23" s="7" t="n"/>
      <c r="D23" s="7" t="n"/>
      <c r="E23" s="7" t="n"/>
    </row>
    <row r="24">
      <c r="A24" s="8" t="inlineStr">
        <is>
          <t xml:space="preserve">    29. Capital stock or trust principal</t>
        </is>
      </c>
      <c r="B24" s="9" t="n">
        <v>77813</v>
      </c>
      <c r="C24" s="9" t="n">
        <v>77813</v>
      </c>
      <c r="D24" s="9" t="n">
        <v>77813</v>
      </c>
      <c r="E24" s="9" t="n">
        <v>77813</v>
      </c>
    </row>
    <row r="25">
      <c r="A25" s="8" t="inlineStr">
        <is>
          <t xml:space="preserve">    30. Paid-in or capital surplus</t>
        </is>
      </c>
      <c r="B25" s="9" t="n">
        <v>3512</v>
      </c>
      <c r="C25" s="9" t="n">
        <v>3512</v>
      </c>
      <c r="D25" s="9" t="n">
        <v>3512</v>
      </c>
      <c r="E25" s="9" t="n">
        <v>3512</v>
      </c>
    </row>
    <row r="26">
      <c r="A26" s="8" t="inlineStr">
        <is>
          <t xml:space="preserve">    31. Retained earnings / accumulated funds</t>
        </is>
      </c>
      <c r="B26" s="9" t="n">
        <v>24803838</v>
      </c>
      <c r="C26" s="9" t="n">
        <v>26584681</v>
      </c>
      <c r="D26" s="9" t="n">
        <v>31440063</v>
      </c>
      <c r="E26" s="9" t="n">
        <v>37115878</v>
      </c>
    </row>
    <row r="27">
      <c r="A27" s="10" t="inlineStr">
        <is>
          <t>32. Total net assets / fund balances</t>
        </is>
      </c>
      <c r="B27" s="11">
        <f>SUM(B24:B26)</f>
        <v/>
      </c>
      <c r="C27" s="11">
        <f>SUM(C24:C26)</f>
        <v/>
      </c>
      <c r="D27" s="11">
        <f>SUM(D24:D26)</f>
        <v/>
      </c>
      <c r="E27" s="11">
        <f>SUM(E24:E26)</f>
        <v/>
      </c>
    </row>
    <row r="29" ht="42" customHeight="1">
      <c r="A29"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E2"/>
    <mergeCell ref="A29:E29"/>
    <mergeCell ref="A1:E1"/>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Montebello Land and Water Company</t>
        </is>
      </c>
    </row>
    <row r="2">
      <c r="A2" s="2" t="inlineStr">
        <is>
          <t>Reconciliation of Net Assets - Form 990 Part XI (USD)</t>
        </is>
      </c>
    </row>
    <row r="3">
      <c r="A3" s="2" t="inlineStr">
        <is>
          <t>Entity ID: cawc_0031   |   Fiscal year ends June 30.</t>
        </is>
      </c>
    </row>
    <row r="5">
      <c r="A5" s="4" t="inlineStr">
        <is>
          <t>Part XI line</t>
        </is>
      </c>
      <c r="B5" s="5" t="inlineStr">
        <is>
          <t>FY2021</t>
        </is>
      </c>
      <c r="C5" s="5" t="inlineStr">
        <is>
          <t>FY2022</t>
        </is>
      </c>
      <c r="D5" s="5" t="inlineStr">
        <is>
          <t>FY2023</t>
        </is>
      </c>
      <c r="E5" s="5" t="inlineStr">
        <is>
          <t>FY2024</t>
        </is>
      </c>
    </row>
    <row r="6">
      <c r="A6" s="6" t="inlineStr">
        <is>
          <t>Reconciliation</t>
        </is>
      </c>
      <c r="B6" s="7" t="n"/>
      <c r="C6" s="7" t="n"/>
      <c r="D6" s="7" t="n"/>
      <c r="E6" s="7" t="n"/>
    </row>
    <row r="7">
      <c r="A7" s="8" t="inlineStr">
        <is>
          <t xml:space="preserve">    4. Net assets, beginning of year</t>
        </is>
      </c>
      <c r="B7" s="9" t="n">
        <v>22825870</v>
      </c>
      <c r="C7" s="9" t="n">
        <v>24885163</v>
      </c>
      <c r="D7" s="9" t="n">
        <v>26666006</v>
      </c>
      <c r="E7" s="9" t="n">
        <v>31521388</v>
      </c>
    </row>
    <row r="8">
      <c r="A8" s="8" t="inlineStr">
        <is>
          <t xml:space="preserve">    3. Revenue less expenses</t>
        </is>
      </c>
      <c r="B8" s="9" t="n">
        <v>1136104</v>
      </c>
      <c r="C8" s="9" t="n">
        <v>1960432</v>
      </c>
      <c r="D8" s="9" t="n">
        <v>5237123</v>
      </c>
      <c r="E8" s="9" t="n">
        <v>5650358</v>
      </c>
    </row>
    <row r="9">
      <c r="A9" s="8" t="inlineStr">
        <is>
          <t xml:space="preserve">    8. Prior period adjustments</t>
        </is>
      </c>
      <c r="B9" s="19" t="inlineStr">
        <is>
          <t>not reported</t>
        </is>
      </c>
      <c r="C9" s="19" t="inlineStr">
        <is>
          <t>not reported</t>
        </is>
      </c>
      <c r="D9" s="19" t="inlineStr">
        <is>
          <t>not reported</t>
        </is>
      </c>
      <c r="E9" s="19" t="inlineStr">
        <is>
          <t>not reported</t>
        </is>
      </c>
    </row>
    <row r="10">
      <c r="A10" s="8" t="inlineStr">
        <is>
          <t xml:space="preserve">    9. Other changes in net assets</t>
        </is>
      </c>
      <c r="B10" s="9" t="n">
        <v>775988</v>
      </c>
      <c r="C10" s="9" t="n">
        <v>55</v>
      </c>
      <c r="D10" s="9" t="n">
        <v>-426539</v>
      </c>
      <c r="E10" s="9" t="n">
        <v>0</v>
      </c>
    </row>
    <row r="11">
      <c r="A11" s="10" t="inlineStr">
        <is>
          <t>10. Net assets, end of year</t>
        </is>
      </c>
      <c r="B11" s="11">
        <f>SUM(B7,B8,B9,B10)</f>
        <v/>
      </c>
      <c r="C11" s="11">
        <f>SUM(C7,C8,C9,C10)</f>
        <v/>
      </c>
      <c r="D11" s="11">
        <f>SUM(D7,D8,D9,D10)</f>
        <v/>
      </c>
      <c r="E11" s="11">
        <f>SUM(E7,E8,E9,E10)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2:E2"/>
    <mergeCell ref="A1:E1"/>
    <mergeCell ref="A13:E13"/>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Montebello Land and Water Company</t>
        </is>
      </c>
    </row>
    <row r="2">
      <c r="A2" s="2" t="inlineStr">
        <is>
          <t>Cash Flow Proxies - derived (USD)</t>
        </is>
      </c>
    </row>
    <row r="3">
      <c r="A3" s="2" t="inlineStr">
        <is>
          <t>Entity ID: cawc_0031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row>
    <row r="8">
      <c r="A8" s="6" t="inlineStr">
        <is>
          <t>Operating</t>
        </is>
      </c>
      <c r="B8" s="7" t="n"/>
      <c r="C8" s="7" t="n"/>
      <c r="D8" s="7" t="n"/>
      <c r="E8" s="7" t="n"/>
    </row>
    <row r="9">
      <c r="A9" s="8" t="inlineStr">
        <is>
          <t xml:space="preserve">    Net income</t>
        </is>
      </c>
      <c r="B9" s="9" t="n">
        <v>1136104</v>
      </c>
      <c r="C9" s="9" t="n">
        <v>1960432</v>
      </c>
      <c r="D9" s="9" t="n">
        <v>5237123</v>
      </c>
      <c r="E9" s="9" t="n">
        <v>5650358</v>
      </c>
    </row>
    <row r="10">
      <c r="A10" s="8" t="inlineStr">
        <is>
          <t xml:space="preserve">    + Depreciation (reported)</t>
        </is>
      </c>
      <c r="B10" s="9" t="n">
        <v>700696</v>
      </c>
      <c r="C10" s="9" t="n">
        <v>705040</v>
      </c>
      <c r="D10" s="9" t="n">
        <v>701606</v>
      </c>
      <c r="E10" s="9" t="n">
        <v>719217</v>
      </c>
    </row>
    <row r="11">
      <c r="A11" s="8" t="inlineStr">
        <is>
          <t xml:space="preserve">    − Δ Accounts receivable</t>
        </is>
      </c>
      <c r="B11" s="9" t="n"/>
      <c r="C11" s="9" t="n">
        <v>-94387</v>
      </c>
      <c r="D11" s="9" t="n">
        <v>-527957</v>
      </c>
      <c r="E11" s="9" t="n">
        <v>-1100225</v>
      </c>
    </row>
    <row r="12">
      <c r="A12" s="8" t="inlineStr">
        <is>
          <t xml:space="preserve">    − Δ Inventories</t>
        </is>
      </c>
      <c r="B12" s="9" t="n"/>
      <c r="C12" s="9" t="n">
        <v>-227059</v>
      </c>
      <c r="D12" s="9" t="n">
        <v>74756</v>
      </c>
      <c r="E12" s="9" t="n">
        <v>40282</v>
      </c>
    </row>
    <row r="13">
      <c r="A13" s="8" t="inlineStr">
        <is>
          <t xml:space="preserve">    − Δ Prepaid expenses</t>
        </is>
      </c>
      <c r="B13" s="9" t="n"/>
      <c r="C13" s="9" t="n">
        <v>-17102</v>
      </c>
      <c r="D13" s="9" t="n">
        <v>-2894</v>
      </c>
      <c r="E13" s="9" t="n">
        <v>-22874</v>
      </c>
    </row>
    <row r="14">
      <c r="A14" s="8" t="inlineStr">
        <is>
          <t xml:space="preserve">    + Δ Accounts payable</t>
        </is>
      </c>
      <c r="B14" s="9" t="n"/>
      <c r="C14" s="9" t="n">
        <v>10415</v>
      </c>
      <c r="D14" s="9" t="n">
        <v>156264</v>
      </c>
      <c r="E14" s="9" t="n">
        <v>273119</v>
      </c>
    </row>
    <row r="15">
      <c r="A15" s="10" t="inlineStr">
        <is>
          <t xml:space="preserve">    Operating cash flow proxy</t>
        </is>
      </c>
      <c r="B15" s="11" t="n"/>
      <c r="C15" s="11" t="n">
        <v>2337339</v>
      </c>
      <c r="D15" s="11" t="n">
        <v>5638898</v>
      </c>
      <c r="E15" s="11" t="n">
        <v>5559877</v>
      </c>
    </row>
    <row r="17">
      <c r="A17" s="6" t="inlineStr">
        <is>
          <t>Investing</t>
        </is>
      </c>
      <c r="B17" s="7" t="n"/>
      <c r="C17" s="7" t="n"/>
      <c r="D17" s="7" t="n"/>
      <c r="E17" s="7" t="n"/>
    </row>
    <row r="18">
      <c r="A18" s="8" t="inlineStr">
        <is>
          <t xml:space="preserve">    − Δ PP&amp;E gross (capex proxy)</t>
        </is>
      </c>
      <c r="B18" s="9" t="n"/>
      <c r="C18" s="9" t="n">
        <v>-272714</v>
      </c>
      <c r="D18" s="9" t="n">
        <v>-631846</v>
      </c>
      <c r="E18" s="9" t="n">
        <v>-715631</v>
      </c>
    </row>
    <row r="20">
      <c r="A20" s="6" t="inlineStr">
        <is>
          <t>Financing</t>
        </is>
      </c>
      <c r="B20" s="7" t="n"/>
      <c r="C20" s="7" t="n"/>
      <c r="D20" s="7" t="n"/>
      <c r="E20" s="7" t="n"/>
    </row>
    <row r="21">
      <c r="A21" s="8" t="inlineStr">
        <is>
          <t xml:space="preserve">    Δ Mortgages &amp; notes payable</t>
        </is>
      </c>
      <c r="B21" s="9" t="n"/>
      <c r="C21" s="9" t="n"/>
      <c r="D21" s="9" t="n"/>
      <c r="E21" s="9" t="n"/>
    </row>
    <row r="23">
      <c r="A23" s="6" t="inlineStr">
        <is>
          <t>Reconciliation</t>
        </is>
      </c>
      <c r="B23" s="7" t="n"/>
      <c r="C23" s="7" t="n"/>
      <c r="D23" s="7" t="n"/>
      <c r="E23" s="7" t="n"/>
    </row>
    <row r="24">
      <c r="A24" s="10" t="inlineStr">
        <is>
          <t xml:space="preserve">    Δ Cash + temp. investments (actual)</t>
        </is>
      </c>
      <c r="B24" s="11" t="n"/>
      <c r="C24" s="11" t="n">
        <v>-827365</v>
      </c>
      <c r="D24" s="11" t="n">
        <v>3851728</v>
      </c>
      <c r="E24" s="11" t="n">
        <v>-1042863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Montebello Land and Water Company</t>
        </is>
      </c>
    </row>
    <row r="2">
      <c r="A2" s="2" t="inlineStr">
        <is>
          <t>Financial Ratios</t>
        </is>
      </c>
    </row>
    <row r="3">
      <c r="A3" s="2" t="inlineStr">
        <is>
          <t>Entity ID: cawc_0031   |   Fiscal year ends June 30.</t>
        </is>
      </c>
    </row>
    <row r="5">
      <c r="A5" s="4" t="inlineStr">
        <is>
          <t>Ratio</t>
        </is>
      </c>
      <c r="B5" s="5" t="inlineStr">
        <is>
          <t>FY2021</t>
        </is>
      </c>
      <c r="C5" s="5" t="inlineStr">
        <is>
          <t>FY2022</t>
        </is>
      </c>
      <c r="D5" s="5" t="inlineStr">
        <is>
          <t>FY2023</t>
        </is>
      </c>
      <c r="E5" s="5" t="inlineStr">
        <is>
          <t>FY2024</t>
        </is>
      </c>
    </row>
    <row r="6">
      <c r="A6" s="6" t="inlineStr">
        <is>
          <t>Profitability (computed upstream)</t>
        </is>
      </c>
      <c r="B6" s="7" t="n"/>
      <c r="C6" s="7" t="n"/>
      <c r="D6" s="7" t="n"/>
      <c r="E6" s="7" t="n"/>
    </row>
    <row r="7">
      <c r="A7" s="8" t="inlineStr">
        <is>
          <t xml:space="preserve">    Operating margin (NI / revenue)</t>
        </is>
      </c>
      <c r="B7" s="12" t="n">
        <v>0.185647736906333</v>
      </c>
      <c r="C7" s="12" t="n">
        <v>0.2895185481422322</v>
      </c>
      <c r="D7" s="12" t="n">
        <v>0.5224872242054056</v>
      </c>
      <c r="E7" s="12" t="n">
        <v>0.5427123061679332</v>
      </c>
    </row>
    <row r="8">
      <c r="A8" s="8" t="inlineStr">
        <is>
          <t xml:space="preserve">    Expense ratio (expenses / revenue)</t>
        </is>
      </c>
      <c r="B8" s="12" t="n">
        <v>0.814352263093667</v>
      </c>
      <c r="C8" s="12" t="n">
        <v>0.7104814518577679</v>
      </c>
      <c r="D8" s="12" t="n">
        <v>0.4775127757945944</v>
      </c>
      <c r="E8" s="12" t="n">
        <v>0.4572876938320669</v>
      </c>
    </row>
    <row r="9">
      <c r="A9" s="8" t="inlineStr">
        <is>
          <t xml:space="preserve">    Return on assets (NI / assets)</t>
        </is>
      </c>
      <c r="B9" s="12" t="n">
        <v>0.04490131566596685</v>
      </c>
      <c r="C9" s="12" t="n">
        <v>0.07102328963610179</v>
      </c>
      <c r="D9" s="12" t="n">
        <v>0.1591221488575377</v>
      </c>
      <c r="E9" s="12" t="n">
        <v>0.1488206931201998</v>
      </c>
    </row>
    <row r="10">
      <c r="A10" s="8" t="inlineStr">
        <is>
          <t xml:space="preserve">    Revenue growth (YoY)</t>
        </is>
      </c>
      <c r="B10" s="12" t="n">
        <v>-0.001768854844287271</v>
      </c>
      <c r="C10" s="12" t="n">
        <v>0.1064886441700508</v>
      </c>
      <c r="D10" s="12" t="n">
        <v>0.4802726250237767</v>
      </c>
      <c r="E10" s="12" t="n">
        <v>0.03869776534958483</v>
      </c>
    </row>
    <row r="12">
      <c r="A12" s="6" t="inlineStr">
        <is>
          <t>Leverage &amp; solvency</t>
        </is>
      </c>
      <c r="B12" s="7" t="n"/>
      <c r="C12" s="7" t="n"/>
      <c r="D12" s="7" t="n"/>
      <c r="E12" s="7" t="n"/>
    </row>
    <row r="13">
      <c r="A13" s="8" t="inlineStr">
        <is>
          <t xml:space="preserve">    Debt-to-assets (liab. / assets)</t>
        </is>
      </c>
      <c r="B13" s="12" t="n">
        <v>0.0164839140940983</v>
      </c>
      <c r="C13" s="12" t="n">
        <v>0.03393360872704171</v>
      </c>
      <c r="D13" s="12" t="n">
        <v>0.04226977416184369</v>
      </c>
      <c r="E13" s="12" t="n">
        <v>0.02028977056094946</v>
      </c>
    </row>
    <row r="14">
      <c r="A14" s="8" t="inlineStr">
        <is>
          <t xml:space="preserve">    Equity ratio (net assets / assets)</t>
        </is>
      </c>
      <c r="B14" s="12" t="n">
        <v>0.9835160859059017</v>
      </c>
      <c r="C14" s="12" t="n">
        <v>0.9660663912729582</v>
      </c>
      <c r="D14" s="12" t="n">
        <v>0.9577302258381563</v>
      </c>
      <c r="E14" s="12" t="n">
        <v>0.9797102294390505</v>
      </c>
    </row>
    <row r="16">
      <c r="A16" s="6" t="inlineStr">
        <is>
          <t>Liquidity &amp; asset profile (derived here)</t>
        </is>
      </c>
      <c r="B16" s="7" t="n"/>
      <c r="C16" s="7" t="n"/>
      <c r="D16" s="7" t="n"/>
      <c r="E16" s="7" t="n"/>
    </row>
    <row r="17">
      <c r="A17" s="8" t="inlineStr">
        <is>
          <t xml:space="preserve">    Current ratio (current assets / AP)</t>
        </is>
      </c>
      <c r="B17" s="21" t="n">
        <v>130.9748862177617</v>
      </c>
      <c r="C17" s="21" t="n">
        <v>96.18479158843409</v>
      </c>
      <c r="D17" s="21" t="n">
        <v>45.0097602183998</v>
      </c>
      <c r="E17" s="21" t="n">
        <v>19.62232747600193</v>
      </c>
    </row>
    <row r="18">
      <c r="A18" s="8" t="inlineStr">
        <is>
          <t xml:space="preserve">    Cash ratio ((cash+temp inv.) / total liab.)</t>
        </is>
      </c>
      <c r="B18" s="21" t="n">
        <v>10.75720964802916</v>
      </c>
      <c r="C18" s="21" t="n">
        <v>3.906710880598895</v>
      </c>
      <c r="D18" s="21" t="n">
        <v>5.398890748184312</v>
      </c>
      <c r="E18" s="21" t="n">
        <v>8.396302733941452</v>
      </c>
    </row>
    <row r="19">
      <c r="A19" s="8" t="inlineStr">
        <is>
          <t xml:space="preserve">    Asset age proxy (accum. deprec. / gross PP&amp;E)</t>
        </is>
      </c>
      <c r="B19" s="12" t="n">
        <v>0.4947459844807609</v>
      </c>
      <c r="C19" s="12" t="n">
        <v>0.5143506597961588</v>
      </c>
      <c r="D19" s="12" t="n">
        <v>0.5278898212460059</v>
      </c>
      <c r="E19" s="12" t="n">
        <v>0.5386446119760284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Montebello Land and Water Company</t>
        </is>
      </c>
    </row>
    <row r="2">
      <c r="A2" s="2" t="inlineStr">
        <is>
          <t>Unit economics - per-customer revenue by category (USD)</t>
        </is>
      </c>
    </row>
    <row r="3">
      <c r="A3" s="2" t="inlineStr">
        <is>
          <t>Entity ID: cawc_0031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v>3956</v>
      </c>
      <c r="C6" s="24" t="inlineStr">
        <is>
          <t>State Water Board eAR Section 4 (CurTotalConnections), reporting year 2024</t>
        </is>
      </c>
    </row>
    <row r="7">
      <c r="A7" s="22" t="inlineStr">
        <is>
          <t>Total annual revenue (eAR Section 8b B1.8)</t>
        </is>
      </c>
      <c r="B7" s="9" t="n">
        <v>6715191</v>
      </c>
      <c r="C7" s="24" t="inlineStr">
        <is>
          <t>State Water Board eAR Section 8b, question B1.8 (total annual revenue), reporting year 2024</t>
        </is>
      </c>
    </row>
    <row r="8">
      <c r="A8" s="22" t="inlineStr">
        <is>
          <t>Primary source</t>
        </is>
      </c>
      <c r="B8" s="25" t="inlineStr"/>
      <c r="C8" s="24" t="inlineStr">
        <is>
          <t>State Water Board eAR Section 8b (revenue by rate/fee), reporting year 2024</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6" t="inlineStr">
        <is>
          <t>DIRECT</t>
        </is>
      </c>
      <c r="C12" s="9" t="n">
        <v>6662418</v>
      </c>
      <c r="D12" s="27" t="n">
        <v>1684.13</v>
      </c>
      <c r="E12" s="28" t="n">
        <v>0.9921</v>
      </c>
    </row>
    <row r="13">
      <c r="A13" s="8" t="inlineStr">
        <is>
          <t>Assessment revenue (990 program-service revenue not matched to eAR water-rate revenue)</t>
        </is>
      </c>
      <c r="B13" s="26" t="inlineStr">
        <is>
          <t>DERIVED</t>
        </is>
      </c>
      <c r="C13" s="9" t="n">
        <v>123944</v>
      </c>
      <c r="D13" s="27" t="n">
        <v>31.33</v>
      </c>
      <c r="E13" s="28" t="n">
        <v>0.0183</v>
      </c>
    </row>
    <row r="14">
      <c r="A14" s="8" t="inlineStr">
        <is>
          <t>Meter revenue</t>
        </is>
      </c>
      <c r="B14" s="26" t="inlineStr">
        <is>
          <t>not reported</t>
        </is>
      </c>
      <c r="C14" s="29" t="inlineStr">
        <is>
          <t>not reported</t>
        </is>
      </c>
      <c r="D14" s="29" t="inlineStr">
        <is>
          <t>not reported</t>
        </is>
      </c>
      <c r="E14" s="29" t="inlineStr">
        <is>
          <t>not reported</t>
        </is>
      </c>
    </row>
    <row r="15">
      <c r="A15" s="8" t="inlineStr">
        <is>
          <t>Overage or tiered penalty revenue</t>
        </is>
      </c>
      <c r="B15" s="26" t="inlineStr">
        <is>
          <t>not reported</t>
        </is>
      </c>
      <c r="C15" s="29" t="inlineStr">
        <is>
          <t>not reported</t>
        </is>
      </c>
      <c r="D15" s="29" t="inlineStr">
        <is>
          <t>not reported</t>
        </is>
      </c>
      <c r="E15" s="29"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2" t="inlineStr">
        <is>
          <t>Numerator: Water rate revenue</t>
        </is>
      </c>
      <c r="B19" s="9" t="n">
        <v>6662418</v>
      </c>
      <c r="C19" s="24" t="inlineStr">
        <is>
          <t>eAR Section 8b field B1.1 (residential water rates) + B1.2 (non-residential water rates). State Water Board eAR Section 8b, question B1.1 + B1.2 (revenue from water rates), reporting year 2024</t>
        </is>
      </c>
    </row>
    <row r="20">
      <c r="A20" s="22" t="inlineStr">
        <is>
          <t>Denominator: Total service connections</t>
        </is>
      </c>
      <c r="B20" s="23" t="n">
        <v>3956</v>
      </c>
      <c r="C20" s="24" t="inlineStr">
        <is>
          <t>eAR Section 4 CurTotalConnections, reporting year 2024. State Water Board eAR Section 4 (CurTotalConnections), reporting year 2024</t>
        </is>
      </c>
    </row>
    <row r="21" ht="36" customHeight="1">
      <c r="A21" s="3" t="inlineStr">
        <is>
          <t>Per customer: water rate revenue $6,662,418 / 3,956 connections = $1,684.13 per connection</t>
        </is>
      </c>
    </row>
    <row r="22" ht="36" customHeight="1">
      <c r="A22" s="3" t="inlineStr">
        <is>
          <t>Share of revenue: water rate revenue $6,662,418 / total annual revenue (eAR Section 8b B1.8) $6,715,191 = 99.21%</t>
        </is>
      </c>
    </row>
    <row r="23" ht="81" customHeight="1">
      <c r="A23" s="3" t="inlineStr">
        <is>
          <t>Period treatment: Numerator (eAR Section 8b, the fiscal year ending June 30, 2024) and denominator (eAR Section 4 connections reported in the same eAR filing) are both the eAR reporting year 2024,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2" t="inlineStr">
        <is>
          <t>Input A: Form 990 program-service revenue</t>
        </is>
      </c>
      <c r="B28" s="9" t="n">
        <v>6786362</v>
      </c>
      <c r="C28" s="24" t="inlineStr">
        <is>
          <t>Form 990 Part VIII line 2 (total program-service revenue), fiscal year 2024 ending June 30, 2024</t>
        </is>
      </c>
    </row>
    <row r="29">
      <c r="A29" s="22" t="inlineStr">
        <is>
          <t>Input B: eAR water-rate revenue</t>
        </is>
      </c>
      <c r="B29" s="9" t="n">
        <v>6662418</v>
      </c>
      <c r="C29" s="24" t="inlineStr">
        <is>
          <t>State Water Board eAR Section 8b, question B1.1 + B1.2 (revenue from water rates), reporting year 2024</t>
        </is>
      </c>
    </row>
    <row r="30">
      <c r="A30" s="14" t="inlineStr">
        <is>
          <t>Residual (A minus B) = assessment revenue</t>
        </is>
      </c>
      <c r="B30" s="15">
        <f>B28-B29</f>
        <v/>
      </c>
      <c r="C30" s="24" t="inlineStr">
        <is>
          <t>$6,786,362 (990 program-service revenue) minus $6,662,418 (eAR water-rate revenue) = $123,944</t>
        </is>
      </c>
    </row>
    <row r="31" ht="66" customHeight="1">
      <c r="A31" s="3" t="inlineStr">
        <is>
          <t>Period alignment: Both inputs cover the same period: the eAR Section 8b is the fiscal year ending June 30, 2024 and the Form 990 fiscal year 2024 ends June 30, 2024,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2" t="inlineStr">
        <is>
          <t>Denominator: Total service connections</t>
        </is>
      </c>
      <c r="B34" s="23" t="n">
        <v>3956</v>
      </c>
      <c r="C34" s="24" t="inlineStr">
        <is>
          <t>eAR Section 4 CurTotalConnections, reporting year 2024. State Water Board eAR Section 4 (CurTotalConnections), reporting year 2024</t>
        </is>
      </c>
    </row>
    <row r="35" ht="36" customHeight="1">
      <c r="A35" s="3" t="inlineStr">
        <is>
          <t>Per customer: residual $123,944 / 3,956 connections = $31.33 per connection</t>
        </is>
      </c>
    </row>
    <row r="36" ht="36" customHeight="1">
      <c r="A36" s="3" t="inlineStr">
        <is>
          <t>Share of revenue: residual $123,944 / 990 program-service revenue $6,786,362 = 1.83%</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0"/>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Montebello Land and Water Company</t>
        </is>
      </c>
    </row>
    <row r="2">
      <c r="A2" s="2" t="inlineStr">
        <is>
          <t>Rate structure and representative bill - eAR Section 8a (RY2024)</t>
        </is>
      </c>
    </row>
    <row r="3">
      <c r="A3" s="2" t="inlineStr">
        <is>
          <t>Entity ID: cawc_0031   |   Fiscal year ends June 30.</t>
        </is>
      </c>
    </row>
    <row r="5" ht="81" customHeight="1">
      <c r="A5" s="30" t="inlineStr">
        <is>
          <t>This block is a rate-schedule illustration at defined usage levels. It is NOT billed revenue and not a claim about any real customer's usage. The revenue side of unit economics is the separate Unit Economics block.</t>
        </is>
      </c>
    </row>
    <row r="6" ht="51" customHeight="1">
      <c r="A6" s="31" t="inlineStr">
        <is>
          <t>Structure: Tiered increasing-block with a fixed base, billed bimonthly, priced per HCF. Rate schedule last updated 09/01/2024.</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2" t="inlineStr"/>
      <c r="B10" s="5" t="inlineStr">
        <is>
          <t>Low</t>
        </is>
      </c>
      <c r="C10" s="5" t="inlineStr">
        <is>
          <t>Median</t>
        </is>
      </c>
      <c r="D10" s="5" t="inlineStr">
        <is>
          <t>High</t>
        </is>
      </c>
    </row>
    <row r="11">
      <c r="A11" s="8" t="inlineStr">
        <is>
          <t>Monthly usage (HCF)</t>
        </is>
      </c>
      <c r="B11" s="33" t="n">
        <v>5</v>
      </c>
      <c r="C11" s="33" t="n">
        <v>10</v>
      </c>
      <c r="D11" s="33" t="n">
        <v>25</v>
      </c>
    </row>
    <row r="12">
      <c r="A12" s="8" t="inlineStr">
        <is>
          <t>Months per bill (from filed billing frequency)</t>
        </is>
      </c>
      <c r="B12" s="34" t="n">
        <v>2</v>
      </c>
      <c r="C12" s="13" t="inlineStr">
        <is>
          <t>bimonthly biller</t>
        </is>
      </c>
    </row>
    <row r="14">
      <c r="A14" s="6" t="inlineStr">
        <is>
          <t>Filed rate table - single-family residential (as filed, eAR Section 8a)</t>
        </is>
      </c>
      <c r="B14" s="7" t="n"/>
      <c r="C14" s="7" t="n"/>
      <c r="D14" s="7" t="n"/>
    </row>
    <row r="15">
      <c r="A15" s="8" t="inlineStr">
        <is>
          <t>Base / fixed charge per bimonthly bill ($)</t>
        </is>
      </c>
      <c r="B15" s="27" t="n">
        <v>40.08</v>
      </c>
    </row>
    <row r="16">
      <c r="A16" s="4" t="inlineStr">
        <is>
          <t>Tier</t>
        </is>
      </c>
      <c r="B16" s="4" t="inlineStr">
        <is>
          <t>Range (HCF)</t>
        </is>
      </c>
      <c r="C16" s="35" t="inlineStr">
        <is>
          <t>Price ($/HCF)</t>
        </is>
      </c>
      <c r="D16" s="35" t="inlineStr">
        <is>
          <t>Upper limit (HCF)</t>
        </is>
      </c>
    </row>
    <row r="17">
      <c r="A17" s="8" t="inlineStr">
        <is>
          <t>Tier 1</t>
        </is>
      </c>
      <c r="B17" s="8" t="inlineStr">
        <is>
          <t>0 to 18 HCF</t>
        </is>
      </c>
      <c r="C17" s="36" t="n">
        <v>3.31</v>
      </c>
      <c r="D17" s="37" t="n">
        <v>18</v>
      </c>
    </row>
    <row r="18">
      <c r="A18" s="8" t="inlineStr">
        <is>
          <t>Tier 2</t>
        </is>
      </c>
      <c r="B18" s="8" t="inlineStr">
        <is>
          <t>18 to 35 HCF</t>
        </is>
      </c>
      <c r="C18" s="36" t="n">
        <v>3.69</v>
      </c>
      <c r="D18" s="37" t="n">
        <v>35</v>
      </c>
    </row>
    <row r="19">
      <c r="A19" s="8" t="inlineStr">
        <is>
          <t>Tier 3</t>
        </is>
      </c>
      <c r="B19" s="8" t="inlineStr">
        <is>
          <t>over 35 HCF</t>
        </is>
      </c>
      <c r="C19" s="36" t="n">
        <v>4.93</v>
      </c>
      <c r="D19" s="37" t="inlineStr">
        <is>
          <t>no limit</t>
        </is>
      </c>
    </row>
    <row r="21">
      <c r="A21" s="6" t="inlineStr">
        <is>
          <t>Representative monthly bill - LIVE (edit a yellow usage cell to recompute)</t>
        </is>
      </c>
      <c r="B21" s="7" t="n"/>
      <c r="C21" s="7" t="n"/>
      <c r="D21" s="7" t="n"/>
    </row>
    <row r="22">
      <c r="A22" s="32" t="inlineStr"/>
      <c r="B22" s="5" t="inlineStr">
        <is>
          <t>Low</t>
        </is>
      </c>
      <c r="C22" s="5" t="inlineStr">
        <is>
          <t>Median</t>
        </is>
      </c>
      <c r="D22" s="5" t="inlineStr">
        <is>
          <t>High</t>
        </is>
      </c>
    </row>
    <row r="23">
      <c r="A23" s="8" t="inlineStr">
        <is>
          <t>Usage per bill (HCF)</t>
        </is>
      </c>
      <c r="B23" s="38">
        <f>B11*$B$12</f>
        <v/>
      </c>
      <c r="C23" s="38">
        <f>C11*$B$12</f>
        <v/>
      </c>
      <c r="D23" s="38">
        <f>D11*$B$12</f>
        <v/>
      </c>
    </row>
    <row r="24">
      <c r="A24" s="8" t="inlineStr">
        <is>
          <t xml:space="preserve">    Tier 1 charge per bill ($)</t>
        </is>
      </c>
      <c r="B24" s="39">
        <f>$C$17*MAX(0,MIN(B23,$D$17)-0)</f>
        <v/>
      </c>
      <c r="C24" s="39">
        <f>$C$17*MAX(0,MIN(C23,$D$17)-0)</f>
        <v/>
      </c>
      <c r="D24" s="39">
        <f>$C$17*MAX(0,MIN(D23,$D$17)-0)</f>
        <v/>
      </c>
    </row>
    <row r="25">
      <c r="A25" s="8" t="inlineStr">
        <is>
          <t xml:space="preserve">    Tier 2 charge per bill ($)</t>
        </is>
      </c>
      <c r="B25" s="39">
        <f>$C$18*MAX(0,MIN(B23,$D$18)-$D$17)</f>
        <v/>
      </c>
      <c r="C25" s="39">
        <f>$C$18*MAX(0,MIN(C23,$D$18)-$D$17)</f>
        <v/>
      </c>
      <c r="D25" s="39">
        <f>$C$18*MAX(0,MIN(D23,$D$18)-$D$17)</f>
        <v/>
      </c>
    </row>
    <row r="26">
      <c r="A26" s="8" t="inlineStr">
        <is>
          <t xml:space="preserve">    Tier 3 charge per bill ($)</t>
        </is>
      </c>
      <c r="B26" s="39">
        <f>$C$19*MAX(0,B23-$D$18)</f>
        <v/>
      </c>
      <c r="C26" s="39">
        <f>$C$19*MAX(0,C23-$D$18)</f>
        <v/>
      </c>
      <c r="D26" s="39">
        <f>$C$19*MAX(0,D23-$D$18)</f>
        <v/>
      </c>
    </row>
    <row r="27">
      <c r="A27" s="8" t="inlineStr">
        <is>
          <t>Volumetric charge per bill ($)</t>
        </is>
      </c>
      <c r="B27" s="39">
        <f>SUM(B24,B25,B26)</f>
        <v/>
      </c>
      <c r="C27" s="39">
        <f>SUM(C24,C25,C26)</f>
        <v/>
      </c>
      <c r="D27" s="39">
        <f>SUM(D24,D25,D26)</f>
        <v/>
      </c>
    </row>
    <row r="28">
      <c r="A28" s="8" t="inlineStr">
        <is>
          <t>Base charge per bill ($)</t>
        </is>
      </c>
      <c r="B28" s="39">
        <f>$B$15</f>
        <v/>
      </c>
      <c r="C28" s="39">
        <f>$B$15</f>
        <v/>
      </c>
      <c r="D28" s="39">
        <f>$B$15</f>
        <v/>
      </c>
    </row>
    <row r="29">
      <c r="A29" s="8" t="inlineStr">
        <is>
          <t>Total per bill ($)</t>
        </is>
      </c>
      <c r="B29" s="39">
        <f>B28+B27</f>
        <v/>
      </c>
      <c r="C29" s="39">
        <f>C28+C27</f>
        <v/>
      </c>
      <c r="D29" s="39">
        <f>D28+D27</f>
        <v/>
      </c>
    </row>
    <row r="30">
      <c r="A30" s="10" t="inlineStr">
        <is>
          <t>Total per MONTH ($)</t>
        </is>
      </c>
      <c r="B30" s="40">
        <f>B29/$B$12</f>
        <v/>
      </c>
      <c r="C30" s="40">
        <f>C29/$B$12</f>
        <v/>
      </c>
      <c r="D30" s="40">
        <f>D29/$B$12</f>
        <v/>
      </c>
    </row>
    <row r="31">
      <c r="A31" s="8" t="inlineStr">
        <is>
          <t xml:space="preserve">    Fixed per month ($)</t>
        </is>
      </c>
      <c r="B31" s="39">
        <f>$B$15/$B$12</f>
        <v/>
      </c>
      <c r="C31" s="39">
        <f>$B$15/$B$12</f>
        <v/>
      </c>
      <c r="D31" s="39">
        <f>$B$15/$B$12</f>
        <v/>
      </c>
    </row>
    <row r="32">
      <c r="A32" s="8" t="inlineStr">
        <is>
          <t xml:space="preserve">    Volumetric per month ($)</t>
        </is>
      </c>
      <c r="B32" s="39">
        <f>B27/$B$12</f>
        <v/>
      </c>
      <c r="C32" s="39">
        <f>C27/$B$12</f>
        <v/>
      </c>
      <c r="D32" s="39">
        <f>D27/$B$12</f>
        <v/>
      </c>
    </row>
    <row r="33">
      <c r="A33" s="8" t="inlineStr">
        <is>
          <t>Effective price ($/HCF)</t>
        </is>
      </c>
      <c r="B33" s="39">
        <f>IF(B11=0,"",B30/B11)</f>
        <v/>
      </c>
      <c r="C33" s="39">
        <f>IF(C11=0,"",C30/C11)</f>
        <v/>
      </c>
      <c r="D33" s="39">
        <f>IF(D11=0,"",D30/D11)</f>
        <v/>
      </c>
    </row>
    <row r="35">
      <c r="A35" s="6" t="inlineStr">
        <is>
          <t>Rate-structure comparison metrics</t>
        </is>
      </c>
      <c r="B35" s="7" t="n"/>
      <c r="C35" s="7" t="n"/>
      <c r="D35" s="7" t="n"/>
    </row>
    <row r="36">
      <c r="A36" s="8" t="inlineStr">
        <is>
          <t>Fixed share of the bill at median usage</t>
        </is>
      </c>
      <c r="B36" s="41">
        <f>C31/C30</f>
        <v/>
      </c>
      <c r="C36" s="13" t="inlineStr">
        <is>
          <t>fixed / total at 10 HCF/month</t>
        </is>
      </c>
    </row>
    <row r="37">
      <c r="A37" s="8" t="inlineStr">
        <is>
          <t>Tier price ratio (highest to lowest positive tier)</t>
        </is>
      </c>
      <c r="B37" s="42">
        <f>$C$19/$C$17</f>
        <v/>
      </c>
      <c r="C37" s="13" t="inlineStr">
        <is>
          <t>highest filed tier price divided by lowest filed tier price.</t>
        </is>
      </c>
    </row>
    <row r="38">
      <c r="A38" s="8" t="inlineStr">
        <is>
          <t>Rate structure (as filed)</t>
        </is>
      </c>
      <c r="B38" s="43" t="inlineStr">
        <is>
          <t>tiered (Variable Base)</t>
        </is>
      </c>
    </row>
    <row r="40" ht="66" customHeight="1">
      <c r="A40" s="3" t="inlineStr">
        <is>
          <t>State Water Board eAR Section 8a (Customer Charges), single- and multi-family residential charges grid, reporting year 2024. Rate structure only; no revenue.</t>
        </is>
      </c>
    </row>
  </sheetData>
  <mergeCells count="7">
    <mergeCell ref="A1:D1"/>
    <mergeCell ref="A5:D5"/>
    <mergeCell ref="A40:D40"/>
    <mergeCell ref="A6:D6"/>
    <mergeCell ref="A3:D3"/>
    <mergeCell ref="A7:D7"/>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Montebello Land and Water Company</t>
        </is>
      </c>
    </row>
    <row r="2">
      <c r="A2" s="2" t="inlineStr">
        <is>
          <t>eAR annual revenue and expenses - State Water Board eAR Section 8b (USD)</t>
        </is>
      </c>
    </row>
    <row r="3">
      <c r="A3" s="2" t="inlineStr">
        <is>
          <t>Entity ID: cawc_0031   |   Fiscal year ends June 30.</t>
        </is>
      </c>
    </row>
    <row r="5" ht="141" customHeight="1">
      <c r="A5" s="3" t="inlineStr">
        <is>
          <t>The water system's own annual figures from the public eAR Section 8b, on the fiscal year ending June 30, 2024 the filer self-reported (B0.1/B0.2). Shown beside the period-aligned Form 990 with the variance flagged: a different source (a State Water Board self-report vs an IRS filing). Preserved as filed, never reconciled.</t>
        </is>
      </c>
    </row>
    <row r="6">
      <c r="A6" s="22" t="inlineStr">
        <is>
          <t>Reporting period basis (self-reported)</t>
        </is>
      </c>
      <c r="B6" s="25" t="inlineStr">
        <is>
          <t>fiscal year ending June 30, 2024</t>
        </is>
      </c>
      <c r="C6" s="24" t="inlineStr">
        <is>
          <t>eAR Section 8b B0.1 (WRFinancialReportingPeriod) / B0.2 start 07/01/2023</t>
        </is>
      </c>
    </row>
    <row r="8">
      <c r="A8" s="6" t="inlineStr">
        <is>
          <t>Revenue (eAR Section 8b, questions B1.x)</t>
        </is>
      </c>
      <c r="B8" s="7" t="n"/>
      <c r="C8" s="7" t="n"/>
    </row>
    <row r="9">
      <c r="A9" s="5" t="inlineStr">
        <is>
          <t>Line</t>
        </is>
      </c>
      <c r="B9" s="5" t="inlineStr">
        <is>
          <t>Amount (USD)</t>
        </is>
      </c>
      <c r="C9" s="5" t="inlineStr">
        <is>
          <t>Citation</t>
        </is>
      </c>
    </row>
    <row r="10">
      <c r="A10" s="22" t="inlineStr">
        <is>
          <t>Water rate revenue</t>
        </is>
      </c>
      <c r="B10" s="9" t="n">
        <v>6662418</v>
      </c>
      <c r="C10" s="24" t="inlineStr">
        <is>
          <t>State Water Board eAR Section 8b, question B1.1 + B1.2 (revenue from water rates), reporting year 2024</t>
        </is>
      </c>
    </row>
    <row r="11">
      <c r="A11" s="22" t="inlineStr">
        <is>
          <t>Other fees and charges</t>
        </is>
      </c>
      <c r="B11" s="9" t="n">
        <v>52773</v>
      </c>
      <c r="C11" s="24" t="inlineStr">
        <is>
          <t>State Water Board eAR Section 8b, question B1.3 + B1.4 (revenue from other fees), reporting year 2024</t>
        </is>
      </c>
    </row>
    <row r="12">
      <c r="A12" s="22" t="inlineStr">
        <is>
          <t>Non-customer revenue</t>
        </is>
      </c>
      <c r="B12" s="9" t="n">
        <v>0</v>
      </c>
      <c r="C12" s="24" t="inlineStr">
        <is>
          <t>State Water Board eAR Section 8b, question B1.7 (grants, interest, and other non-customer), reporting year 2024</t>
        </is>
      </c>
    </row>
    <row r="13">
      <c r="A13" s="22" t="inlineStr">
        <is>
          <t>Total annual revenue</t>
        </is>
      </c>
      <c r="B13" s="44" t="n">
        <v>6715191</v>
      </c>
      <c r="C13" s="24" t="inlineStr">
        <is>
          <t>State Water Board eAR Section 8b, question B1.8 (total annual revenue for the reporting year), reporting year 2024</t>
        </is>
      </c>
    </row>
    <row r="15">
      <c r="A15" s="6" t="inlineStr">
        <is>
          <t>Expenses (eAR Section 8b, questions B2.x)</t>
        </is>
      </c>
      <c r="B15" s="7" t="n"/>
      <c r="C15" s="7" t="n"/>
    </row>
    <row r="16">
      <c r="A16" s="5" t="inlineStr">
        <is>
          <t>Line</t>
        </is>
      </c>
      <c r="B16" s="5" t="inlineStr">
        <is>
          <t>Amount (USD)</t>
        </is>
      </c>
      <c r="C16" s="5" t="inlineStr">
        <is>
          <t>Citation</t>
        </is>
      </c>
    </row>
    <row r="17">
      <c r="A17" s="22" t="inlineStr">
        <is>
          <t>Operations and maintenance</t>
        </is>
      </c>
      <c r="B17" s="9" t="n">
        <v>4760974</v>
      </c>
      <c r="C17" s="24" t="inlineStr">
        <is>
          <t>State Water Board eAR Section 8b, question B2.1 (annual O and M expense), reporting year 2024</t>
        </is>
      </c>
    </row>
    <row r="18">
      <c r="A18" s="22" t="inlineStr">
        <is>
          <t>Capital</t>
        </is>
      </c>
      <c r="B18" s="9" t="n">
        <v>999527</v>
      </c>
      <c r="C18" s="24" t="inlineStr">
        <is>
          <t>State Water Board eAR Section 8b, question B2.2 (annual expenses from investing or capital), reporting year 2024</t>
        </is>
      </c>
    </row>
    <row r="19">
      <c r="A19" s="22" t="inlineStr">
        <is>
          <t>Financing</t>
        </is>
      </c>
      <c r="B19" s="9" t="n">
        <v>0</v>
      </c>
      <c r="C19" s="24" t="inlineStr">
        <is>
          <t>State Water Board eAR Section 8b, question B2.3 (annual expenses from financing), reporting year 2024</t>
        </is>
      </c>
    </row>
    <row r="20">
      <c r="A20" s="22" t="inlineStr">
        <is>
          <t>Other</t>
        </is>
      </c>
      <c r="B20" s="9" t="n">
        <v>380068</v>
      </c>
      <c r="C20" s="24" t="inlineStr">
        <is>
          <t>State Water Board eAR Section 8b, question B2.4 (total other annual expenses), reporting year 2024</t>
        </is>
      </c>
    </row>
    <row r="21">
      <c r="A21" s="22" t="inlineStr">
        <is>
          <t>Total annual expenses</t>
        </is>
      </c>
      <c r="B21" s="44" t="n">
        <v>6140569</v>
      </c>
      <c r="C21" s="24" t="inlineStr">
        <is>
          <t>State Water Board eAR Section 8b, question B2.5 (total annual expenses), reporting year 2024</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6715191</v>
      </c>
      <c r="C25" s="9" t="n">
        <v>10411332</v>
      </c>
    </row>
    <row r="26">
      <c r="A26" s="14" t="inlineStr">
        <is>
          <t>Variance (eAR minus Form 990)</t>
        </is>
      </c>
      <c r="B26" s="15">
        <f>B25-C25</f>
        <v/>
      </c>
      <c r="C26" s="45" t="n"/>
    </row>
    <row r="27" ht="201" customHeight="1">
      <c r="A27" s="3" t="inlineStr">
        <is>
          <t>The eAR Section 8b total revenue (State Water Board self-report, fiscal year ending June 30, 2024) and the Form 990 total revenue (IRS filing) are a different source and cover the same fiscal year (July 1, 2023 to June 30, 2024): the water system self-reported the eAR Section 8b on a fiscal year (B0.1 Fiscal, B0.2 start 07/01/2023), which matches the Form 990 fiscal year. Both are carried as filed; the variance is surfaced, never reconciled.</t>
        </is>
      </c>
    </row>
    <row r="28">
      <c r="A28" s="8" t="inlineStr">
        <is>
          <t>total expenses</t>
        </is>
      </c>
      <c r="B28" s="9" t="n">
        <v>6140569</v>
      </c>
      <c r="C28" s="9" t="n">
        <v>4760974</v>
      </c>
    </row>
    <row r="29">
      <c r="A29" s="14" t="inlineStr">
        <is>
          <t>Variance (eAR minus Form 990)</t>
        </is>
      </c>
      <c r="B29" s="15">
        <f>B28-C28</f>
        <v/>
      </c>
      <c r="C29" s="45" t="n"/>
    </row>
    <row r="30" ht="201" customHeight="1">
      <c r="A30" s="3" t="inlineStr">
        <is>
          <t>The eAR Section 8b total expenses (State Water Board self-report, fiscal year ending June 30, 2024) and the Form 990 total expenses (IRS filing) are a different source and cover the same fiscal year (July 1, 2023 to June 30, 2024): the water system self-reported the eAR Section 8b on a fiscal year (B0.1 Fiscal, B0.2 start 07/01/2023), which matches the Form 990 fiscal year.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Montebello Land and Water Company</t>
        </is>
      </c>
    </row>
    <row r="2">
      <c r="A2" s="2" t="inlineStr">
        <is>
          <t>Denominators and calendar alignment</t>
        </is>
      </c>
    </row>
    <row r="3">
      <c r="A3" s="2" t="inlineStr">
        <is>
          <t>Entity ID: cawc_0031   |   Fiscal year ends June 30.</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2" t="inlineStr">
        <is>
          <t>Customer (service connection)</t>
        </is>
      </c>
      <c r="B7" s="23" t="n">
        <v>3957</v>
      </c>
      <c r="C7" s="24" t="inlineStr">
        <is>
          <t>State Water Board eAR Section 4 (CurTotalConnections), reporting year 2023</t>
        </is>
      </c>
    </row>
    <row r="8">
      <c r="A8" s="22" t="inlineStr">
        <is>
          <t>Member (shareholder)</t>
        </is>
      </c>
      <c r="B8" s="25" t="n"/>
      <c r="C8" s="24" t="inlineStr">
        <is>
          <t>No published shareholder count</t>
        </is>
      </c>
    </row>
    <row r="9" ht="96" customHeight="1">
      <c r="A9"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1">
      <c r="A11" s="6" t="inlineStr">
        <is>
          <t>Denominator layer by fiscal year</t>
        </is>
      </c>
      <c r="B11" s="7" t="n"/>
      <c r="C11" s="7" t="n"/>
      <c r="D11" s="7" t="n"/>
      <c r="E11" s="7" t="n"/>
      <c r="F11" s="7" t="n"/>
      <c r="G11" s="7" t="n"/>
    </row>
    <row r="12">
      <c r="A12" s="5" t="inlineStr">
        <is>
          <t>Fiscal year (end)</t>
        </is>
      </c>
      <c r="B12" s="5" t="inlineStr">
        <is>
          <t>Connections</t>
        </is>
      </c>
      <c r="C12" s="5" t="inlineStr">
        <is>
          <t>Population</t>
        </is>
      </c>
      <c r="D12" s="5" t="inlineStr">
        <is>
          <t>Service-area acres</t>
        </is>
      </c>
      <c r="E12" s="5" t="inlineStr">
        <is>
          <t>Water produced (AF)</t>
        </is>
      </c>
      <c r="F12" s="5" t="inlineStr">
        <is>
          <t>Water delivered (AF)</t>
        </is>
      </c>
      <c r="G12" s="5" t="inlineStr">
        <is>
          <t>Alignment method</t>
        </is>
      </c>
    </row>
    <row r="13" ht="40" customHeight="1">
      <c r="A13" s="8" t="inlineStr">
        <is>
          <t>FY2020 (2020-06-30)</t>
        </is>
      </c>
      <c r="B13" s="23" t="n">
        <v>3932</v>
      </c>
      <c r="C13" s="19" t="inlineStr">
        <is>
          <t>not reported</t>
        </is>
      </c>
      <c r="D13" s="23" t="n">
        <v>1190.8</v>
      </c>
      <c r="E13" s="19" t="inlineStr">
        <is>
          <t>not reported</t>
        </is>
      </c>
      <c r="F13" s="19" t="inlineStr">
        <is>
          <t>not reported</t>
        </is>
      </c>
      <c r="G13" s="25" t="inlineStr">
        <is>
          <t>recast from monthly eAR data to fiscal year ending June 30, 2020</t>
        </is>
      </c>
    </row>
    <row r="14" ht="40" customHeight="1">
      <c r="A14" s="8" t="inlineStr">
        <is>
          <t>FY2021 (2021-06-30)</t>
        </is>
      </c>
      <c r="B14" s="23" t="n">
        <v>3932</v>
      </c>
      <c r="C14" s="19" t="inlineStr">
        <is>
          <t>not reported</t>
        </is>
      </c>
      <c r="D14" s="23" t="n">
        <v>1190.8</v>
      </c>
      <c r="E14" s="19" t="inlineStr">
        <is>
          <t>not reported</t>
        </is>
      </c>
      <c r="F14" s="19" t="inlineStr">
        <is>
          <t>not reported</t>
        </is>
      </c>
      <c r="G14" s="25" t="inlineStr">
        <is>
          <t>recast from monthly eAR data to fiscal year ending June 30, 2021</t>
        </is>
      </c>
    </row>
    <row r="15" ht="40" customHeight="1">
      <c r="A15" s="8" t="inlineStr">
        <is>
          <t>FY2022 (2022-06-30)</t>
        </is>
      </c>
      <c r="B15" s="23" t="n">
        <v>3937</v>
      </c>
      <c r="C15" s="19" t="inlineStr">
        <is>
          <t>not reported</t>
        </is>
      </c>
      <c r="D15" s="23" t="n">
        <v>1190.8</v>
      </c>
      <c r="E15" s="19" t="inlineStr">
        <is>
          <t>not reported</t>
        </is>
      </c>
      <c r="F15" s="19" t="inlineStr">
        <is>
          <t>not reported</t>
        </is>
      </c>
      <c r="G15" s="25" t="inlineStr">
        <is>
          <t>recast from monthly eAR data to fiscal year ending June 30, 2022</t>
        </is>
      </c>
    </row>
    <row r="16" ht="40" customHeight="1">
      <c r="A16" s="8" t="inlineStr">
        <is>
          <t>FY2023 (2023-06-30)</t>
        </is>
      </c>
      <c r="B16" s="23" t="n">
        <v>3957</v>
      </c>
      <c r="C16" s="19" t="inlineStr">
        <is>
          <t>not reported</t>
        </is>
      </c>
      <c r="D16" s="23" t="n">
        <v>1190.8</v>
      </c>
      <c r="E16" s="19" t="inlineStr">
        <is>
          <t>not reported</t>
        </is>
      </c>
      <c r="F16" s="19" t="inlineStr">
        <is>
          <t>not reported</t>
        </is>
      </c>
      <c r="G16" s="25" t="inlineStr">
        <is>
          <t>recast from monthly eAR data to fiscal year ending June 30, 2023</t>
        </is>
      </c>
    </row>
    <row r="17" ht="40" customHeight="1">
      <c r="A17" s="8" t="inlineStr">
        <is>
          <t>FY2024 (2024-06-30)</t>
        </is>
      </c>
      <c r="B17" s="23" t="n">
        <v>3957</v>
      </c>
      <c r="C17" s="23" t="n">
        <v>26554</v>
      </c>
      <c r="D17" s="23" t="n">
        <v>1190.8</v>
      </c>
      <c r="E17" s="19" t="inlineStr">
        <is>
          <t>not reported</t>
        </is>
      </c>
      <c r="F17" s="19" t="inlineStr">
        <is>
          <t>not reported</t>
        </is>
      </c>
      <c r="G17" s="25" t="inlineStr">
        <is>
          <t>recast from monthly eAR data to fiscal year ending June 30, 2024</t>
        </is>
      </c>
    </row>
    <row r="19">
      <c r="A19" s="6" t="inlineStr">
        <is>
          <t>Connections by class - FY2024 (eAR Section 4)</t>
        </is>
      </c>
      <c r="B19" s="7" t="n"/>
      <c r="C19" s="7" t="n"/>
      <c r="D19" s="7" t="n"/>
      <c r="E19" s="7" t="n"/>
      <c r="F19" s="7" t="n"/>
      <c r="G19" s="7" t="n"/>
    </row>
    <row r="20">
      <c r="A20" s="22" t="inlineStr">
        <is>
          <t>Single-family residential</t>
        </is>
      </c>
      <c r="B20" s="23" t="n">
        <v>2436</v>
      </c>
      <c r="C20" s="24" t="inlineStr"/>
    </row>
    <row r="21">
      <c r="A21" s="22" t="inlineStr">
        <is>
          <t>Multi-family residential</t>
        </is>
      </c>
      <c r="B21" s="23" t="n">
        <v>1016</v>
      </c>
      <c r="C21" s="24" t="inlineStr"/>
    </row>
    <row r="22">
      <c r="A22" s="22" t="inlineStr">
        <is>
          <t>Commercial and institutional</t>
        </is>
      </c>
      <c r="B22" s="23" t="n">
        <v>485</v>
      </c>
      <c r="C22" s="24" t="inlineStr"/>
    </row>
    <row r="23">
      <c r="A23" s="22" t="inlineStr">
        <is>
          <t>Industrial</t>
        </is>
      </c>
      <c r="B23" s="23" t="n">
        <v>16</v>
      </c>
      <c r="C23" s="24" t="inlineStr"/>
    </row>
    <row r="24">
      <c r="A24" s="22" t="inlineStr">
        <is>
          <t>Landscape irrigation</t>
        </is>
      </c>
      <c r="B24" s="23" t="n">
        <v>3</v>
      </c>
      <c r="C24" s="24" t="inlineStr"/>
    </row>
    <row r="25">
      <c r="A25" s="22" t="inlineStr">
        <is>
          <t>Agricultural</t>
        </is>
      </c>
      <c r="B25" s="23" t="n">
        <v>0</v>
      </c>
      <c r="C25" s="24" t="inlineStr"/>
    </row>
    <row r="26" ht="81" customHeight="1">
      <c r="A26"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9:G9"/>
    <mergeCell ref="A3:G3"/>
    <mergeCell ref="A26:G26"/>
    <mergeCell ref="A2:G2"/>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Montebello Land and Water Company</t>
        </is>
      </c>
    </row>
    <row r="2">
      <c r="A2" s="2" t="inlineStr">
        <is>
          <t>Governance evidence status - Ostrom's eight design principles</t>
        </is>
      </c>
    </row>
    <row r="3">
      <c r="A3" s="2" t="inlineStr">
        <is>
          <t>Entity ID: cawc_0031   |   Fiscal year ends June 30.</t>
        </is>
      </c>
    </row>
    <row r="5">
      <c r="A5" s="46" t="inlineStr">
        <is>
          <t>Evidence summary: 3 documented, 2 partial, 3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6" t="inlineStr">
        <is>
          <t>DOCUMENTED</t>
        </is>
      </c>
      <c r="C10" s="25" t="inlineStr">
        <is>
          <t>The system is a defined public water system: 3,957 service connections over a State-published and field-verified service-area boundary of roughly 1,188.2 acres.</t>
        </is>
      </c>
      <c r="D10" s="25" t="inlineStr">
        <is>
          <t>SDWIS Community water system; SABL service-area boundary (Verified); connections defined.</t>
        </is>
      </c>
      <c r="E10" s="47" t="inlineStr">
        <is>
          <t>[C][G]</t>
        </is>
      </c>
    </row>
    <row r="11" ht="81" customHeight="1">
      <c r="A11" s="3" t="inlineStr">
        <is>
          <t>What the record shows: SDWIS defines the membership as a fixed set of service connections and the State Water Board publishes a SABL service-area polygon for it, so who is inside and outside the system is documented. The boundary is FIELD-VERIFIED by the Water Board rather than merely carried.</t>
        </is>
      </c>
    </row>
    <row r="12" ht="46" customHeight="1">
      <c r="A12" s="8" t="inlineStr">
        <is>
          <t>Rules fit local conditions</t>
        </is>
      </c>
      <c r="B12" s="26" t="inlineStr">
        <is>
          <t>NOT DOCUMENTED</t>
        </is>
      </c>
      <c r="C12" s="25" t="inlineStr">
        <is>
          <t>No filed rate schedule or metering statement was located for this company.</t>
        </is>
      </c>
      <c r="D12" s="25" t="inlineStr">
        <is>
          <t>No eAR Section 8a rate record held.</t>
        </is>
      </c>
      <c r="E12" s="47" t="inlineStr">
        <is>
          <t>not reported</t>
        </is>
      </c>
    </row>
    <row r="13" ht="96" customHeight="1">
      <c r="A13" s="3" t="inlineStr">
        <is>
          <t>What the record shows: This company files no eAR, so the filing that would document metering and rate structure does not exist for it. NOT DOCUMENTED means the supporting record was not found, not that the company governs badly. It marks a gap in the documentary record, an evidence gap to close, never a governance failing.</t>
        </is>
      </c>
    </row>
    <row r="14" ht="46" customHeight="1">
      <c r="A14" s="8" t="inlineStr">
        <is>
          <t>Collective-choice arrangements</t>
        </is>
      </c>
      <c r="B14" s="26" t="inlineStr">
        <is>
          <t>PARTIAL</t>
        </is>
      </c>
      <c r="C14" s="25" t="inlineStr">
        <is>
          <t>The company is owned by its customer-shareholders, but the specific board, the election procedure and any record of member votes are not in a source this project holds.</t>
        </is>
      </c>
      <c r="D14" s="25" t="inlineStr">
        <is>
          <t>Mutual ownership; Form 990 governance section.</t>
        </is>
      </c>
      <c r="E14" s="47" t="inlineStr">
        <is>
          <t>[990]</t>
        </is>
      </c>
    </row>
    <row r="15" ht="111" customHeight="1">
      <c r="A15" s="3" t="inlineStr">
        <is>
          <t>What the record shows: A collective-choice mechanism is documented in outline: the customers are the shareholders. It stays PARTIAL rather than met because the filed corporate record that would carry the director roster and the election procedure is NOT YET CHECKED for this company, the California Secretary of State being reachable only through a browser session that now answers a CAPTCHA. A stated board is not a filed roster.</t>
        </is>
      </c>
    </row>
    <row r="16" ht="46" customHeight="1">
      <c r="A16" s="8" t="inlineStr">
        <is>
          <t>Monitoring</t>
        </is>
      </c>
      <c r="B16" s="26" t="inlineStr">
        <is>
          <t>DOCUMENTED</t>
        </is>
      </c>
      <c r="C16" s="25" t="inlineStr">
        <is>
          <t>The system is monitored and reports on itself: it files an annual eAR, and a Consumer Confidence Report for 2024 was located at the State's own CCR portal, and it holds an emergency response plan dated 8/18/2022.</t>
        </is>
      </c>
      <c r="D16" s="25" t="inlineStr">
        <is>
          <t>Annual eAR reporting; located Consumer Confidence Report</t>
        </is>
      </c>
      <c r="E16" s="47" t="inlineStr">
        <is>
          <t>[E][CCR]</t>
        </is>
      </c>
    </row>
    <row r="17" ht="66" customHeight="1">
      <c r="A17" s="3" t="inlineStr">
        <is>
          <t>What the record shows: Operational monitoring is documented from more than one filing. What the federal violation check found is reported separately in the On the record block and is not folded into this tier.</t>
        </is>
      </c>
    </row>
    <row r="18" ht="46" customHeight="1">
      <c r="A18" s="8" t="inlineStr">
        <is>
          <t>Graduated sanctions</t>
        </is>
      </c>
      <c r="B18" s="26" t="inlineStr">
        <is>
          <t>NOT DOCUMENTED</t>
        </is>
      </c>
      <c r="C18" s="25" t="inlineStr">
        <is>
          <t>No published shut-off, penalty, or delinquency policy was found for this system.</t>
        </is>
      </c>
      <c r="D18" s="25" t="inlineStr">
        <is>
          <t>No sourced graduated sanctions record.</t>
        </is>
      </c>
      <c r="E18" s="47" t="inlineStr">
        <is>
          <t>not reported</t>
        </is>
      </c>
    </row>
    <row r="19" ht="81" customHeight="1">
      <c r="A19" s="3" t="inlineStr">
        <is>
          <t>What the record shows: No public record of a shut-off, penalty, or delinquency policy was located.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6" t="inlineStr">
        <is>
          <t>NOT DOCUMENTED</t>
        </is>
      </c>
      <c r="C20" s="25" t="inlineStr">
        <is>
          <t>No published bylaws, dispute procedure, or grievance mechanism was found for this system.</t>
        </is>
      </c>
      <c r="D20" s="25" t="inlineStr">
        <is>
          <t>No sourced conflict-resolution mechanisms record.</t>
        </is>
      </c>
      <c r="E20" s="47" t="inlineStr">
        <is>
          <t>not reported</t>
        </is>
      </c>
    </row>
    <row r="21" ht="81" customHeight="1">
      <c r="A21" s="3" t="inlineStr">
        <is>
          <t>What the record shows: No public record of a bylaws, dispute procedure, or grievance mechanism was located.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6" t="inlineStr">
        <is>
          <t>DOCUMENTED</t>
        </is>
      </c>
      <c r="C22" s="25" t="inlineStr">
        <is>
          <t>An incorporated California mutual water company recognized by the IRS as a 501(c)(12) exempt filer and by the State Water Board as a Community public water system.</t>
        </is>
      </c>
      <c r="D22" s="25" t="inlineStr">
        <is>
          <t>IRS 501(c)(12) exempt filer (Form 990); SDWIS Community public water system; eAR ownership type 'Privately owned Mutual Water Company or Association'.</t>
        </is>
      </c>
      <c r="E22" s="47" t="inlineStr">
        <is>
          <t>[990][C][E]</t>
        </is>
      </c>
    </row>
    <row r="23" ht="96" customHeight="1">
      <c r="A23" s="3" t="inlineStr">
        <is>
          <t>What the record shows: Baseline legal standing is documented by two independent regulators: the IRS accepts it as a tax-exempt 501(c)(12) filer and the State Water Board holds it as a Community public water system with a mutual ownership type. This status does NOT rest on a filed corporate record, because the Secretary of State check has not been run for this company.</t>
        </is>
      </c>
    </row>
    <row r="24" ht="46" customHeight="1">
      <c r="A24" s="8" t="inlineStr">
        <is>
          <t>Nested enterprises</t>
        </is>
      </c>
      <c r="B24" s="26" t="inlineStr">
        <is>
          <t>PARTIAL</t>
        </is>
      </c>
      <c r="C24" s="25" t="inlineStr">
        <is>
          <t>The system sits inside larger water systems: it pumps from 1 groundwater basin(s) shared with neighbors, and it holds 9 approved emergency intertie(s) with other systems. Its role in governing any of them is not documented.</t>
        </is>
      </c>
      <c r="D24" s="25" t="inlineStr">
        <is>
          <t>it pumps from 1 groundwater basin(s) shared with neighbors; it holds 9 approved emergency intertie(s) with other systems</t>
        </is>
      </c>
      <c r="E24" s="47" t="inlineStr">
        <is>
          <t>[SG][E]</t>
        </is>
      </c>
    </row>
    <row r="25" ht="51" customHeight="1">
      <c r="A25" s="3" t="inlineStr">
        <is>
          <t>What the record shows: Physical nesting is documented. What is not documented is any governance role in a wholesaler or in a groundwater sustainability agency, so the tier is PARTIAL rather than met.</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Montebello Land and Water Company</t>
        </is>
      </c>
    </row>
    <row r="2">
      <c r="A2" s="2" t="inlineStr">
        <is>
          <t>Operational metrics - plant per acre, density, terrain</t>
        </is>
      </c>
    </row>
    <row r="3">
      <c r="A3" s="2" t="inlineStr">
        <is>
          <t>Entity ID: cawc_0031   |   Fiscal year ends June 30.</t>
        </is>
      </c>
    </row>
    <row r="5">
      <c r="A5" s="6" t="inlineStr">
        <is>
          <t>Plant assets per acre</t>
        </is>
      </c>
      <c r="B5" s="7" t="n"/>
      <c r="C5" s="7" t="n"/>
    </row>
    <row r="6">
      <c r="A6" s="22" t="inlineStr">
        <is>
          <t>Service-area acres</t>
        </is>
      </c>
      <c r="B6" s="48" t="n">
        <v>1190.8</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c r="C8" s="9" t="n"/>
    </row>
    <row r="9">
      <c r="A9" s="20" t="inlineStr">
        <is>
          <t>FY2021</t>
        </is>
      </c>
      <c r="B9" s="9" t="n">
        <v>22600.1621</v>
      </c>
      <c r="C9" s="9" t="n">
        <v>11418.8226</v>
      </c>
    </row>
    <row r="10">
      <c r="A10" s="20" t="inlineStr">
        <is>
          <t>FY2022</t>
        </is>
      </c>
      <c r="B10" s="9" t="n">
        <v>22829.1795</v>
      </c>
      <c r="C10" s="9" t="n">
        <v>11086.976</v>
      </c>
    </row>
    <row r="11">
      <c r="A11" s="20" t="inlineStr">
        <is>
          <t>FY2023</t>
        </is>
      </c>
      <c r="B11" s="9" t="n">
        <v>23359.7859</v>
      </c>
      <c r="C11" s="9" t="n">
        <v>11028.3927</v>
      </c>
    </row>
    <row r="12">
      <c r="A12" s="20" t="inlineStr">
        <is>
          <t>FY2024</t>
        </is>
      </c>
      <c r="B12" s="9" t="n">
        <v>23960.7524</v>
      </c>
      <c r="C12" s="9" t="n">
        <v>11054.4222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3.32</v>
      </c>
      <c r="C19" s="24" t="inlineStr">
        <is>
          <t>3,959 connections / 1,190.8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Montebello Land and Water Company</t>
        </is>
      </c>
    </row>
    <row r="2">
      <c r="A2" s="2" t="inlineStr">
        <is>
          <t>Supply and weather indicators (DWR water year)</t>
        </is>
      </c>
    </row>
    <row r="3">
      <c r="A3" s="2" t="inlineStr">
        <is>
          <t>Entity ID: cawc_0031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47" t="inlineStr">
        <is>
          <t>Dry</t>
        </is>
      </c>
      <c r="C8" s="47" t="inlineStr">
        <is>
          <t>Critical</t>
        </is>
      </c>
      <c r="D8" s="47" t="inlineStr">
        <is>
          <t>Critical</t>
        </is>
      </c>
      <c r="E8" s="47" t="inlineStr">
        <is>
          <t>Wet</t>
        </is>
      </c>
      <c r="F8" s="47" t="inlineStr">
        <is>
          <t>Above Normal</t>
        </is>
      </c>
    </row>
    <row r="9">
      <c r="A9" s="8" t="inlineStr">
        <is>
          <t>Peak drought, Los Angeles County</t>
        </is>
      </c>
      <c r="B9" s="47" t="inlineStr">
        <is>
          <t>D1</t>
        </is>
      </c>
      <c r="C9" s="47" t="inlineStr">
        <is>
          <t>D4</t>
        </is>
      </c>
      <c r="D9" s="47" t="inlineStr">
        <is>
          <t>D4</t>
        </is>
      </c>
      <c r="E9" s="47" t="inlineStr">
        <is>
          <t>D4</t>
        </is>
      </c>
      <c r="F9" s="47" t="inlineStr">
        <is>
          <t>None (no D0-D4 during the fiscal year)</t>
        </is>
      </c>
    </row>
    <row r="10">
      <c r="A10" s="8" t="inlineStr">
        <is>
          <t>Precip, percent of normal (8-Station Index)</t>
        </is>
      </c>
      <c r="B10" s="47" t="inlineStr">
        <is>
          <t>63</t>
        </is>
      </c>
      <c r="C10" s="47" t="inlineStr">
        <is>
          <t>48</t>
        </is>
      </c>
      <c r="D10" s="47" t="inlineStr">
        <is>
          <t>86</t>
        </is>
      </c>
      <c r="E10" s="47" t="inlineStr">
        <is>
          <t>133</t>
        </is>
      </c>
      <c r="F10" s="47" t="inlineStr">
        <is>
          <t>96</t>
        </is>
      </c>
    </row>
    <row r="11">
      <c r="A11" s="8" t="inlineStr">
        <is>
          <t>Snowpack, April 1 percent of average</t>
        </is>
      </c>
      <c r="B11" s="47" t="inlineStr">
        <is>
          <t>53%</t>
        </is>
      </c>
      <c r="C11" s="47" t="inlineStr">
        <is>
          <t>59%</t>
        </is>
      </c>
      <c r="D11" s="47" t="inlineStr">
        <is>
          <t>38%</t>
        </is>
      </c>
      <c r="E11" s="47" t="inlineStr">
        <is>
          <t>237%</t>
        </is>
      </c>
      <c r="F11" s="47" t="inlineStr">
        <is>
          <t>110%</t>
        </is>
      </c>
    </row>
    <row r="12">
      <c r="A12" s="8" t="inlineStr">
        <is>
          <t>State Water Project allocation</t>
        </is>
      </c>
      <c r="B12" s="47" t="inlineStr">
        <is>
          <t>20%</t>
        </is>
      </c>
      <c r="C12" s="47" t="inlineStr">
        <is>
          <t>5%</t>
        </is>
      </c>
      <c r="D12" s="47" t="inlineStr">
        <is>
          <t>5%</t>
        </is>
      </c>
      <c r="E12" s="47" t="inlineStr">
        <is>
          <t>100%</t>
        </is>
      </c>
      <c r="F12" s="4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Montebello Land and Water Company</t>
        </is>
      </c>
    </row>
    <row r="2">
      <c r="A2" s="2" t="inlineStr">
        <is>
          <t>How this was built - forensic lineage</t>
        </is>
      </c>
    </row>
    <row r="3">
      <c r="A3" s="2" t="inlineStr">
        <is>
          <t>Entity ID: cawc_0031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2024,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2" t="inlineStr">
        <is>
          <t>Sources checked</t>
        </is>
      </c>
      <c r="B12" s="24" t="inlineStr">
        <is>
          <t>Form 990 Part VIII line 2 (program-service revenue); State Water Board eAR Section 8b (water-rate revenue B1.1/B1.2)</t>
        </is>
      </c>
    </row>
    <row r="13" ht="72" customHeight="1">
      <c r="A13" s="22" t="inlineStr">
        <is>
          <t>What was found</t>
        </is>
      </c>
      <c r="B13" s="24" t="inlineStr">
        <is>
          <t>No source separately reports a member assessment, so it is DERIVED as a residual: $6,786,362 (990 program-service revenue) minus $6,662,418 (eAR water-rate revenue) = $123,944. Period-aligned; medium confidence.</t>
        </is>
      </c>
    </row>
    <row r="14" ht="72" customHeight="1">
      <c r="A14" s="22" t="inlineStr">
        <is>
          <t>Caveat</t>
        </is>
      </c>
      <c r="B14" s="24"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204"/>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Montebello Land and Water Company</t>
        </is>
      </c>
    </row>
    <row r="2">
      <c r="A2" s="2" t="inlineStr">
        <is>
          <t>Sources &amp; audit - full provenance and tie-outs (kept off the statements so they read clean)</t>
        </is>
      </c>
    </row>
    <row r="3">
      <c r="A3" s="2" t="inlineStr">
        <is>
          <t>Entity ID: cawc_0031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6"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7" t="inlineStr">
        <is>
          <t>FY2021</t>
        </is>
      </c>
      <c r="B10" s="8" t="inlineStr">
        <is>
          <t>2021-06-30</t>
        </is>
      </c>
      <c r="C10" s="8" t="inlineStr">
        <is>
          <t>990</t>
        </is>
      </c>
      <c r="D10" s="8" t="inlineStr">
        <is>
          <t>high</t>
        </is>
      </c>
      <c r="E10" s="8" t="inlineStr">
        <is>
          <t>79364b52-4a38-4134-98ac-9ead29fb8bc3</t>
        </is>
      </c>
      <c r="F10" s="8" t="inlineStr">
        <is>
          <t>202142719349300909</t>
        </is>
      </c>
      <c r="G10" s="8" t="inlineStr">
        <is>
          <t>claude-opus-5</t>
        </is>
      </c>
      <c r="H10" s="8" t="inlineStr">
        <is>
          <t>2026-09-14T20:40:24+00:00</t>
        </is>
      </c>
      <c r="I10" s="8" t="inlineStr">
        <is>
          <t>https://apps.irs.gov/pub/epostcard/990/xml/2021/2021_TEOS_XML_01A.zip#202142719349300909_public.xml</t>
        </is>
      </c>
    </row>
    <row r="11">
      <c r="A11" s="47" t="inlineStr">
        <is>
          <t>FY2022</t>
        </is>
      </c>
      <c r="B11" s="8" t="inlineStr">
        <is>
          <t>2022-06-30</t>
        </is>
      </c>
      <c r="C11" s="8" t="inlineStr">
        <is>
          <t>990</t>
        </is>
      </c>
      <c r="D11" s="8" t="inlineStr">
        <is>
          <t>high</t>
        </is>
      </c>
      <c r="E11" s="8" t="inlineStr">
        <is>
          <t>9f127c14-4a0b-4f27-b924-846c3a7aa0dd</t>
        </is>
      </c>
      <c r="F11" s="8" t="inlineStr">
        <is>
          <t>202203129349305215</t>
        </is>
      </c>
      <c r="G11" s="8" t="inlineStr">
        <is>
          <t>claude-opus-5</t>
        </is>
      </c>
      <c r="H11" s="8" t="inlineStr">
        <is>
          <t>2026-09-14T20:40:24+00:00</t>
        </is>
      </c>
      <c r="I11" s="8" t="inlineStr">
        <is>
          <t>https://apps.irs.gov/pub/epostcard/990/xml/2022/2022_TEOS_XML_02A.zip#202203129349305215_public.xml</t>
        </is>
      </c>
    </row>
    <row r="12">
      <c r="A12" s="47" t="inlineStr">
        <is>
          <t>FY2023</t>
        </is>
      </c>
      <c r="B12" s="8" t="inlineStr">
        <is>
          <t>2023-06-30</t>
        </is>
      </c>
      <c r="C12" s="8" t="inlineStr">
        <is>
          <t>990</t>
        </is>
      </c>
      <c r="D12" s="8" t="inlineStr">
        <is>
          <t>high</t>
        </is>
      </c>
      <c r="E12" s="8" t="inlineStr">
        <is>
          <t>c8fae41c-af74-49f0-8a72-dbb4fd84ff36</t>
        </is>
      </c>
      <c r="F12" s="8" t="inlineStr">
        <is>
          <t>202332869349301668</t>
        </is>
      </c>
      <c r="G12" s="8" t="inlineStr">
        <is>
          <t>claude-opus-5</t>
        </is>
      </c>
      <c r="H12" s="8" t="inlineStr">
        <is>
          <t>2026-09-14T20:40:24+00:00</t>
        </is>
      </c>
      <c r="I12" s="8" t="inlineStr">
        <is>
          <t>https://apps.irs.gov/pub/epostcard/990/xml/2023/2023_TEOS_XML_10A.zip#202332869349301668_public.xml</t>
        </is>
      </c>
    </row>
    <row r="13">
      <c r="A13" s="47" t="inlineStr">
        <is>
          <t>FY2024</t>
        </is>
      </c>
      <c r="B13" s="8" t="inlineStr">
        <is>
          <t>2024-06-30</t>
        </is>
      </c>
      <c r="C13" s="8" t="inlineStr">
        <is>
          <t>990</t>
        </is>
      </c>
      <c r="D13" s="8" t="inlineStr">
        <is>
          <t>high</t>
        </is>
      </c>
      <c r="E13" s="8" t="inlineStr">
        <is>
          <t>43b75b41-9d5d-4973-8ad0-25d1b9c923a2</t>
        </is>
      </c>
      <c r="F13" s="8" t="inlineStr">
        <is>
          <t>202422969349301462</t>
        </is>
      </c>
      <c r="G13" s="8" t="inlineStr">
        <is>
          <t>claude-opus-5</t>
        </is>
      </c>
      <c r="H13" s="8" t="inlineStr">
        <is>
          <t>2026-09-14T20:40:24+00:00</t>
        </is>
      </c>
      <c r="I13" s="8" t="inlineStr">
        <is>
          <t>https://apps.irs.gov/pub/epostcard/990/xml/2024/2024_TEOS_XML_10A.zip#202422969349301462_public.xml</t>
        </is>
      </c>
    </row>
    <row r="15">
      <c r="A15" s="46"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Financial Statements</t>
        </is>
      </c>
      <c r="B17" s="8" t="inlineStr">
        <is>
          <t>B73</t>
        </is>
      </c>
      <c r="C17" s="8" t="inlineStr">
        <is>
          <t>11a. Gross income from members or shareholders</t>
        </is>
      </c>
      <c r="D17" s="8" t="inlineStr">
        <is>
          <t>11a</t>
        </is>
      </c>
      <c r="E17" s="8" t="inlineStr">
        <is>
          <t>part_v_other_irs_filings.members_and_shareholders_gross_income</t>
        </is>
      </c>
      <c r="F17" s="8" t="inlineStr">
        <is>
          <t>high</t>
        </is>
      </c>
      <c r="G17" s="9" t="n">
        <v>6001213</v>
      </c>
    </row>
    <row r="18">
      <c r="A18" s="8" t="inlineStr">
        <is>
          <t>Financial Statements</t>
        </is>
      </c>
      <c r="B18" s="8" t="inlineStr">
        <is>
          <t>C73</t>
        </is>
      </c>
      <c r="C18" s="8" t="inlineStr">
        <is>
          <t>11a. Gross income from members or shareholders</t>
        </is>
      </c>
      <c r="D18" s="8" t="inlineStr">
        <is>
          <t>11a</t>
        </is>
      </c>
      <c r="E18" s="8" t="inlineStr">
        <is>
          <t>part_v_other_irs_filings.members_and_shareholders_gross_income</t>
        </is>
      </c>
      <c r="F18" s="8" t="inlineStr">
        <is>
          <t>high</t>
        </is>
      </c>
      <c r="G18" s="9" t="n">
        <v>6537460</v>
      </c>
    </row>
    <row r="19">
      <c r="A19" s="8" t="inlineStr">
        <is>
          <t>Financial Statements</t>
        </is>
      </c>
      <c r="B19" s="8" t="inlineStr">
        <is>
          <t>D73</t>
        </is>
      </c>
      <c r="C19" s="8" t="inlineStr">
        <is>
          <t>11a. Gross income from members or shareholders</t>
        </is>
      </c>
      <c r="D19" s="8" t="inlineStr">
        <is>
          <t>11a</t>
        </is>
      </c>
      <c r="E19" s="8" t="inlineStr">
        <is>
          <t>part_v_other_irs_filings.members_and_shareholders_gross_income</t>
        </is>
      </c>
      <c r="F19" s="8" t="inlineStr">
        <is>
          <t>high</t>
        </is>
      </c>
      <c r="G19" s="9" t="n">
        <v>6548139</v>
      </c>
    </row>
    <row r="20">
      <c r="A20" s="8" t="inlineStr">
        <is>
          <t>Financial Statements</t>
        </is>
      </c>
      <c r="B20" s="8" t="inlineStr">
        <is>
          <t>E73</t>
        </is>
      </c>
      <c r="C20" s="8" t="inlineStr">
        <is>
          <t>11a. Gross income from members or shareholders</t>
        </is>
      </c>
      <c r="D20" s="8" t="inlineStr">
        <is>
          <t>11a</t>
        </is>
      </c>
      <c r="E20" s="8" t="inlineStr">
        <is>
          <t>part_v_other_irs_filings.members_and_shareholders_gross_income</t>
        </is>
      </c>
      <c r="F20" s="8" t="inlineStr">
        <is>
          <t>high</t>
        </is>
      </c>
      <c r="G20" s="9" t="n">
        <v>6786362</v>
      </c>
    </row>
    <row r="21">
      <c r="A21" s="8" t="inlineStr">
        <is>
          <t>Financial Statements</t>
        </is>
      </c>
      <c r="B21" s="8" t="inlineStr">
        <is>
          <t>B74</t>
        </is>
      </c>
      <c r="C21" s="8" t="inlineStr">
        <is>
          <t>11b. Gross income from other sources</t>
        </is>
      </c>
      <c r="D21" s="8" t="inlineStr">
        <is>
          <t>11b</t>
        </is>
      </c>
      <c r="E21" s="8" t="inlineStr">
        <is>
          <t>part_v_other_irs_filings.other_sources_gross_income</t>
        </is>
      </c>
      <c r="F21" s="8" t="inlineStr">
        <is>
          <t>high</t>
        </is>
      </c>
      <c r="G21" s="9" t="n">
        <v>118463</v>
      </c>
    </row>
    <row r="22">
      <c r="A22" s="8" t="inlineStr">
        <is>
          <t>Financial Statements</t>
        </is>
      </c>
      <c r="B22" s="8" t="inlineStr">
        <is>
          <t>C74</t>
        </is>
      </c>
      <c r="C22" s="8" t="inlineStr">
        <is>
          <t>11b. Gross income from other sources</t>
        </is>
      </c>
      <c r="D22" s="8" t="inlineStr">
        <is>
          <t>11b</t>
        </is>
      </c>
      <c r="E22" s="8" t="inlineStr">
        <is>
          <t>part_v_other_irs_filings.other_sources_gross_income</t>
        </is>
      </c>
      <c r="F22" s="8" t="inlineStr">
        <is>
          <t>high</t>
        </is>
      </c>
      <c r="G22" s="9" t="n">
        <v>233892</v>
      </c>
    </row>
    <row r="23">
      <c r="A23" s="8" t="inlineStr">
        <is>
          <t>Financial Statements</t>
        </is>
      </c>
      <c r="B23" s="8" t="inlineStr">
        <is>
          <t>D74</t>
        </is>
      </c>
      <c r="C23" s="8" t="inlineStr">
        <is>
          <t>11b. Gross income from other sources</t>
        </is>
      </c>
      <c r="D23" s="8" t="inlineStr">
        <is>
          <t>11b</t>
        </is>
      </c>
      <c r="E23" s="8" t="inlineStr">
        <is>
          <t>part_v_other_irs_filings.other_sources_gross_income</t>
        </is>
      </c>
      <c r="F23" s="8" t="inlineStr">
        <is>
          <t>high</t>
        </is>
      </c>
      <c r="G23" s="9" t="n">
        <v>3472684</v>
      </c>
    </row>
    <row r="24">
      <c r="A24" s="8" t="inlineStr">
        <is>
          <t>Financial Statements</t>
        </is>
      </c>
      <c r="B24" s="8" t="inlineStr">
        <is>
          <t>E74</t>
        </is>
      </c>
      <c r="C24" s="8" t="inlineStr">
        <is>
          <t>11b. Gross income from other sources</t>
        </is>
      </c>
      <c r="D24" s="8" t="inlineStr">
        <is>
          <t>11b</t>
        </is>
      </c>
      <c r="E24" s="8" t="inlineStr">
        <is>
          <t>part_v_other_irs_filings.other_sources_gross_income</t>
        </is>
      </c>
      <c r="F24" s="8" t="inlineStr">
        <is>
          <t>high</t>
        </is>
      </c>
      <c r="G24" s="9" t="n">
        <v>3623308</v>
      </c>
    </row>
    <row r="25">
      <c r="A25" s="8" t="inlineStr">
        <is>
          <t>Revenue (detail)</t>
        </is>
      </c>
      <c r="B25" s="8" t="inlineStr">
        <is>
          <t>C7</t>
        </is>
      </c>
      <c r="C25" s="8" t="inlineStr">
        <is>
          <t>1h. Total contributions, gifts, grants</t>
        </is>
      </c>
      <c r="D25" s="8" t="inlineStr">
        <is>
          <t>1h</t>
        </is>
      </c>
      <c r="E25" s="8" t="inlineStr">
        <is>
          <t>part_viii_revenue.total_contributions</t>
        </is>
      </c>
      <c r="F25" s="8" t="inlineStr">
        <is>
          <t>high</t>
        </is>
      </c>
      <c r="G25" s="9" t="n">
        <v>39871</v>
      </c>
    </row>
    <row r="26">
      <c r="A26" s="8" t="inlineStr">
        <is>
          <t>Revenue (detail)</t>
        </is>
      </c>
      <c r="B26" s="8" t="inlineStr">
        <is>
          <t>D7</t>
        </is>
      </c>
      <c r="C26" s="8" t="inlineStr">
        <is>
          <t>1h. Total contributions, gifts, grants</t>
        </is>
      </c>
      <c r="D26" s="8" t="inlineStr">
        <is>
          <t>1h</t>
        </is>
      </c>
      <c r="E26" s="8" t="inlineStr">
        <is>
          <t>part_viii_revenue.total_contributions</t>
        </is>
      </c>
      <c r="F26" s="8" t="inlineStr">
        <is>
          <t>high</t>
        </is>
      </c>
      <c r="G26" s="9" t="n">
        <v>2930468</v>
      </c>
    </row>
    <row r="27">
      <c r="A27" s="8" t="inlineStr">
        <is>
          <t>Revenue (detail)</t>
        </is>
      </c>
      <c r="B27" s="8" t="inlineStr">
        <is>
          <t>E7</t>
        </is>
      </c>
      <c r="C27" s="8" t="inlineStr">
        <is>
          <t>1h. Total contributions, gifts, grants</t>
        </is>
      </c>
      <c r="D27" s="8" t="inlineStr">
        <is>
          <t>1h</t>
        </is>
      </c>
      <c r="E27" s="8" t="inlineStr">
        <is>
          <t>part_viii_revenue.total_contributions</t>
        </is>
      </c>
      <c r="F27" s="8" t="inlineStr">
        <is>
          <t>high</t>
        </is>
      </c>
      <c r="G27" s="9" t="n">
        <v>2298148</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6001213</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6537460</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6548139</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6786362</v>
      </c>
    </row>
    <row r="32">
      <c r="A32" s="8" t="inlineStr">
        <is>
          <t>Revenue (detail)</t>
        </is>
      </c>
      <c r="B32" s="8" t="inlineStr">
        <is>
          <t>B9</t>
        </is>
      </c>
      <c r="C32" s="8" t="inlineStr">
        <is>
          <t>3. Investment income</t>
        </is>
      </c>
      <c r="D32" s="8" t="inlineStr">
        <is>
          <t>3</t>
        </is>
      </c>
      <c r="E32" s="8" t="inlineStr">
        <is>
          <t>part_viii_revenue.investment_income</t>
        </is>
      </c>
      <c r="F32" s="8" t="inlineStr">
        <is>
          <t>high</t>
        </is>
      </c>
      <c r="G32" s="9" t="n">
        <v>79468</v>
      </c>
    </row>
    <row r="33">
      <c r="A33" s="8" t="inlineStr">
        <is>
          <t>Revenue (detail)</t>
        </is>
      </c>
      <c r="B33" s="8" t="inlineStr">
        <is>
          <t>C9</t>
        </is>
      </c>
      <c r="C33" s="8" t="inlineStr">
        <is>
          <t>3. Investment income</t>
        </is>
      </c>
      <c r="D33" s="8" t="inlineStr">
        <is>
          <t>3</t>
        </is>
      </c>
      <c r="E33" s="8" t="inlineStr">
        <is>
          <t>part_viii_revenue.investment_income</t>
        </is>
      </c>
      <c r="F33" s="8" t="inlineStr">
        <is>
          <t>high</t>
        </is>
      </c>
      <c r="G33" s="9" t="n">
        <v>76951</v>
      </c>
    </row>
    <row r="34">
      <c r="A34" s="8" t="inlineStr">
        <is>
          <t>Revenue (detail)</t>
        </is>
      </c>
      <c r="B34" s="8" t="inlineStr">
        <is>
          <t>D9</t>
        </is>
      </c>
      <c r="C34" s="8" t="inlineStr">
        <is>
          <t>3. Investment income</t>
        </is>
      </c>
      <c r="D34" s="8" t="inlineStr">
        <is>
          <t>3</t>
        </is>
      </c>
      <c r="E34" s="8" t="inlineStr">
        <is>
          <t>part_viii_revenue.investment_income</t>
        </is>
      </c>
      <c r="F34" s="8" t="inlineStr">
        <is>
          <t>high</t>
        </is>
      </c>
      <c r="G34" s="9" t="n">
        <v>175461</v>
      </c>
    </row>
    <row r="35">
      <c r="A35" s="8" t="inlineStr">
        <is>
          <t>Revenue (detail)</t>
        </is>
      </c>
      <c r="B35" s="8" t="inlineStr">
        <is>
          <t>E9</t>
        </is>
      </c>
      <c r="C35" s="8" t="inlineStr">
        <is>
          <t>3. Investment income</t>
        </is>
      </c>
      <c r="D35" s="8" t="inlineStr">
        <is>
          <t>3</t>
        </is>
      </c>
      <c r="E35" s="8" t="inlineStr">
        <is>
          <t>part_viii_revenue.investment_income</t>
        </is>
      </c>
      <c r="F35" s="8" t="inlineStr">
        <is>
          <t>high</t>
        </is>
      </c>
      <c r="G35" s="9" t="n">
        <v>314633</v>
      </c>
    </row>
    <row r="36">
      <c r="A36" s="8" t="inlineStr">
        <is>
          <t>Revenue (detail)</t>
        </is>
      </c>
      <c r="B36" s="8" t="inlineStr">
        <is>
          <t>B11</t>
        </is>
      </c>
      <c r="C36" s="8" t="inlineStr">
        <is>
          <t>7d. Net gain/(loss) from investment sales</t>
        </is>
      </c>
      <c r="D36" s="8" t="inlineStr">
        <is>
          <t>7d</t>
        </is>
      </c>
      <c r="E36" s="8" t="inlineStr">
        <is>
          <t>part_viii_revenue.net_gain_or_loss_investments</t>
        </is>
      </c>
      <c r="F36" s="8" t="inlineStr">
        <is>
          <t>high</t>
        </is>
      </c>
      <c r="G36" s="9" t="n">
        <v>1500</v>
      </c>
    </row>
    <row r="37">
      <c r="A37" s="8" t="inlineStr">
        <is>
          <t>Revenue (detail)</t>
        </is>
      </c>
      <c r="B37" s="8" t="inlineStr">
        <is>
          <t>C11</t>
        </is>
      </c>
      <c r="C37" s="8" t="inlineStr">
        <is>
          <t>7d. Net gain/(loss) from investment sales</t>
        </is>
      </c>
      <c r="D37" s="8" t="inlineStr">
        <is>
          <t>7d</t>
        </is>
      </c>
      <c r="E37" s="8" t="inlineStr">
        <is>
          <t>part_viii_revenue.net_gain_or_loss_investments</t>
        </is>
      </c>
      <c r="F37" s="8" t="inlineStr">
        <is>
          <t>high</t>
        </is>
      </c>
      <c r="G37" s="9" t="n">
        <v>10000</v>
      </c>
    </row>
    <row r="38">
      <c r="A38" s="8" t="inlineStr">
        <is>
          <t>Revenue (detail)</t>
        </is>
      </c>
      <c r="B38" s="8" t="inlineStr">
        <is>
          <t>E11</t>
        </is>
      </c>
      <c r="C38" s="8" t="inlineStr">
        <is>
          <t>7d. Net gain/(loss) from investment sales</t>
        </is>
      </c>
      <c r="D38" s="8" t="inlineStr">
        <is>
          <t>7d</t>
        </is>
      </c>
      <c r="E38" s="8" t="inlineStr">
        <is>
          <t>part_viii_revenue.net_gain_or_loss_investments</t>
        </is>
      </c>
      <c r="F38" s="8" t="inlineStr">
        <is>
          <t>high</t>
        </is>
      </c>
      <c r="G38" s="9" t="n">
        <v>11000</v>
      </c>
    </row>
    <row r="39">
      <c r="A39" s="8" t="inlineStr">
        <is>
          <t>Revenue (detail)</t>
        </is>
      </c>
      <c r="B39" s="8" t="inlineStr">
        <is>
          <t>B12</t>
        </is>
      </c>
      <c r="C39" s="8" t="inlineStr">
        <is>
          <t>11e. Other revenue</t>
        </is>
      </c>
      <c r="D39" s="8" t="inlineStr">
        <is>
          <t>11e</t>
        </is>
      </c>
      <c r="E39" s="8" t="inlineStr">
        <is>
          <t>part_viii_revenue.other_revenue_total</t>
        </is>
      </c>
      <c r="F39" s="8" t="inlineStr">
        <is>
          <t>high</t>
        </is>
      </c>
      <c r="G39" s="9" t="n">
        <v>37495</v>
      </c>
    </row>
    <row r="40">
      <c r="A40" s="8" t="inlineStr">
        <is>
          <t>Revenue (detail)</t>
        </is>
      </c>
      <c r="B40" s="8" t="inlineStr">
        <is>
          <t>C12</t>
        </is>
      </c>
      <c r="C40" s="8" t="inlineStr">
        <is>
          <t>11e. Other revenue</t>
        </is>
      </c>
      <c r="D40" s="8" t="inlineStr">
        <is>
          <t>11e</t>
        </is>
      </c>
      <c r="E40" s="8" t="inlineStr">
        <is>
          <t>part_viii_revenue.other_revenue_total</t>
        </is>
      </c>
      <c r="F40" s="8" t="inlineStr">
        <is>
          <t>high</t>
        </is>
      </c>
      <c r="G40" s="9" t="n">
        <v>107070</v>
      </c>
    </row>
    <row r="41">
      <c r="A41" s="8" t="inlineStr">
        <is>
          <t>Revenue (detail)</t>
        </is>
      </c>
      <c r="B41" s="8" t="inlineStr">
        <is>
          <t>D12</t>
        </is>
      </c>
      <c r="C41" s="8" t="inlineStr">
        <is>
          <t>11e. Other revenue</t>
        </is>
      </c>
      <c r="D41" s="8" t="inlineStr">
        <is>
          <t>11e</t>
        </is>
      </c>
      <c r="E41" s="8" t="inlineStr">
        <is>
          <t>part_viii_revenue.other_revenue_total</t>
        </is>
      </c>
      <c r="F41" s="8" t="inlineStr">
        <is>
          <t>high</t>
        </is>
      </c>
      <c r="G41" s="9" t="n">
        <v>369379</v>
      </c>
    </row>
    <row r="42">
      <c r="A42" s="8" t="inlineStr">
        <is>
          <t>Revenue (detail)</t>
        </is>
      </c>
      <c r="B42" s="8" t="inlineStr">
        <is>
          <t>E12</t>
        </is>
      </c>
      <c r="C42" s="8" t="inlineStr">
        <is>
          <t>11e. Other revenue</t>
        </is>
      </c>
      <c r="D42" s="8" t="inlineStr">
        <is>
          <t>11e</t>
        </is>
      </c>
      <c r="E42" s="8" t="inlineStr">
        <is>
          <t>part_viii_revenue.other_revenue_total</t>
        </is>
      </c>
      <c r="F42" s="8" t="inlineStr">
        <is>
          <t>high</t>
        </is>
      </c>
      <c r="G42" s="9" t="n">
        <v>1001189</v>
      </c>
    </row>
    <row r="43">
      <c r="A43" s="8" t="inlineStr">
        <is>
          <t>Operating expenses (detail)</t>
        </is>
      </c>
      <c r="B43" s="8" t="inlineStr">
        <is>
          <t>B7</t>
        </is>
      </c>
      <c r="C43" s="8" t="inlineStr">
        <is>
          <t>5. Compensation of current officers, directors, trustees</t>
        </is>
      </c>
      <c r="D43" s="8" t="inlineStr">
        <is>
          <t>5</t>
        </is>
      </c>
      <c r="E43" s="8" t="inlineStr">
        <is>
          <t>part_ix_expenses.comp_current_officers</t>
        </is>
      </c>
      <c r="F43" s="8" t="inlineStr">
        <is>
          <t>high</t>
        </is>
      </c>
      <c r="G43" s="9" t="n">
        <v>234027</v>
      </c>
    </row>
    <row r="44">
      <c r="A44" s="8" t="inlineStr">
        <is>
          <t>Operating expenses (detail)</t>
        </is>
      </c>
      <c r="B44" s="8" t="inlineStr">
        <is>
          <t>C7</t>
        </is>
      </c>
      <c r="C44" s="8" t="inlineStr">
        <is>
          <t>5. Compensation of current officers, directors, trustees</t>
        </is>
      </c>
      <c r="D44" s="8" t="inlineStr">
        <is>
          <t>5</t>
        </is>
      </c>
      <c r="E44" s="8" t="inlineStr">
        <is>
          <t>part_ix_expenses.comp_current_officers</t>
        </is>
      </c>
      <c r="F44" s="8" t="inlineStr">
        <is>
          <t>high</t>
        </is>
      </c>
      <c r="G44" s="9" t="n">
        <v>339169</v>
      </c>
    </row>
    <row r="45">
      <c r="A45" s="8" t="inlineStr">
        <is>
          <t>Operating expenses (detail)</t>
        </is>
      </c>
      <c r="B45" s="8" t="inlineStr">
        <is>
          <t>D7</t>
        </is>
      </c>
      <c r="C45" s="8" t="inlineStr">
        <is>
          <t>5. Compensation of current officers, directors, trustees</t>
        </is>
      </c>
      <c r="D45" s="8" t="inlineStr">
        <is>
          <t>5</t>
        </is>
      </c>
      <c r="E45" s="8" t="inlineStr">
        <is>
          <t>part_ix_expenses.comp_current_officers</t>
        </is>
      </c>
      <c r="F45" s="8" t="inlineStr">
        <is>
          <t>high</t>
        </is>
      </c>
      <c r="G45" s="9" t="n">
        <v>249738</v>
      </c>
    </row>
    <row r="46">
      <c r="A46" s="8" t="inlineStr">
        <is>
          <t>Operating expenses (detail)</t>
        </is>
      </c>
      <c r="B46" s="8" t="inlineStr">
        <is>
          <t>E7</t>
        </is>
      </c>
      <c r="C46" s="8" t="inlineStr">
        <is>
          <t>5. Compensation of current officers, directors, trustees</t>
        </is>
      </c>
      <c r="D46" s="8" t="inlineStr">
        <is>
          <t>5</t>
        </is>
      </c>
      <c r="E46" s="8" t="inlineStr">
        <is>
          <t>part_ix_expenses.comp_current_officers</t>
        </is>
      </c>
      <c r="F46" s="8" t="inlineStr">
        <is>
          <t>high</t>
        </is>
      </c>
      <c r="G46" s="9" t="n">
        <v>277260</v>
      </c>
    </row>
    <row r="47">
      <c r="A47" s="8" t="inlineStr">
        <is>
          <t>Operating expenses (detail)</t>
        </is>
      </c>
      <c r="B47" s="8" t="inlineStr">
        <is>
          <t>B8</t>
        </is>
      </c>
      <c r="C47" s="8" t="inlineStr">
        <is>
          <t>7. Other salaries and wages</t>
        </is>
      </c>
      <c r="D47" s="8" t="inlineStr">
        <is>
          <t>7</t>
        </is>
      </c>
      <c r="E47" s="8" t="inlineStr">
        <is>
          <t>part_ix_expenses.other_salaries_and_wages</t>
        </is>
      </c>
      <c r="F47" s="8" t="inlineStr">
        <is>
          <t>high</t>
        </is>
      </c>
      <c r="G47" s="9" t="n">
        <v>790543</v>
      </c>
    </row>
    <row r="48">
      <c r="A48" s="8" t="inlineStr">
        <is>
          <t>Operating expenses (detail)</t>
        </is>
      </c>
      <c r="B48" s="8" t="inlineStr">
        <is>
          <t>C8</t>
        </is>
      </c>
      <c r="C48" s="8" t="inlineStr">
        <is>
          <t>7. Other salaries and wages</t>
        </is>
      </c>
      <c r="D48" s="8" t="inlineStr">
        <is>
          <t>7</t>
        </is>
      </c>
      <c r="E48" s="8" t="inlineStr">
        <is>
          <t>part_ix_expenses.other_salaries_and_wages</t>
        </is>
      </c>
      <c r="F48" s="8" t="inlineStr">
        <is>
          <t>high</t>
        </is>
      </c>
      <c r="G48" s="9" t="n">
        <v>774184</v>
      </c>
    </row>
    <row r="49">
      <c r="A49" s="8" t="inlineStr">
        <is>
          <t>Operating expenses (detail)</t>
        </is>
      </c>
      <c r="B49" s="8" t="inlineStr">
        <is>
          <t>D8</t>
        </is>
      </c>
      <c r="C49" s="8" t="inlineStr">
        <is>
          <t>7. Other salaries and wages</t>
        </is>
      </c>
      <c r="D49" s="8" t="inlineStr">
        <is>
          <t>7</t>
        </is>
      </c>
      <c r="E49" s="8" t="inlineStr">
        <is>
          <t>part_ix_expenses.other_salaries_and_wages</t>
        </is>
      </c>
      <c r="F49" s="8" t="inlineStr">
        <is>
          <t>high</t>
        </is>
      </c>
      <c r="G49" s="9" t="n">
        <v>693589</v>
      </c>
    </row>
    <row r="50">
      <c r="A50" s="8" t="inlineStr">
        <is>
          <t>Operating expenses (detail)</t>
        </is>
      </c>
      <c r="B50" s="8" t="inlineStr">
        <is>
          <t>E8</t>
        </is>
      </c>
      <c r="C50" s="8" t="inlineStr">
        <is>
          <t>7. Other salaries and wages</t>
        </is>
      </c>
      <c r="D50" s="8" t="inlineStr">
        <is>
          <t>7</t>
        </is>
      </c>
      <c r="E50" s="8" t="inlineStr">
        <is>
          <t>part_ix_expenses.other_salaries_and_wages</t>
        </is>
      </c>
      <c r="F50" s="8" t="inlineStr">
        <is>
          <t>high</t>
        </is>
      </c>
      <c r="G50" s="9" t="n">
        <v>717376</v>
      </c>
    </row>
    <row r="51">
      <c r="A51" s="8" t="inlineStr">
        <is>
          <t>Operating expenses (detail)</t>
        </is>
      </c>
      <c r="B51" s="8" t="inlineStr">
        <is>
          <t>B9</t>
        </is>
      </c>
      <c r="C51" s="8" t="inlineStr">
        <is>
          <t>8. Pension plan accruals and contributions</t>
        </is>
      </c>
      <c r="D51" s="8" t="inlineStr">
        <is>
          <t>8</t>
        </is>
      </c>
      <c r="E51" s="8" t="inlineStr">
        <is>
          <t>part_ix_expenses.pension_plan_contributions</t>
        </is>
      </c>
      <c r="F51" s="8" t="inlineStr">
        <is>
          <t>high</t>
        </is>
      </c>
      <c r="G51" s="9" t="n">
        <v>531864</v>
      </c>
    </row>
    <row r="52">
      <c r="A52" s="8" t="inlineStr">
        <is>
          <t>Operating expenses (detail)</t>
        </is>
      </c>
      <c r="B52" s="8" t="inlineStr">
        <is>
          <t>C9</t>
        </is>
      </c>
      <c r="C52" s="8" t="inlineStr">
        <is>
          <t>8. Pension plan accruals and contributions</t>
        </is>
      </c>
      <c r="D52" s="8" t="inlineStr">
        <is>
          <t>8</t>
        </is>
      </c>
      <c r="E52" s="8" t="inlineStr">
        <is>
          <t>part_ix_expenses.pension_plan_contributions</t>
        </is>
      </c>
      <c r="F52" s="8" t="inlineStr">
        <is>
          <t>high</t>
        </is>
      </c>
      <c r="G52" s="9" t="n">
        <v>146974</v>
      </c>
    </row>
    <row r="53">
      <c r="A53" s="8" t="inlineStr">
        <is>
          <t>Operating expenses (detail)</t>
        </is>
      </c>
      <c r="B53" s="8" t="inlineStr">
        <is>
          <t>D9</t>
        </is>
      </c>
      <c r="C53" s="8" t="inlineStr">
        <is>
          <t>8. Pension plan accruals and contributions</t>
        </is>
      </c>
      <c r="D53" s="8" t="inlineStr">
        <is>
          <t>8</t>
        </is>
      </c>
      <c r="E53" s="8" t="inlineStr">
        <is>
          <t>part_ix_expenses.pension_plan_contributions</t>
        </is>
      </c>
      <c r="F53" s="8" t="inlineStr">
        <is>
          <t>high</t>
        </is>
      </c>
      <c r="G53" s="9" t="n">
        <v>145502</v>
      </c>
    </row>
    <row r="54">
      <c r="A54" s="8" t="inlineStr">
        <is>
          <t>Operating expenses (detail)</t>
        </is>
      </c>
      <c r="B54" s="8" t="inlineStr">
        <is>
          <t>E9</t>
        </is>
      </c>
      <c r="C54" s="8" t="inlineStr">
        <is>
          <t>8. Pension plan accruals and contributions</t>
        </is>
      </c>
      <c r="D54" s="8" t="inlineStr">
        <is>
          <t>8</t>
        </is>
      </c>
      <c r="E54" s="8" t="inlineStr">
        <is>
          <t>part_ix_expenses.pension_plan_contributions</t>
        </is>
      </c>
      <c r="F54" s="8" t="inlineStr">
        <is>
          <t>high</t>
        </is>
      </c>
      <c r="G54" s="9" t="n">
        <v>111902</v>
      </c>
    </row>
    <row r="55">
      <c r="A55" s="8" t="inlineStr">
        <is>
          <t>Operating expenses (detail)</t>
        </is>
      </c>
      <c r="B55" s="8" t="inlineStr">
        <is>
          <t>B10</t>
        </is>
      </c>
      <c r="C55" s="8" t="inlineStr">
        <is>
          <t>9. Other employee benefits</t>
        </is>
      </c>
      <c r="D55" s="8" t="inlineStr">
        <is>
          <t>9</t>
        </is>
      </c>
      <c r="E55" s="8" t="inlineStr">
        <is>
          <t>part_ix_expenses.other_employee_benefits</t>
        </is>
      </c>
      <c r="F55" s="8" t="inlineStr">
        <is>
          <t>high</t>
        </is>
      </c>
      <c r="G55" s="9" t="n">
        <v>215494</v>
      </c>
    </row>
    <row r="56">
      <c r="A56" s="8" t="inlineStr">
        <is>
          <t>Operating expenses (detail)</t>
        </is>
      </c>
      <c r="B56" s="8" t="inlineStr">
        <is>
          <t>C10</t>
        </is>
      </c>
      <c r="C56" s="8" t="inlineStr">
        <is>
          <t>9. Other employee benefits</t>
        </is>
      </c>
      <c r="D56" s="8" t="inlineStr">
        <is>
          <t>9</t>
        </is>
      </c>
      <c r="E56" s="8" t="inlineStr">
        <is>
          <t>part_ix_expenses.other_employee_benefits</t>
        </is>
      </c>
      <c r="F56" s="8" t="inlineStr">
        <is>
          <t>high</t>
        </is>
      </c>
      <c r="G56" s="9" t="n">
        <v>195430</v>
      </c>
    </row>
    <row r="57">
      <c r="A57" s="8" t="inlineStr">
        <is>
          <t>Operating expenses (detail)</t>
        </is>
      </c>
      <c r="B57" s="8" t="inlineStr">
        <is>
          <t>D10</t>
        </is>
      </c>
      <c r="C57" s="8" t="inlineStr">
        <is>
          <t>9. Other employee benefits</t>
        </is>
      </c>
      <c r="D57" s="8" t="inlineStr">
        <is>
          <t>9</t>
        </is>
      </c>
      <c r="E57" s="8" t="inlineStr">
        <is>
          <t>part_ix_expenses.other_employee_benefits</t>
        </is>
      </c>
      <c r="F57" s="8" t="inlineStr">
        <is>
          <t>high</t>
        </is>
      </c>
      <c r="G57" s="9" t="n">
        <v>188176</v>
      </c>
    </row>
    <row r="58">
      <c r="A58" s="8" t="inlineStr">
        <is>
          <t>Operating expenses (detail)</t>
        </is>
      </c>
      <c r="B58" s="8" t="inlineStr">
        <is>
          <t>E10</t>
        </is>
      </c>
      <c r="C58" s="8" t="inlineStr">
        <is>
          <t>9. Other employee benefits</t>
        </is>
      </c>
      <c r="D58" s="8" t="inlineStr">
        <is>
          <t>9</t>
        </is>
      </c>
      <c r="E58" s="8" t="inlineStr">
        <is>
          <t>part_ix_expenses.other_employee_benefits</t>
        </is>
      </c>
      <c r="F58" s="8" t="inlineStr">
        <is>
          <t>high</t>
        </is>
      </c>
      <c r="G58" s="9" t="n">
        <v>193166</v>
      </c>
    </row>
    <row r="59">
      <c r="A59" s="8" t="inlineStr">
        <is>
          <t>Operating expenses (detail)</t>
        </is>
      </c>
      <c r="B59" s="8" t="inlineStr">
        <is>
          <t>B11</t>
        </is>
      </c>
      <c r="C59" s="8" t="inlineStr">
        <is>
          <t>10. Payroll taxes</t>
        </is>
      </c>
      <c r="D59" s="8" t="inlineStr">
        <is>
          <t>10</t>
        </is>
      </c>
      <c r="E59" s="8" t="inlineStr">
        <is>
          <t>part_ix_expenses.payroll_taxes</t>
        </is>
      </c>
      <c r="F59" s="8" t="inlineStr">
        <is>
          <t>high</t>
        </is>
      </c>
      <c r="G59" s="9" t="n">
        <v>86855</v>
      </c>
    </row>
    <row r="60">
      <c r="A60" s="8" t="inlineStr">
        <is>
          <t>Operating expenses (detail)</t>
        </is>
      </c>
      <c r="B60" s="8" t="inlineStr">
        <is>
          <t>C11</t>
        </is>
      </c>
      <c r="C60" s="8" t="inlineStr">
        <is>
          <t>10. Payroll taxes</t>
        </is>
      </c>
      <c r="D60" s="8" t="inlineStr">
        <is>
          <t>10</t>
        </is>
      </c>
      <c r="E60" s="8" t="inlineStr">
        <is>
          <t>part_ix_expenses.payroll_taxes</t>
        </is>
      </c>
      <c r="F60" s="8" t="inlineStr">
        <is>
          <t>high</t>
        </is>
      </c>
      <c r="G60" s="9" t="n">
        <v>83241</v>
      </c>
    </row>
    <row r="61">
      <c r="A61" s="8" t="inlineStr">
        <is>
          <t>Operating expenses (detail)</t>
        </is>
      </c>
      <c r="B61" s="8" t="inlineStr">
        <is>
          <t>D11</t>
        </is>
      </c>
      <c r="C61" s="8" t="inlineStr">
        <is>
          <t>10. Payroll taxes</t>
        </is>
      </c>
      <c r="D61" s="8" t="inlineStr">
        <is>
          <t>10</t>
        </is>
      </c>
      <c r="E61" s="8" t="inlineStr">
        <is>
          <t>part_ix_expenses.payroll_taxes</t>
        </is>
      </c>
      <c r="F61" s="8" t="inlineStr">
        <is>
          <t>high</t>
        </is>
      </c>
      <c r="G61" s="9" t="n">
        <v>77323</v>
      </c>
    </row>
    <row r="62">
      <c r="A62" s="8" t="inlineStr">
        <is>
          <t>Operating expenses (detail)</t>
        </is>
      </c>
      <c r="B62" s="8" t="inlineStr">
        <is>
          <t>E11</t>
        </is>
      </c>
      <c r="C62" s="8" t="inlineStr">
        <is>
          <t>10. Payroll taxes</t>
        </is>
      </c>
      <c r="D62" s="8" t="inlineStr">
        <is>
          <t>10</t>
        </is>
      </c>
      <c r="E62" s="8" t="inlineStr">
        <is>
          <t>part_ix_expenses.payroll_taxes</t>
        </is>
      </c>
      <c r="F62" s="8" t="inlineStr">
        <is>
          <t>high</t>
        </is>
      </c>
      <c r="G62" s="9" t="n">
        <v>87480</v>
      </c>
    </row>
    <row r="63">
      <c r="A63" s="8" t="inlineStr">
        <is>
          <t>Operating expenses (detail)</t>
        </is>
      </c>
      <c r="B63" s="8" t="inlineStr">
        <is>
          <t>B12</t>
        </is>
      </c>
      <c r="C63" s="8" t="inlineStr">
        <is>
          <t>11b. Fees for services: legal</t>
        </is>
      </c>
      <c r="D63" s="8" t="inlineStr">
        <is>
          <t>11b</t>
        </is>
      </c>
      <c r="E63" s="8" t="inlineStr">
        <is>
          <t>part_ix_expenses.fees_legal</t>
        </is>
      </c>
      <c r="F63" s="8" t="inlineStr">
        <is>
          <t>high</t>
        </is>
      </c>
      <c r="G63" s="9" t="n">
        <v>47975</v>
      </c>
    </row>
    <row r="64">
      <c r="A64" s="8" t="inlineStr">
        <is>
          <t>Operating expenses (detail)</t>
        </is>
      </c>
      <c r="B64" s="8" t="inlineStr">
        <is>
          <t>C12</t>
        </is>
      </c>
      <c r="C64" s="8" t="inlineStr">
        <is>
          <t>11b. Fees for services: legal</t>
        </is>
      </c>
      <c r="D64" s="8" t="inlineStr">
        <is>
          <t>11b</t>
        </is>
      </c>
      <c r="E64" s="8" t="inlineStr">
        <is>
          <t>part_ix_expenses.fees_legal</t>
        </is>
      </c>
      <c r="F64" s="8" t="inlineStr">
        <is>
          <t>high</t>
        </is>
      </c>
      <c r="G64" s="9" t="n">
        <v>33287</v>
      </c>
    </row>
    <row r="65">
      <c r="A65" s="8" t="inlineStr">
        <is>
          <t>Operating expenses (detail)</t>
        </is>
      </c>
      <c r="B65" s="8" t="inlineStr">
        <is>
          <t>D12</t>
        </is>
      </c>
      <c r="C65" s="8" t="inlineStr">
        <is>
          <t>11b. Fees for services: legal</t>
        </is>
      </c>
      <c r="D65" s="8" t="inlineStr">
        <is>
          <t>11b</t>
        </is>
      </c>
      <c r="E65" s="8" t="inlineStr">
        <is>
          <t>part_ix_expenses.fees_legal</t>
        </is>
      </c>
      <c r="F65" s="8" t="inlineStr">
        <is>
          <t>high</t>
        </is>
      </c>
      <c r="G65" s="9" t="n">
        <v>44035</v>
      </c>
    </row>
    <row r="66">
      <c r="A66" s="8" t="inlineStr">
        <is>
          <t>Operating expenses (detail)</t>
        </is>
      </c>
      <c r="B66" s="8" t="inlineStr">
        <is>
          <t>E12</t>
        </is>
      </c>
      <c r="C66" s="8" t="inlineStr">
        <is>
          <t>11b. Fees for services: legal</t>
        </is>
      </c>
      <c r="D66" s="8" t="inlineStr">
        <is>
          <t>11b</t>
        </is>
      </c>
      <c r="E66" s="8" t="inlineStr">
        <is>
          <t>part_ix_expenses.fees_legal</t>
        </is>
      </c>
      <c r="F66" s="8" t="inlineStr">
        <is>
          <t>high</t>
        </is>
      </c>
      <c r="G66" s="9" t="n">
        <v>31995</v>
      </c>
    </row>
    <row r="67">
      <c r="A67" s="8" t="inlineStr">
        <is>
          <t>Operating expenses (detail)</t>
        </is>
      </c>
      <c r="B67" s="8" t="inlineStr">
        <is>
          <t>B13</t>
        </is>
      </c>
      <c r="C67" s="8" t="inlineStr">
        <is>
          <t>11c. Fees for services: accounting</t>
        </is>
      </c>
      <c r="D67" s="8" t="inlineStr">
        <is>
          <t>11c</t>
        </is>
      </c>
      <c r="E67" s="8" t="inlineStr">
        <is>
          <t>part_ix_expenses.fees_accounting</t>
        </is>
      </c>
      <c r="F67" s="8" t="inlineStr">
        <is>
          <t>high</t>
        </is>
      </c>
      <c r="G67" s="9" t="n">
        <v>34625</v>
      </c>
    </row>
    <row r="68">
      <c r="A68" s="8" t="inlineStr">
        <is>
          <t>Operating expenses (detail)</t>
        </is>
      </c>
      <c r="B68" s="8" t="inlineStr">
        <is>
          <t>C13</t>
        </is>
      </c>
      <c r="C68" s="8" t="inlineStr">
        <is>
          <t>11c. Fees for services: accounting</t>
        </is>
      </c>
      <c r="D68" s="8" t="inlineStr">
        <is>
          <t>11c</t>
        </is>
      </c>
      <c r="E68" s="8" t="inlineStr">
        <is>
          <t>part_ix_expenses.fees_accounting</t>
        </is>
      </c>
      <c r="F68" s="8" t="inlineStr">
        <is>
          <t>high</t>
        </is>
      </c>
      <c r="G68" s="9" t="n">
        <v>36875</v>
      </c>
    </row>
    <row r="69">
      <c r="A69" s="8" t="inlineStr">
        <is>
          <t>Operating expenses (detail)</t>
        </is>
      </c>
      <c r="B69" s="8" t="inlineStr">
        <is>
          <t>D13</t>
        </is>
      </c>
      <c r="C69" s="8" t="inlineStr">
        <is>
          <t>11c. Fees for services: accounting</t>
        </is>
      </c>
      <c r="D69" s="8" t="inlineStr">
        <is>
          <t>11c</t>
        </is>
      </c>
      <c r="E69" s="8" t="inlineStr">
        <is>
          <t>part_ix_expenses.fees_accounting</t>
        </is>
      </c>
      <c r="F69" s="8" t="inlineStr">
        <is>
          <t>high</t>
        </is>
      </c>
      <c r="G69" s="9" t="n">
        <v>36822</v>
      </c>
    </row>
    <row r="70">
      <c r="A70" s="8" t="inlineStr">
        <is>
          <t>Operating expenses (detail)</t>
        </is>
      </c>
      <c r="B70" s="8" t="inlineStr">
        <is>
          <t>E13</t>
        </is>
      </c>
      <c r="C70" s="8" t="inlineStr">
        <is>
          <t>11c. Fees for services: accounting</t>
        </is>
      </c>
      <c r="D70" s="8" t="inlineStr">
        <is>
          <t>11c</t>
        </is>
      </c>
      <c r="E70" s="8" t="inlineStr">
        <is>
          <t>part_ix_expenses.fees_accounting</t>
        </is>
      </c>
      <c r="F70" s="8" t="inlineStr">
        <is>
          <t>high</t>
        </is>
      </c>
      <c r="G70" s="9" t="n">
        <v>38150</v>
      </c>
    </row>
    <row r="71">
      <c r="A71" s="8" t="inlineStr">
        <is>
          <t>Operating expenses (detail)</t>
        </is>
      </c>
      <c r="B71" s="8" t="inlineStr">
        <is>
          <t>B14</t>
        </is>
      </c>
      <c r="C71" s="8" t="inlineStr">
        <is>
          <t>11g. Fees for services: other</t>
        </is>
      </c>
      <c r="D71" s="8" t="inlineStr">
        <is>
          <t>11g</t>
        </is>
      </c>
      <c r="E71" s="8" t="inlineStr">
        <is>
          <t>part_ix_expenses.fees_other</t>
        </is>
      </c>
      <c r="F71" s="8" t="inlineStr">
        <is>
          <t>high</t>
        </is>
      </c>
      <c r="G71" s="9" t="n">
        <v>172935</v>
      </c>
    </row>
    <row r="72">
      <c r="A72" s="8" t="inlineStr">
        <is>
          <t>Operating expenses (detail)</t>
        </is>
      </c>
      <c r="B72" s="8" t="inlineStr">
        <is>
          <t>C14</t>
        </is>
      </c>
      <c r="C72" s="8" t="inlineStr">
        <is>
          <t>11g. Fees for services: other</t>
        </is>
      </c>
      <c r="D72" s="8" t="inlineStr">
        <is>
          <t>11g</t>
        </is>
      </c>
      <c r="E72" s="8" t="inlineStr">
        <is>
          <t>part_ix_expenses.fees_other</t>
        </is>
      </c>
      <c r="F72" s="8" t="inlineStr">
        <is>
          <t>high</t>
        </is>
      </c>
      <c r="G72" s="9" t="n">
        <v>216845</v>
      </c>
    </row>
    <row r="73">
      <c r="A73" s="8" t="inlineStr">
        <is>
          <t>Operating expenses (detail)</t>
        </is>
      </c>
      <c r="B73" s="8" t="inlineStr">
        <is>
          <t>D14</t>
        </is>
      </c>
      <c r="C73" s="8" t="inlineStr">
        <is>
          <t>11g. Fees for services: other</t>
        </is>
      </c>
      <c r="D73" s="8" t="inlineStr">
        <is>
          <t>11g</t>
        </is>
      </c>
      <c r="E73" s="8" t="inlineStr">
        <is>
          <t>part_ix_expenses.fees_other</t>
        </is>
      </c>
      <c r="F73" s="8" t="inlineStr">
        <is>
          <t>high</t>
        </is>
      </c>
      <c r="G73" s="9" t="n">
        <v>161754</v>
      </c>
    </row>
    <row r="74">
      <c r="A74" s="8" t="inlineStr">
        <is>
          <t>Operating expenses (detail)</t>
        </is>
      </c>
      <c r="B74" s="8" t="inlineStr">
        <is>
          <t>E14</t>
        </is>
      </c>
      <c r="C74" s="8" t="inlineStr">
        <is>
          <t>11g. Fees for services: other</t>
        </is>
      </c>
      <c r="D74" s="8" t="inlineStr">
        <is>
          <t>11g</t>
        </is>
      </c>
      <c r="E74" s="8" t="inlineStr">
        <is>
          <t>part_ix_expenses.fees_other</t>
        </is>
      </c>
      <c r="F74" s="8" t="inlineStr">
        <is>
          <t>high</t>
        </is>
      </c>
      <c r="G74" s="9" t="n">
        <v>176077</v>
      </c>
    </row>
    <row r="75">
      <c r="A75" s="8" t="inlineStr">
        <is>
          <t>Operating expenses (detail)</t>
        </is>
      </c>
      <c r="B75" s="8" t="inlineStr">
        <is>
          <t>B15</t>
        </is>
      </c>
      <c r="C75" s="8" t="inlineStr">
        <is>
          <t>13. Office expenses</t>
        </is>
      </c>
      <c r="D75" s="8" t="inlineStr">
        <is>
          <t>13</t>
        </is>
      </c>
      <c r="E75" s="8" t="inlineStr">
        <is>
          <t>part_ix_expenses.office_expenses</t>
        </is>
      </c>
      <c r="F75" s="8" t="inlineStr">
        <is>
          <t>high</t>
        </is>
      </c>
      <c r="G75" s="9" t="n">
        <v>103493</v>
      </c>
    </row>
    <row r="76">
      <c r="A76" s="8" t="inlineStr">
        <is>
          <t>Operating expenses (detail)</t>
        </is>
      </c>
      <c r="B76" s="8" t="inlineStr">
        <is>
          <t>C15</t>
        </is>
      </c>
      <c r="C76" s="8" t="inlineStr">
        <is>
          <t>13. Office expenses</t>
        </is>
      </c>
      <c r="D76" s="8" t="inlineStr">
        <is>
          <t>13</t>
        </is>
      </c>
      <c r="E76" s="8" t="inlineStr">
        <is>
          <t>part_ix_expenses.office_expenses</t>
        </is>
      </c>
      <c r="F76" s="8" t="inlineStr">
        <is>
          <t>high</t>
        </is>
      </c>
      <c r="G76" s="9" t="n">
        <v>100386</v>
      </c>
    </row>
    <row r="77">
      <c r="A77" s="8" t="inlineStr">
        <is>
          <t>Operating expenses (detail)</t>
        </is>
      </c>
      <c r="B77" s="8" t="inlineStr">
        <is>
          <t>D15</t>
        </is>
      </c>
      <c r="C77" s="8" t="inlineStr">
        <is>
          <t>13. Office expenses</t>
        </is>
      </c>
      <c r="D77" s="8" t="inlineStr">
        <is>
          <t>13</t>
        </is>
      </c>
      <c r="E77" s="8" t="inlineStr">
        <is>
          <t>part_ix_expenses.office_expenses</t>
        </is>
      </c>
      <c r="F77" s="8" t="inlineStr">
        <is>
          <t>high</t>
        </is>
      </c>
      <c r="G77" s="9" t="n">
        <v>110246</v>
      </c>
    </row>
    <row r="78">
      <c r="A78" s="8" t="inlineStr">
        <is>
          <t>Operating expenses (detail)</t>
        </is>
      </c>
      <c r="B78" s="8" t="inlineStr">
        <is>
          <t>E15</t>
        </is>
      </c>
      <c r="C78" s="8" t="inlineStr">
        <is>
          <t>13. Office expenses</t>
        </is>
      </c>
      <c r="D78" s="8" t="inlineStr">
        <is>
          <t>13</t>
        </is>
      </c>
      <c r="E78" s="8" t="inlineStr">
        <is>
          <t>part_ix_expenses.office_expenses</t>
        </is>
      </c>
      <c r="F78" s="8" t="inlineStr">
        <is>
          <t>high</t>
        </is>
      </c>
      <c r="G78" s="9" t="n">
        <v>116548</v>
      </c>
    </row>
    <row r="79">
      <c r="A79" s="8" t="inlineStr">
        <is>
          <t>Operating expenses (detail)</t>
        </is>
      </c>
      <c r="B79" s="8" t="inlineStr">
        <is>
          <t>B16</t>
        </is>
      </c>
      <c r="C79" s="8" t="inlineStr">
        <is>
          <t>16. Occupancy</t>
        </is>
      </c>
      <c r="D79" s="8" t="inlineStr">
        <is>
          <t>16</t>
        </is>
      </c>
      <c r="E79" s="8" t="inlineStr">
        <is>
          <t>part_ix_expenses.occupancy</t>
        </is>
      </c>
      <c r="F79" s="8" t="inlineStr">
        <is>
          <t>high</t>
        </is>
      </c>
      <c r="G79" s="9" t="n">
        <v>18316</v>
      </c>
    </row>
    <row r="80">
      <c r="A80" s="8" t="inlineStr">
        <is>
          <t>Operating expenses (detail)</t>
        </is>
      </c>
      <c r="B80" s="8" t="inlineStr">
        <is>
          <t>C16</t>
        </is>
      </c>
      <c r="C80" s="8" t="inlineStr">
        <is>
          <t>16. Occupancy</t>
        </is>
      </c>
      <c r="D80" s="8" t="inlineStr">
        <is>
          <t>16</t>
        </is>
      </c>
      <c r="E80" s="8" t="inlineStr">
        <is>
          <t>part_ix_expenses.occupancy</t>
        </is>
      </c>
      <c r="F80" s="8" t="inlineStr">
        <is>
          <t>high</t>
        </is>
      </c>
      <c r="G80" s="9" t="n">
        <v>16171</v>
      </c>
    </row>
    <row r="81">
      <c r="A81" s="8" t="inlineStr">
        <is>
          <t>Operating expenses (detail)</t>
        </is>
      </c>
      <c r="B81" s="8" t="inlineStr">
        <is>
          <t>D16</t>
        </is>
      </c>
      <c r="C81" s="8" t="inlineStr">
        <is>
          <t>16. Occupancy</t>
        </is>
      </c>
      <c r="D81" s="8" t="inlineStr">
        <is>
          <t>16</t>
        </is>
      </c>
      <c r="E81" s="8" t="inlineStr">
        <is>
          <t>part_ix_expenses.occupancy</t>
        </is>
      </c>
      <c r="F81" s="8" t="inlineStr">
        <is>
          <t>high</t>
        </is>
      </c>
      <c r="G81" s="9" t="n">
        <v>18850</v>
      </c>
    </row>
    <row r="82">
      <c r="A82" s="8" t="inlineStr">
        <is>
          <t>Operating expenses (detail)</t>
        </is>
      </c>
      <c r="B82" s="8" t="inlineStr">
        <is>
          <t>E16</t>
        </is>
      </c>
      <c r="C82" s="8" t="inlineStr">
        <is>
          <t>16. Occupancy</t>
        </is>
      </c>
      <c r="D82" s="8" t="inlineStr">
        <is>
          <t>16</t>
        </is>
      </c>
      <c r="E82" s="8" t="inlineStr">
        <is>
          <t>part_ix_expenses.occupancy</t>
        </is>
      </c>
      <c r="F82" s="8" t="inlineStr">
        <is>
          <t>high</t>
        </is>
      </c>
      <c r="G82" s="9" t="n">
        <v>18575</v>
      </c>
    </row>
    <row r="83">
      <c r="A83" s="8" t="inlineStr">
        <is>
          <t>Operating expenses (detail)</t>
        </is>
      </c>
      <c r="B83" s="8" t="inlineStr">
        <is>
          <t>B17</t>
        </is>
      </c>
      <c r="C83" s="8" t="inlineStr">
        <is>
          <t>22. Depreciation, depletion, and amortization</t>
        </is>
      </c>
      <c r="D83" s="8" t="inlineStr">
        <is>
          <t>22</t>
        </is>
      </c>
      <c r="E83" s="8" t="inlineStr">
        <is>
          <t>part_ix_expenses.depreciation</t>
        </is>
      </c>
      <c r="F83" s="8" t="inlineStr">
        <is>
          <t>high</t>
        </is>
      </c>
      <c r="G83" s="9" t="n">
        <v>700696</v>
      </c>
    </row>
    <row r="84">
      <c r="A84" s="8" t="inlineStr">
        <is>
          <t>Operating expenses (detail)</t>
        </is>
      </c>
      <c r="B84" s="8" t="inlineStr">
        <is>
          <t>C17</t>
        </is>
      </c>
      <c r="C84" s="8" t="inlineStr">
        <is>
          <t>22. Depreciation, depletion, and amortization</t>
        </is>
      </c>
      <c r="D84" s="8" t="inlineStr">
        <is>
          <t>22</t>
        </is>
      </c>
      <c r="E84" s="8" t="inlineStr">
        <is>
          <t>part_ix_expenses.depreciation</t>
        </is>
      </c>
      <c r="F84" s="8" t="inlineStr">
        <is>
          <t>high</t>
        </is>
      </c>
      <c r="G84" s="9" t="n">
        <v>705040</v>
      </c>
    </row>
    <row r="85">
      <c r="A85" s="8" t="inlineStr">
        <is>
          <t>Operating expenses (detail)</t>
        </is>
      </c>
      <c r="B85" s="8" t="inlineStr">
        <is>
          <t>D17</t>
        </is>
      </c>
      <c r="C85" s="8" t="inlineStr">
        <is>
          <t>22. Depreciation, depletion, and amortization</t>
        </is>
      </c>
      <c r="D85" s="8" t="inlineStr">
        <is>
          <t>22</t>
        </is>
      </c>
      <c r="E85" s="8" t="inlineStr">
        <is>
          <t>part_ix_expenses.depreciation</t>
        </is>
      </c>
      <c r="F85" s="8" t="inlineStr">
        <is>
          <t>high</t>
        </is>
      </c>
      <c r="G85" s="9" t="n">
        <v>701606</v>
      </c>
    </row>
    <row r="86">
      <c r="A86" s="8" t="inlineStr">
        <is>
          <t>Operating expenses (detail)</t>
        </is>
      </c>
      <c r="B86" s="8" t="inlineStr">
        <is>
          <t>E17</t>
        </is>
      </c>
      <c r="C86" s="8" t="inlineStr">
        <is>
          <t>22. Depreciation, depletion, and amortization</t>
        </is>
      </c>
      <c r="D86" s="8" t="inlineStr">
        <is>
          <t>22</t>
        </is>
      </c>
      <c r="E86" s="8" t="inlineStr">
        <is>
          <t>part_ix_expenses.depreciation</t>
        </is>
      </c>
      <c r="F86" s="8" t="inlineStr">
        <is>
          <t>high</t>
        </is>
      </c>
      <c r="G86" s="9" t="n">
        <v>719217</v>
      </c>
    </row>
    <row r="87">
      <c r="A87" s="8" t="inlineStr">
        <is>
          <t>Operating expenses (detail)</t>
        </is>
      </c>
      <c r="B87" s="8" t="inlineStr">
        <is>
          <t>B18</t>
        </is>
      </c>
      <c r="C87" s="8" t="inlineStr">
        <is>
          <t>23. Insurance</t>
        </is>
      </c>
      <c r="D87" s="8" t="inlineStr">
        <is>
          <t>23</t>
        </is>
      </c>
      <c r="E87" s="8" t="inlineStr">
        <is>
          <t>part_ix_expenses.insurance</t>
        </is>
      </c>
      <c r="F87" s="8" t="inlineStr">
        <is>
          <t>high</t>
        </is>
      </c>
      <c r="G87" s="9" t="n">
        <v>135260</v>
      </c>
    </row>
    <row r="88">
      <c r="A88" s="8" t="inlineStr">
        <is>
          <t>Operating expenses (detail)</t>
        </is>
      </c>
      <c r="B88" s="8" t="inlineStr">
        <is>
          <t>C18</t>
        </is>
      </c>
      <c r="C88" s="8" t="inlineStr">
        <is>
          <t>23. Insurance</t>
        </is>
      </c>
      <c r="D88" s="8" t="inlineStr">
        <is>
          <t>23</t>
        </is>
      </c>
      <c r="E88" s="8" t="inlineStr">
        <is>
          <t>part_ix_expenses.insurance</t>
        </is>
      </c>
      <c r="F88" s="8" t="inlineStr">
        <is>
          <t>high</t>
        </is>
      </c>
      <c r="G88" s="9" t="n">
        <v>145697</v>
      </c>
    </row>
    <row r="89">
      <c r="A89" s="8" t="inlineStr">
        <is>
          <t>Operating expenses (detail)</t>
        </is>
      </c>
      <c r="B89" s="8" t="inlineStr">
        <is>
          <t>D18</t>
        </is>
      </c>
      <c r="C89" s="8" t="inlineStr">
        <is>
          <t>23. Insurance</t>
        </is>
      </c>
      <c r="D89" s="8" t="inlineStr">
        <is>
          <t>23</t>
        </is>
      </c>
      <c r="E89" s="8" t="inlineStr">
        <is>
          <t>part_ix_expenses.insurance</t>
        </is>
      </c>
      <c r="F89" s="8" t="inlineStr">
        <is>
          <t>high</t>
        </is>
      </c>
      <c r="G89" s="9" t="n">
        <v>167126</v>
      </c>
    </row>
    <row r="90">
      <c r="A90" s="8" t="inlineStr">
        <is>
          <t>Operating expenses (detail)</t>
        </is>
      </c>
      <c r="B90" s="8" t="inlineStr">
        <is>
          <t>E18</t>
        </is>
      </c>
      <c r="C90" s="8" t="inlineStr">
        <is>
          <t>23. Insurance</t>
        </is>
      </c>
      <c r="D90" s="8" t="inlineStr">
        <is>
          <t>23</t>
        </is>
      </c>
      <c r="E90" s="8" t="inlineStr">
        <is>
          <t>part_ix_expenses.insurance</t>
        </is>
      </c>
      <c r="F90" s="8" t="inlineStr">
        <is>
          <t>high</t>
        </is>
      </c>
      <c r="G90" s="9" t="n">
        <v>186289</v>
      </c>
    </row>
    <row r="91">
      <c r="A91" s="8" t="inlineStr">
        <is>
          <t>Operating expenses (detail)</t>
        </is>
      </c>
      <c r="B91" s="8" t="inlineStr">
        <is>
          <t>B24</t>
        </is>
      </c>
      <c r="C91" s="8" t="inlineStr">
        <is>
          <t>24e. All other expenses</t>
        </is>
      </c>
      <c r="D91" s="8" t="inlineStr">
        <is>
          <t>24e</t>
        </is>
      </c>
      <c r="E91" s="8" t="inlineStr">
        <is>
          <t>part_ix_expenses.all_other_expenses</t>
        </is>
      </c>
      <c r="F91" s="8" t="inlineStr">
        <is>
          <t>high</t>
        </is>
      </c>
      <c r="G91" s="9" t="n">
        <v>59064</v>
      </c>
    </row>
    <row r="92">
      <c r="A92" s="8" t="inlineStr">
        <is>
          <t>Operating expenses (detail)</t>
        </is>
      </c>
      <c r="B92" s="8" t="inlineStr">
        <is>
          <t>C24</t>
        </is>
      </c>
      <c r="C92" s="8" t="inlineStr">
        <is>
          <t>24e. All other expenses</t>
        </is>
      </c>
      <c r="D92" s="8" t="inlineStr">
        <is>
          <t>24e</t>
        </is>
      </c>
      <c r="E92" s="8" t="inlineStr">
        <is>
          <t>part_ix_expenses.all_other_expenses</t>
        </is>
      </c>
      <c r="F92" s="8" t="inlineStr">
        <is>
          <t>high</t>
        </is>
      </c>
      <c r="G92" s="9" t="n">
        <v>73514</v>
      </c>
    </row>
    <row r="93">
      <c r="A93" s="8" t="inlineStr">
        <is>
          <t>Operating expenses (detail)</t>
        </is>
      </c>
      <c r="B93" s="8" t="inlineStr">
        <is>
          <t>D24</t>
        </is>
      </c>
      <c r="C93" s="8" t="inlineStr">
        <is>
          <t>24e. All other expenses</t>
        </is>
      </c>
      <c r="D93" s="8" t="inlineStr">
        <is>
          <t>24e</t>
        </is>
      </c>
      <c r="E93" s="8" t="inlineStr">
        <is>
          <t>part_ix_expenses.all_other_expenses</t>
        </is>
      </c>
      <c r="F93" s="8" t="inlineStr">
        <is>
          <t>high</t>
        </is>
      </c>
      <c r="G93" s="9" t="n">
        <v>96100</v>
      </c>
    </row>
    <row r="94">
      <c r="A94" s="8" t="inlineStr">
        <is>
          <t>Operating expenses (detail)</t>
        </is>
      </c>
      <c r="B94" s="8" t="inlineStr">
        <is>
          <t>E24</t>
        </is>
      </c>
      <c r="C94" s="8" t="inlineStr">
        <is>
          <t>24e. All other expenses</t>
        </is>
      </c>
      <c r="D94" s="8" t="inlineStr">
        <is>
          <t>24e</t>
        </is>
      </c>
      <c r="E94" s="8" t="inlineStr">
        <is>
          <t>part_ix_expenses.all_other_expenses</t>
        </is>
      </c>
      <c r="F94" s="8" t="inlineStr">
        <is>
          <t>high</t>
        </is>
      </c>
      <c r="G94" s="9" t="n">
        <v>79601</v>
      </c>
    </row>
    <row r="95">
      <c r="A95" s="8" t="inlineStr">
        <is>
          <t>Balance sheet (detail)</t>
        </is>
      </c>
      <c r="B95" s="8" t="inlineStr">
        <is>
          <t>B7</t>
        </is>
      </c>
      <c r="C95" s="8" t="inlineStr">
        <is>
          <t>1. Cash - non-interest-bearing</t>
        </is>
      </c>
      <c r="D95" s="8" t="inlineStr">
        <is>
          <t>1E</t>
        </is>
      </c>
      <c r="E95" s="8" t="inlineStr">
        <is>
          <t>part_x_balance_sheet.cash_noninterest_eoy</t>
        </is>
      </c>
      <c r="F95" s="8" t="inlineStr">
        <is>
          <t>high</t>
        </is>
      </c>
      <c r="G95" s="9" t="n">
        <v>57818</v>
      </c>
    </row>
    <row r="96">
      <c r="A96" s="8" t="inlineStr">
        <is>
          <t>Balance sheet (detail)</t>
        </is>
      </c>
      <c r="B96" s="8" t="inlineStr">
        <is>
          <t>C7</t>
        </is>
      </c>
      <c r="C96" s="8" t="inlineStr">
        <is>
          <t>1. Cash - non-interest-bearing</t>
        </is>
      </c>
      <c r="D96" s="8" t="inlineStr">
        <is>
          <t>1E</t>
        </is>
      </c>
      <c r="E96" s="8" t="inlineStr">
        <is>
          <t>part_x_balance_sheet.cash_noninterest_eoy</t>
        </is>
      </c>
      <c r="F96" s="8" t="inlineStr">
        <is>
          <t>high</t>
        </is>
      </c>
      <c r="G96" s="9" t="n">
        <v>517176</v>
      </c>
    </row>
    <row r="97">
      <c r="A97" s="8" t="inlineStr">
        <is>
          <t>Balance sheet (detail)</t>
        </is>
      </c>
      <c r="B97" s="8" t="inlineStr">
        <is>
          <t>D7</t>
        </is>
      </c>
      <c r="C97" s="8" t="inlineStr">
        <is>
          <t>1. Cash - non-interest-bearing</t>
        </is>
      </c>
      <c r="D97" s="8" t="inlineStr">
        <is>
          <t>1E</t>
        </is>
      </c>
      <c r="E97" s="8" t="inlineStr">
        <is>
          <t>part_x_balance_sheet.cash_noninterest_eoy</t>
        </is>
      </c>
      <c r="F97" s="8" t="inlineStr">
        <is>
          <t>high</t>
        </is>
      </c>
      <c r="G97" s="9" t="n">
        <v>543443</v>
      </c>
    </row>
    <row r="98">
      <c r="A98" s="8" t="inlineStr">
        <is>
          <t>Balance sheet (detail)</t>
        </is>
      </c>
      <c r="B98" s="8" t="inlineStr">
        <is>
          <t>E7</t>
        </is>
      </c>
      <c r="C98" s="8" t="inlineStr">
        <is>
          <t>1. Cash - non-interest-bearing</t>
        </is>
      </c>
      <c r="D98" s="8" t="inlineStr">
        <is>
          <t>1E</t>
        </is>
      </c>
      <c r="E98" s="8" t="inlineStr">
        <is>
          <t>part_x_balance_sheet.cash_noninterest_eoy</t>
        </is>
      </c>
      <c r="F98" s="8" t="inlineStr">
        <is>
          <t>high</t>
        </is>
      </c>
      <c r="G98" s="9" t="n">
        <v>217947</v>
      </c>
    </row>
    <row r="99">
      <c r="A99" s="8" t="inlineStr">
        <is>
          <t>Balance sheet (detail)</t>
        </is>
      </c>
      <c r="B99" s="8" t="inlineStr">
        <is>
          <t>B8</t>
        </is>
      </c>
      <c r="C99" s="8" t="inlineStr">
        <is>
          <t>2. Savings and temporary cash investments</t>
        </is>
      </c>
      <c r="D99" s="8" t="inlineStr">
        <is>
          <t>2E</t>
        </is>
      </c>
      <c r="E99" s="8" t="inlineStr">
        <is>
          <t>part_x_balance_sheet.savings_temp_invest_eoy</t>
        </is>
      </c>
      <c r="F99" s="8" t="inlineStr">
        <is>
          <t>high</t>
        </is>
      </c>
      <c r="G99" s="9" t="n">
        <v>4428799</v>
      </c>
    </row>
    <row r="100">
      <c r="A100" s="8" t="inlineStr">
        <is>
          <t>Balance sheet (detail)</t>
        </is>
      </c>
      <c r="B100" s="8" t="inlineStr">
        <is>
          <t>C8</t>
        </is>
      </c>
      <c r="C100" s="8" t="inlineStr">
        <is>
          <t>2. Savings and temporary cash investments</t>
        </is>
      </c>
      <c r="D100" s="8" t="inlineStr">
        <is>
          <t>2E</t>
        </is>
      </c>
      <c r="E100" s="8" t="inlineStr">
        <is>
          <t>part_x_balance_sheet.savings_temp_invest_eoy</t>
        </is>
      </c>
      <c r="F100" s="8" t="inlineStr">
        <is>
          <t>high</t>
        </is>
      </c>
      <c r="G100" s="9" t="n">
        <v>3142076</v>
      </c>
    </row>
    <row r="101">
      <c r="A101" s="8" t="inlineStr">
        <is>
          <t>Balance sheet (detail)</t>
        </is>
      </c>
      <c r="B101" s="8" t="inlineStr">
        <is>
          <t>D8</t>
        </is>
      </c>
      <c r="C101" s="8" t="inlineStr">
        <is>
          <t>2. Savings and temporary cash investments</t>
        </is>
      </c>
      <c r="D101" s="8" t="inlineStr">
        <is>
          <t>2E</t>
        </is>
      </c>
      <c r="E101" s="8" t="inlineStr">
        <is>
          <t>part_x_balance_sheet.savings_temp_invest_eoy</t>
        </is>
      </c>
      <c r="F101" s="8" t="inlineStr">
        <is>
          <t>high</t>
        </is>
      </c>
      <c r="G101" s="9" t="n">
        <v>6967537</v>
      </c>
    </row>
    <row r="102">
      <c r="A102" s="8" t="inlineStr">
        <is>
          <t>Balance sheet (detail)</t>
        </is>
      </c>
      <c r="B102" s="8" t="inlineStr">
        <is>
          <t>E8</t>
        </is>
      </c>
      <c r="C102" s="8" t="inlineStr">
        <is>
          <t>2. Savings and temporary cash investments</t>
        </is>
      </c>
      <c r="D102" s="8" t="inlineStr">
        <is>
          <t>2E</t>
        </is>
      </c>
      <c r="E102" s="8" t="inlineStr">
        <is>
          <t>part_x_balance_sheet.savings_temp_invest_eoy</t>
        </is>
      </c>
      <c r="F102" s="8" t="inlineStr">
        <is>
          <t>high</t>
        </is>
      </c>
      <c r="G102" s="9" t="n">
        <v>6250170</v>
      </c>
    </row>
    <row r="103">
      <c r="A103" s="8" t="inlineStr">
        <is>
          <t>Balance sheet (detail)</t>
        </is>
      </c>
      <c r="B103" s="8" t="inlineStr">
        <is>
          <t>B9</t>
        </is>
      </c>
      <c r="C103" s="8" t="inlineStr">
        <is>
          <t>4. Accounts receivable, net</t>
        </is>
      </c>
      <c r="D103" s="8" t="inlineStr">
        <is>
          <t>4E</t>
        </is>
      </c>
      <c r="E103" s="8" t="inlineStr">
        <is>
          <t>part_x_balance_sheet.accounts_receivable_eoy</t>
        </is>
      </c>
      <c r="F103" s="8" t="inlineStr">
        <is>
          <t>high</t>
        </is>
      </c>
      <c r="G103" s="9" t="n">
        <v>751576</v>
      </c>
    </row>
    <row r="104">
      <c r="A104" s="8" t="inlineStr">
        <is>
          <t>Balance sheet (detail)</t>
        </is>
      </c>
      <c r="B104" s="8" t="inlineStr">
        <is>
          <t>C9</t>
        </is>
      </c>
      <c r="C104" s="8" t="inlineStr">
        <is>
          <t>4. Accounts receivable, net</t>
        </is>
      </c>
      <c r="D104" s="8" t="inlineStr">
        <is>
          <t>4E</t>
        </is>
      </c>
      <c r="E104" s="8" t="inlineStr">
        <is>
          <t>part_x_balance_sheet.accounts_receivable_eoy</t>
        </is>
      </c>
      <c r="F104" s="8" t="inlineStr">
        <is>
          <t>high</t>
        </is>
      </c>
      <c r="G104" s="9" t="n">
        <v>845963</v>
      </c>
    </row>
    <row r="105">
      <c r="A105" s="8" t="inlineStr">
        <is>
          <t>Balance sheet (detail)</t>
        </is>
      </c>
      <c r="B105" s="8" t="inlineStr">
        <is>
          <t>D9</t>
        </is>
      </c>
      <c r="C105" s="8" t="inlineStr">
        <is>
          <t>4. Accounts receivable, net</t>
        </is>
      </c>
      <c r="D105" s="8" t="inlineStr">
        <is>
          <t>4E</t>
        </is>
      </c>
      <c r="E105" s="8" t="inlineStr">
        <is>
          <t>part_x_balance_sheet.accounts_receivable_eoy</t>
        </is>
      </c>
      <c r="F105" s="8" t="inlineStr">
        <is>
          <t>high</t>
        </is>
      </c>
      <c r="G105" s="9" t="n">
        <v>1373920</v>
      </c>
    </row>
    <row r="106">
      <c r="A106" s="8" t="inlineStr">
        <is>
          <t>Balance sheet (detail)</t>
        </is>
      </c>
      <c r="B106" s="8" t="inlineStr">
        <is>
          <t>E9</t>
        </is>
      </c>
      <c r="C106" s="8" t="inlineStr">
        <is>
          <t>4. Accounts receivable, net</t>
        </is>
      </c>
      <c r="D106" s="8" t="inlineStr">
        <is>
          <t>4E</t>
        </is>
      </c>
      <c r="E106" s="8" t="inlineStr">
        <is>
          <t>part_x_balance_sheet.accounts_receivable_eoy</t>
        </is>
      </c>
      <c r="F106" s="8" t="inlineStr">
        <is>
          <t>high</t>
        </is>
      </c>
      <c r="G106" s="9" t="n">
        <v>2474145</v>
      </c>
    </row>
    <row r="107">
      <c r="A107" s="8" t="inlineStr">
        <is>
          <t>Balance sheet (detail)</t>
        </is>
      </c>
      <c r="B107" s="8" t="inlineStr">
        <is>
          <t>B10</t>
        </is>
      </c>
      <c r="C107" s="8" t="inlineStr">
        <is>
          <t>8. Inventories for sale or use</t>
        </is>
      </c>
      <c r="D107" s="8" t="inlineStr">
        <is>
          <t>8E</t>
        </is>
      </c>
      <c r="E107" s="8" t="inlineStr">
        <is>
          <t>part_x_balance_sheet.inventories_eoy</t>
        </is>
      </c>
      <c r="F107" s="8" t="inlineStr">
        <is>
          <t>high</t>
        </is>
      </c>
      <c r="G107" s="9" t="n">
        <v>257880</v>
      </c>
    </row>
    <row r="108">
      <c r="A108" s="8" t="inlineStr">
        <is>
          <t>Balance sheet (detail)</t>
        </is>
      </c>
      <c r="B108" s="8" t="inlineStr">
        <is>
          <t>C10</t>
        </is>
      </c>
      <c r="C108" s="8" t="inlineStr">
        <is>
          <t>8. Inventories for sale or use</t>
        </is>
      </c>
      <c r="D108" s="8" t="inlineStr">
        <is>
          <t>8E</t>
        </is>
      </c>
      <c r="E108" s="8" t="inlineStr">
        <is>
          <t>part_x_balance_sheet.inventories_eoy</t>
        </is>
      </c>
      <c r="F108" s="8" t="inlineStr">
        <is>
          <t>high</t>
        </is>
      </c>
      <c r="G108" s="9" t="n">
        <v>484939</v>
      </c>
    </row>
    <row r="109">
      <c r="A109" s="8" t="inlineStr">
        <is>
          <t>Balance sheet (detail)</t>
        </is>
      </c>
      <c r="B109" s="8" t="inlineStr">
        <is>
          <t>D10</t>
        </is>
      </c>
      <c r="C109" s="8" t="inlineStr">
        <is>
          <t>8. Inventories for sale or use</t>
        </is>
      </c>
      <c r="D109" s="8" t="inlineStr">
        <is>
          <t>8E</t>
        </is>
      </c>
      <c r="E109" s="8" t="inlineStr">
        <is>
          <t>part_x_balance_sheet.inventories_eoy</t>
        </is>
      </c>
      <c r="F109" s="8" t="inlineStr">
        <is>
          <t>high</t>
        </is>
      </c>
      <c r="G109" s="9" t="n">
        <v>410183</v>
      </c>
    </row>
    <row r="110">
      <c r="A110" s="8" t="inlineStr">
        <is>
          <t>Balance sheet (detail)</t>
        </is>
      </c>
      <c r="B110" s="8" t="inlineStr">
        <is>
          <t>E10</t>
        </is>
      </c>
      <c r="C110" s="8" t="inlineStr">
        <is>
          <t>8. Inventories for sale or use</t>
        </is>
      </c>
      <c r="D110" s="8" t="inlineStr">
        <is>
          <t>8E</t>
        </is>
      </c>
      <c r="E110" s="8" t="inlineStr">
        <is>
          <t>part_x_balance_sheet.inventories_eoy</t>
        </is>
      </c>
      <c r="F110" s="8" t="inlineStr">
        <is>
          <t>high</t>
        </is>
      </c>
      <c r="G110" s="9" t="n">
        <v>369901</v>
      </c>
    </row>
    <row r="111">
      <c r="A111" s="8" t="inlineStr">
        <is>
          <t>Balance sheet (detail)</t>
        </is>
      </c>
      <c r="B111" s="8" t="inlineStr">
        <is>
          <t>B11</t>
        </is>
      </c>
      <c r="C111" s="8" t="inlineStr">
        <is>
          <t>9. Prepaid expenses and deferred charges</t>
        </is>
      </c>
      <c r="D111" s="8" t="inlineStr">
        <is>
          <t>9E</t>
        </is>
      </c>
      <c r="E111" s="8" t="inlineStr">
        <is>
          <t>part_x_balance_sheet.prepaid_expenses_eoy</t>
        </is>
      </c>
      <c r="F111" s="8" t="inlineStr">
        <is>
          <t>high</t>
        </is>
      </c>
      <c r="G111" s="9" t="n">
        <v>115546</v>
      </c>
    </row>
    <row r="112">
      <c r="A112" s="8" t="inlineStr">
        <is>
          <t>Balance sheet (detail)</t>
        </is>
      </c>
      <c r="B112" s="8" t="inlineStr">
        <is>
          <t>C11</t>
        </is>
      </c>
      <c r="C112" s="8" t="inlineStr">
        <is>
          <t>9. Prepaid expenses and deferred charges</t>
        </is>
      </c>
      <c r="D112" s="8" t="inlineStr">
        <is>
          <t>9E</t>
        </is>
      </c>
      <c r="E112" s="8" t="inlineStr">
        <is>
          <t>part_x_balance_sheet.prepaid_expenses_eoy</t>
        </is>
      </c>
      <c r="F112" s="8" t="inlineStr">
        <is>
          <t>high</t>
        </is>
      </c>
      <c r="G112" s="9" t="n">
        <v>132648</v>
      </c>
    </row>
    <row r="113">
      <c r="A113" s="8" t="inlineStr">
        <is>
          <t>Balance sheet (detail)</t>
        </is>
      </c>
      <c r="B113" s="8" t="inlineStr">
        <is>
          <t>D11</t>
        </is>
      </c>
      <c r="C113" s="8" t="inlineStr">
        <is>
          <t>9. Prepaid expenses and deferred charges</t>
        </is>
      </c>
      <c r="D113" s="8" t="inlineStr">
        <is>
          <t>9E</t>
        </is>
      </c>
      <c r="E113" s="8" t="inlineStr">
        <is>
          <t>part_x_balance_sheet.prepaid_expenses_eoy</t>
        </is>
      </c>
      <c r="F113" s="8" t="inlineStr">
        <is>
          <t>high</t>
        </is>
      </c>
      <c r="G113" s="9" t="n">
        <v>135542</v>
      </c>
    </row>
    <row r="114">
      <c r="A114" s="8" t="inlineStr">
        <is>
          <t>Balance sheet (detail)</t>
        </is>
      </c>
      <c r="B114" s="8" t="inlineStr">
        <is>
          <t>E11</t>
        </is>
      </c>
      <c r="C114" s="8" t="inlineStr">
        <is>
          <t>9. Prepaid expenses and deferred charges</t>
        </is>
      </c>
      <c r="D114" s="8" t="inlineStr">
        <is>
          <t>9E</t>
        </is>
      </c>
      <c r="E114" s="8" t="inlineStr">
        <is>
          <t>part_x_balance_sheet.prepaid_expenses_eoy</t>
        </is>
      </c>
      <c r="F114" s="8" t="inlineStr">
        <is>
          <t>high</t>
        </is>
      </c>
      <c r="G114" s="9" t="n">
        <v>158416</v>
      </c>
    </row>
    <row r="115">
      <c r="A115" s="8" t="inlineStr">
        <is>
          <t>Balance sheet (detail)</t>
        </is>
      </c>
      <c r="B115" s="8" t="inlineStr">
        <is>
          <t>B12</t>
        </is>
      </c>
      <c r="C115" s="8" t="inlineStr">
        <is>
          <t>10c. Land, buildings, and equipment, net</t>
        </is>
      </c>
      <c r="D115" s="8" t="inlineStr">
        <is>
          <t>10cE</t>
        </is>
      </c>
      <c r="E115" s="8" t="inlineStr">
        <is>
          <t>part_x_balance_sheet.land_bldg_equip_net_eoy</t>
        </is>
      </c>
      <c r="F115" s="8" t="inlineStr">
        <is>
          <t>high</t>
        </is>
      </c>
      <c r="G115" s="9" t="n">
        <v>13597534</v>
      </c>
    </row>
    <row r="116">
      <c r="A116" s="8" t="inlineStr">
        <is>
          <t>Balance sheet (detail)</t>
        </is>
      </c>
      <c r="B116" s="8" t="inlineStr">
        <is>
          <t>C12</t>
        </is>
      </c>
      <c r="C116" s="8" t="inlineStr">
        <is>
          <t>10c. Land, buildings, and equipment, net</t>
        </is>
      </c>
      <c r="D116" s="8" t="inlineStr">
        <is>
          <t>10cE</t>
        </is>
      </c>
      <c r="E116" s="8" t="inlineStr">
        <is>
          <t>part_x_balance_sheet.land_bldg_equip_net_eoy</t>
        </is>
      </c>
      <c r="F116" s="8" t="inlineStr">
        <is>
          <t>high</t>
        </is>
      </c>
      <c r="G116" s="9" t="n">
        <v>13202371</v>
      </c>
    </row>
    <row r="117">
      <c r="A117" s="8" t="inlineStr">
        <is>
          <t>Balance sheet (detail)</t>
        </is>
      </c>
      <c r="B117" s="8" t="inlineStr">
        <is>
          <t>D12</t>
        </is>
      </c>
      <c r="C117" s="8" t="inlineStr">
        <is>
          <t>10c. Land, buildings, and equipment, net</t>
        </is>
      </c>
      <c r="D117" s="8" t="inlineStr">
        <is>
          <t>10cE</t>
        </is>
      </c>
      <c r="E117" s="8" t="inlineStr">
        <is>
          <t>part_x_balance_sheet.land_bldg_equip_net_eoy</t>
        </is>
      </c>
      <c r="F117" s="8" t="inlineStr">
        <is>
          <t>high</t>
        </is>
      </c>
      <c r="G117" s="9" t="n">
        <v>13132610</v>
      </c>
    </row>
    <row r="118">
      <c r="A118" s="8" t="inlineStr">
        <is>
          <t>Balance sheet (detail)</t>
        </is>
      </c>
      <c r="B118" s="8" t="inlineStr">
        <is>
          <t>E12</t>
        </is>
      </c>
      <c r="C118" s="8" t="inlineStr">
        <is>
          <t>10c. Land, buildings, and equipment, net</t>
        </is>
      </c>
      <c r="D118" s="8" t="inlineStr">
        <is>
          <t>10cE</t>
        </is>
      </c>
      <c r="E118" s="8" t="inlineStr">
        <is>
          <t>part_x_balance_sheet.land_bldg_equip_net_eoy</t>
        </is>
      </c>
      <c r="F118" s="8" t="inlineStr">
        <is>
          <t>high</t>
        </is>
      </c>
      <c r="G118" s="9" t="n">
        <v>13163606</v>
      </c>
    </row>
    <row r="119">
      <c r="A119" s="8" t="inlineStr">
        <is>
          <t>Balance sheet (detail)</t>
        </is>
      </c>
      <c r="B119" s="8" t="inlineStr">
        <is>
          <t>B13</t>
        </is>
      </c>
      <c r="C119" s="8" t="inlineStr">
        <is>
          <t>12. Investments - other securities</t>
        </is>
      </c>
      <c r="D119" s="8" t="inlineStr">
        <is>
          <t>12E</t>
        </is>
      </c>
      <c r="E119" s="8" t="inlineStr">
        <is>
          <t>part_x_balance_sheet.investments_other_securities_eoy</t>
        </is>
      </c>
      <c r="F119" s="8" t="inlineStr">
        <is>
          <t>high</t>
        </is>
      </c>
      <c r="G119" s="9" t="n">
        <v>1928709</v>
      </c>
    </row>
    <row r="120">
      <c r="A120" s="8" t="inlineStr">
        <is>
          <t>Balance sheet (detail)</t>
        </is>
      </c>
      <c r="B120" s="8" t="inlineStr">
        <is>
          <t>C13</t>
        </is>
      </c>
      <c r="C120" s="8" t="inlineStr">
        <is>
          <t>12. Investments - other securities</t>
        </is>
      </c>
      <c r="D120" s="8" t="inlineStr">
        <is>
          <t>12E</t>
        </is>
      </c>
      <c r="E120" s="8" t="inlineStr">
        <is>
          <t>part_x_balance_sheet.investments_other_securities_eoy</t>
        </is>
      </c>
      <c r="F120" s="8" t="inlineStr">
        <is>
          <t>high</t>
        </is>
      </c>
      <c r="G120" s="9" t="n">
        <v>1749065</v>
      </c>
    </row>
    <row r="121">
      <c r="A121" s="8" t="inlineStr">
        <is>
          <t>Balance sheet (detail)</t>
        </is>
      </c>
      <c r="B121" s="8" t="inlineStr">
        <is>
          <t>D13</t>
        </is>
      </c>
      <c r="C121" s="8" t="inlineStr">
        <is>
          <t>12. Investments - other securities</t>
        </is>
      </c>
      <c r="D121" s="8" t="inlineStr">
        <is>
          <t>12E</t>
        </is>
      </c>
      <c r="E121" s="8" t="inlineStr">
        <is>
          <t>part_x_balance_sheet.investments_other_securities_eoy</t>
        </is>
      </c>
      <c r="F121" s="8" t="inlineStr">
        <is>
          <t>high</t>
        </is>
      </c>
      <c r="G121" s="9" t="n">
        <v>1793863</v>
      </c>
    </row>
    <row r="122">
      <c r="A122" s="8" t="inlineStr">
        <is>
          <t>Balance sheet (detail)</t>
        </is>
      </c>
      <c r="B122" s="8" t="inlineStr">
        <is>
          <t>E13</t>
        </is>
      </c>
      <c r="C122" s="8" t="inlineStr">
        <is>
          <t>12. Investments - other securities</t>
        </is>
      </c>
      <c r="D122" s="8" t="inlineStr">
        <is>
          <t>12E</t>
        </is>
      </c>
      <c r="E122" s="8" t="inlineStr">
        <is>
          <t>part_x_balance_sheet.investments_other_securities_eoy</t>
        </is>
      </c>
      <c r="F122" s="8" t="inlineStr">
        <is>
          <t>high</t>
        </is>
      </c>
      <c r="G122" s="9" t="n">
        <v>1819321</v>
      </c>
    </row>
    <row r="123">
      <c r="A123" s="8" t="inlineStr">
        <is>
          <t>Balance sheet (detail)</t>
        </is>
      </c>
      <c r="B123" s="8" t="inlineStr">
        <is>
          <t>B14</t>
        </is>
      </c>
      <c r="C123" s="8" t="inlineStr">
        <is>
          <t>15. Other assets</t>
        </is>
      </c>
      <c r="D123" s="8" t="inlineStr">
        <is>
          <t>15E</t>
        </is>
      </c>
      <c r="E123" s="8" t="inlineStr">
        <is>
          <t>part_x_balance_sheet.other_assets_eoy</t>
        </is>
      </c>
      <c r="F123" s="8" t="inlineStr">
        <is>
          <t>high</t>
        </is>
      </c>
      <c r="G123" s="9" t="n">
        <v>4164381</v>
      </c>
    </row>
    <row r="124">
      <c r="A124" s="8" t="inlineStr">
        <is>
          <t>Balance sheet (detail)</t>
        </is>
      </c>
      <c r="B124" s="8" t="inlineStr">
        <is>
          <t>C14</t>
        </is>
      </c>
      <c r="C124" s="8" t="inlineStr">
        <is>
          <t>15. Other assets</t>
        </is>
      </c>
      <c r="D124" s="8" t="inlineStr">
        <is>
          <t>15E</t>
        </is>
      </c>
      <c r="E124" s="8" t="inlineStr">
        <is>
          <t>part_x_balance_sheet.other_assets_eoy</t>
        </is>
      </c>
      <c r="F124" s="8" t="inlineStr">
        <is>
          <t>high</t>
        </is>
      </c>
      <c r="G124" s="9" t="n">
        <v>7528426</v>
      </c>
    </row>
    <row r="125">
      <c r="A125" s="8" t="inlineStr">
        <is>
          <t>Balance sheet (detail)</t>
        </is>
      </c>
      <c r="B125" s="8" t="inlineStr">
        <is>
          <t>D14</t>
        </is>
      </c>
      <c r="C125" s="8" t="inlineStr">
        <is>
          <t>15. Other assets</t>
        </is>
      </c>
      <c r="D125" s="8" t="inlineStr">
        <is>
          <t>15E</t>
        </is>
      </c>
      <c r="E125" s="8" t="inlineStr">
        <is>
          <t>part_x_balance_sheet.other_assets_eoy</t>
        </is>
      </c>
      <c r="F125" s="8" t="inlineStr">
        <is>
          <t>high</t>
        </is>
      </c>
      <c r="G125" s="9" t="n">
        <v>8555498</v>
      </c>
    </row>
    <row r="126">
      <c r="A126" s="8" t="inlineStr">
        <is>
          <t>Balance sheet (detail)</t>
        </is>
      </c>
      <c r="B126" s="8" t="inlineStr">
        <is>
          <t>E14</t>
        </is>
      </c>
      <c r="C126" s="8" t="inlineStr">
        <is>
          <t>15. Other assets</t>
        </is>
      </c>
      <c r="D126" s="8" t="inlineStr">
        <is>
          <t>15E</t>
        </is>
      </c>
      <c r="E126" s="8" t="inlineStr">
        <is>
          <t>part_x_balance_sheet.other_assets_eoy</t>
        </is>
      </c>
      <c r="F126" s="8" t="inlineStr">
        <is>
          <t>high</t>
        </is>
      </c>
      <c r="G126" s="9" t="n">
        <v>13514050</v>
      </c>
    </row>
    <row r="127">
      <c r="A127" s="8" t="inlineStr">
        <is>
          <t>Balance sheet (detail)</t>
        </is>
      </c>
      <c r="B127" s="8" t="inlineStr">
        <is>
          <t>B18</t>
        </is>
      </c>
      <c r="C127" s="8" t="inlineStr">
        <is>
          <t>17. Accounts payable and accrued expenses</t>
        </is>
      </c>
      <c r="D127" s="8" t="inlineStr">
        <is>
          <t>17E</t>
        </is>
      </c>
      <c r="E127" s="8" t="inlineStr">
        <is>
          <t>part_x_balance_sheet.accounts_payable_eoy</t>
        </is>
      </c>
      <c r="F127" s="8" t="inlineStr">
        <is>
          <t>high</t>
        </is>
      </c>
      <c r="G127" s="9" t="n">
        <v>42845</v>
      </c>
    </row>
    <row r="128">
      <c r="A128" s="8" t="inlineStr">
        <is>
          <t>Balance sheet (detail)</t>
        </is>
      </c>
      <c r="B128" s="8" t="inlineStr">
        <is>
          <t>C18</t>
        </is>
      </c>
      <c r="C128" s="8" t="inlineStr">
        <is>
          <t>17. Accounts payable and accrued expenses</t>
        </is>
      </c>
      <c r="D128" s="8" t="inlineStr">
        <is>
          <t>17E</t>
        </is>
      </c>
      <c r="E128" s="8" t="inlineStr">
        <is>
          <t>part_x_balance_sheet.accounts_payable_eoy</t>
        </is>
      </c>
      <c r="F128" s="8" t="inlineStr">
        <is>
          <t>high</t>
        </is>
      </c>
      <c r="G128" s="9" t="n">
        <v>53260</v>
      </c>
    </row>
    <row r="129">
      <c r="A129" s="8" t="inlineStr">
        <is>
          <t>Balance sheet (detail)</t>
        </is>
      </c>
      <c r="B129" s="8" t="inlineStr">
        <is>
          <t>D18</t>
        </is>
      </c>
      <c r="C129" s="8" t="inlineStr">
        <is>
          <t>17. Accounts payable and accrued expenses</t>
        </is>
      </c>
      <c r="D129" s="8" t="inlineStr">
        <is>
          <t>17E</t>
        </is>
      </c>
      <c r="E129" s="8" t="inlineStr">
        <is>
          <t>part_x_balance_sheet.accounts_payable_eoy</t>
        </is>
      </c>
      <c r="F129" s="8" t="inlineStr">
        <is>
          <t>high</t>
        </is>
      </c>
      <c r="G129" s="9" t="n">
        <v>209524</v>
      </c>
    </row>
    <row r="130">
      <c r="A130" s="8" t="inlineStr">
        <is>
          <t>Balance sheet (detail)</t>
        </is>
      </c>
      <c r="B130" s="8" t="inlineStr">
        <is>
          <t>E18</t>
        </is>
      </c>
      <c r="C130" s="8" t="inlineStr">
        <is>
          <t>17. Accounts payable and accrued expenses</t>
        </is>
      </c>
      <c r="D130" s="8" t="inlineStr">
        <is>
          <t>17E</t>
        </is>
      </c>
      <c r="E130" s="8" t="inlineStr">
        <is>
          <t>part_x_balance_sheet.accounts_payable_eoy</t>
        </is>
      </c>
      <c r="F130" s="8" t="inlineStr">
        <is>
          <t>high</t>
        </is>
      </c>
      <c r="G130" s="9" t="n">
        <v>482643</v>
      </c>
    </row>
    <row r="131">
      <c r="A131" s="8" t="inlineStr">
        <is>
          <t>Balance sheet (detail)</t>
        </is>
      </c>
      <c r="B131" s="8" t="inlineStr">
        <is>
          <t>B19</t>
        </is>
      </c>
      <c r="C131" s="8" t="inlineStr">
        <is>
          <t>19. Deferred revenue</t>
        </is>
      </c>
      <c r="D131" s="8" t="inlineStr">
        <is>
          <t>19E</t>
        </is>
      </c>
      <c r="E131" s="8" t="inlineStr">
        <is>
          <t>part_x_balance_sheet.deferred_revenue_eoy</t>
        </is>
      </c>
      <c r="F131" s="8" t="inlineStr">
        <is>
          <t>high</t>
        </is>
      </c>
      <c r="G131" s="9" t="n">
        <v>35111</v>
      </c>
    </row>
    <row r="132">
      <c r="A132" s="8" t="inlineStr">
        <is>
          <t>Balance sheet (detail)</t>
        </is>
      </c>
      <c r="B132" s="8" t="inlineStr">
        <is>
          <t>C19</t>
        </is>
      </c>
      <c r="C132" s="8" t="inlineStr">
        <is>
          <t>19. Deferred revenue</t>
        </is>
      </c>
      <c r="D132" s="8" t="inlineStr">
        <is>
          <t>19E</t>
        </is>
      </c>
      <c r="E132" s="8" t="inlineStr">
        <is>
          <t>part_x_balance_sheet.deferred_revenue_eoy</t>
        </is>
      </c>
      <c r="F132" s="8" t="inlineStr">
        <is>
          <t>high</t>
        </is>
      </c>
      <c r="G132" s="9" t="n">
        <v>57501</v>
      </c>
    </row>
    <row r="133">
      <c r="A133" s="8" t="inlineStr">
        <is>
          <t>Balance sheet (detail)</t>
        </is>
      </c>
      <c r="B133" s="8" t="inlineStr">
        <is>
          <t>D19</t>
        </is>
      </c>
      <c r="C133" s="8" t="inlineStr">
        <is>
          <t>19. Deferred revenue</t>
        </is>
      </c>
      <c r="D133" s="8" t="inlineStr">
        <is>
          <t>19E</t>
        </is>
      </c>
      <c r="E133" s="8" t="inlineStr">
        <is>
          <t>part_x_balance_sheet.deferred_revenue_eoy</t>
        </is>
      </c>
      <c r="F133" s="8" t="inlineStr">
        <is>
          <t>high</t>
        </is>
      </c>
      <c r="G133" s="9" t="n">
        <v>58326</v>
      </c>
    </row>
    <row r="134">
      <c r="A134" s="8" t="inlineStr">
        <is>
          <t>Balance sheet (detail)</t>
        </is>
      </c>
      <c r="B134" s="8" t="inlineStr">
        <is>
          <t>E19</t>
        </is>
      </c>
      <c r="C134" s="8" t="inlineStr">
        <is>
          <t>19. Deferred revenue</t>
        </is>
      </c>
      <c r="D134" s="8" t="inlineStr">
        <is>
          <t>19E</t>
        </is>
      </c>
      <c r="E134" s="8" t="inlineStr">
        <is>
          <t>part_x_balance_sheet.deferred_revenue_eoy</t>
        </is>
      </c>
      <c r="F134" s="8" t="inlineStr">
        <is>
          <t>high</t>
        </is>
      </c>
      <c r="G134" s="9" t="n">
        <v>64413</v>
      </c>
    </row>
    <row r="135">
      <c r="A135" s="8" t="inlineStr">
        <is>
          <t>Balance sheet (detail)</t>
        </is>
      </c>
      <c r="B135" s="8" t="inlineStr">
        <is>
          <t>B20</t>
        </is>
      </c>
      <c r="C135" s="8" t="inlineStr">
        <is>
          <t>25. Other liabilities</t>
        </is>
      </c>
      <c r="D135" s="8" t="inlineStr">
        <is>
          <t>25E</t>
        </is>
      </c>
      <c r="E135" s="8" t="inlineStr">
        <is>
          <t>part_x_balance_sheet.other_liabilities_eoy</t>
        </is>
      </c>
      <c r="F135" s="8" t="inlineStr">
        <is>
          <t>high</t>
        </is>
      </c>
      <c r="G135" s="9" t="n">
        <v>339124</v>
      </c>
    </row>
    <row r="136">
      <c r="A136" s="8" t="inlineStr">
        <is>
          <t>Balance sheet (detail)</t>
        </is>
      </c>
      <c r="B136" s="8" t="inlineStr">
        <is>
          <t>C20</t>
        </is>
      </c>
      <c r="C136" s="8" t="inlineStr">
        <is>
          <t>25. Other liabilities</t>
        </is>
      </c>
      <c r="D136" s="8" t="inlineStr">
        <is>
          <t>25E</t>
        </is>
      </c>
      <c r="E136" s="8" t="inlineStr">
        <is>
          <t>part_x_balance_sheet.other_liabilities_eoy</t>
        </is>
      </c>
      <c r="F136" s="8" t="inlineStr">
        <is>
          <t>high</t>
        </is>
      </c>
      <c r="G136" s="9" t="n">
        <v>825897</v>
      </c>
    </row>
    <row r="137">
      <c r="A137" s="8" t="inlineStr">
        <is>
          <t>Balance sheet (detail)</t>
        </is>
      </c>
      <c r="B137" s="8" t="inlineStr">
        <is>
          <t>D20</t>
        </is>
      </c>
      <c r="C137" s="8" t="inlineStr">
        <is>
          <t>25. Other liabilities</t>
        </is>
      </c>
      <c r="D137" s="8" t="inlineStr">
        <is>
          <t>25E</t>
        </is>
      </c>
      <c r="E137" s="8" t="inlineStr">
        <is>
          <t>part_x_balance_sheet.other_liabilities_eoy</t>
        </is>
      </c>
      <c r="F137" s="8" t="inlineStr">
        <is>
          <t>high</t>
        </is>
      </c>
      <c r="G137" s="9" t="n">
        <v>1123358</v>
      </c>
    </row>
    <row r="138">
      <c r="A138" s="8" t="inlineStr">
        <is>
          <t>Balance sheet (detail)</t>
        </is>
      </c>
      <c r="B138" s="8" t="inlineStr">
        <is>
          <t>E20</t>
        </is>
      </c>
      <c r="C138" s="8" t="inlineStr">
        <is>
          <t>25. Other liabilities</t>
        </is>
      </c>
      <c r="D138" s="8" t="inlineStr">
        <is>
          <t>25E</t>
        </is>
      </c>
      <c r="E138" s="8" t="inlineStr">
        <is>
          <t>part_x_balance_sheet.other_liabilities_eoy</t>
        </is>
      </c>
      <c r="F138" s="8" t="inlineStr">
        <is>
          <t>high</t>
        </is>
      </c>
      <c r="G138" s="9" t="n">
        <v>223297</v>
      </c>
    </row>
    <row r="139">
      <c r="A139" s="8" t="inlineStr">
        <is>
          <t>Balance sheet (detail)</t>
        </is>
      </c>
      <c r="B139" s="8" t="inlineStr">
        <is>
          <t>B24</t>
        </is>
      </c>
      <c r="C139" s="8" t="inlineStr">
        <is>
          <t>29. Capital stock or trust principal</t>
        </is>
      </c>
      <c r="D139" s="8" t="inlineStr">
        <is>
          <t>29E</t>
        </is>
      </c>
      <c r="E139" s="8" t="inlineStr">
        <is>
          <t>part_x_balance_sheet.cap_stock_eoy</t>
        </is>
      </c>
      <c r="F139" s="8" t="inlineStr">
        <is>
          <t>high</t>
        </is>
      </c>
      <c r="G139" s="9" t="n">
        <v>77813</v>
      </c>
    </row>
    <row r="140">
      <c r="A140" s="8" t="inlineStr">
        <is>
          <t>Balance sheet (detail)</t>
        </is>
      </c>
      <c r="B140" s="8" t="inlineStr">
        <is>
          <t>C24</t>
        </is>
      </c>
      <c r="C140" s="8" t="inlineStr">
        <is>
          <t>29. Capital stock or trust principal</t>
        </is>
      </c>
      <c r="D140" s="8" t="inlineStr">
        <is>
          <t>29E</t>
        </is>
      </c>
      <c r="E140" s="8" t="inlineStr">
        <is>
          <t>part_x_balance_sheet.cap_stock_eoy</t>
        </is>
      </c>
      <c r="F140" s="8" t="inlineStr">
        <is>
          <t>high</t>
        </is>
      </c>
      <c r="G140" s="9" t="n">
        <v>77813</v>
      </c>
    </row>
    <row r="141">
      <c r="A141" s="8" t="inlineStr">
        <is>
          <t>Balance sheet (detail)</t>
        </is>
      </c>
      <c r="B141" s="8" t="inlineStr">
        <is>
          <t>D24</t>
        </is>
      </c>
      <c r="C141" s="8" t="inlineStr">
        <is>
          <t>29. Capital stock or trust principal</t>
        </is>
      </c>
      <c r="D141" s="8" t="inlineStr">
        <is>
          <t>29E</t>
        </is>
      </c>
      <c r="E141" s="8" t="inlineStr">
        <is>
          <t>part_x_balance_sheet.cap_stock_eoy</t>
        </is>
      </c>
      <c r="F141" s="8" t="inlineStr">
        <is>
          <t>high</t>
        </is>
      </c>
      <c r="G141" s="9" t="n">
        <v>77813</v>
      </c>
    </row>
    <row r="142">
      <c r="A142" s="8" t="inlineStr">
        <is>
          <t>Balance sheet (detail)</t>
        </is>
      </c>
      <c r="B142" s="8" t="inlineStr">
        <is>
          <t>E24</t>
        </is>
      </c>
      <c r="C142" s="8" t="inlineStr">
        <is>
          <t>29. Capital stock or trust principal</t>
        </is>
      </c>
      <c r="D142" s="8" t="inlineStr">
        <is>
          <t>29E</t>
        </is>
      </c>
      <c r="E142" s="8" t="inlineStr">
        <is>
          <t>part_x_balance_sheet.cap_stock_eoy</t>
        </is>
      </c>
      <c r="F142" s="8" t="inlineStr">
        <is>
          <t>high</t>
        </is>
      </c>
      <c r="G142" s="9" t="n">
        <v>77813</v>
      </c>
    </row>
    <row r="143">
      <c r="A143" s="8" t="inlineStr">
        <is>
          <t>Balance sheet (detail)</t>
        </is>
      </c>
      <c r="B143" s="8" t="inlineStr">
        <is>
          <t>B25</t>
        </is>
      </c>
      <c r="C143" s="8" t="inlineStr">
        <is>
          <t>30. Paid-in or capital surplus</t>
        </is>
      </c>
      <c r="D143" s="8" t="inlineStr">
        <is>
          <t>30E</t>
        </is>
      </c>
      <c r="E143" s="8" t="inlineStr">
        <is>
          <t>part_x_balance_sheet.paid_in_capital_eoy</t>
        </is>
      </c>
      <c r="F143" s="8" t="inlineStr">
        <is>
          <t>high</t>
        </is>
      </c>
      <c r="G143" s="9" t="n">
        <v>3512</v>
      </c>
    </row>
    <row r="144">
      <c r="A144" s="8" t="inlineStr">
        <is>
          <t>Balance sheet (detail)</t>
        </is>
      </c>
      <c r="B144" s="8" t="inlineStr">
        <is>
          <t>C25</t>
        </is>
      </c>
      <c r="C144" s="8" t="inlineStr">
        <is>
          <t>30. Paid-in or capital surplus</t>
        </is>
      </c>
      <c r="D144" s="8" t="inlineStr">
        <is>
          <t>30E</t>
        </is>
      </c>
      <c r="E144" s="8" t="inlineStr">
        <is>
          <t>part_x_balance_sheet.paid_in_capital_eoy</t>
        </is>
      </c>
      <c r="F144" s="8" t="inlineStr">
        <is>
          <t>high</t>
        </is>
      </c>
      <c r="G144" s="9" t="n">
        <v>3512</v>
      </c>
    </row>
    <row r="145">
      <c r="A145" s="8" t="inlineStr">
        <is>
          <t>Balance sheet (detail)</t>
        </is>
      </c>
      <c r="B145" s="8" t="inlineStr">
        <is>
          <t>D25</t>
        </is>
      </c>
      <c r="C145" s="8" t="inlineStr">
        <is>
          <t>30. Paid-in or capital surplus</t>
        </is>
      </c>
      <c r="D145" s="8" t="inlineStr">
        <is>
          <t>30E</t>
        </is>
      </c>
      <c r="E145" s="8" t="inlineStr">
        <is>
          <t>part_x_balance_sheet.paid_in_capital_eoy</t>
        </is>
      </c>
      <c r="F145" s="8" t="inlineStr">
        <is>
          <t>high</t>
        </is>
      </c>
      <c r="G145" s="9" t="n">
        <v>3512</v>
      </c>
    </row>
    <row r="146">
      <c r="A146" s="8" t="inlineStr">
        <is>
          <t>Balance sheet (detail)</t>
        </is>
      </c>
      <c r="B146" s="8" t="inlineStr">
        <is>
          <t>E25</t>
        </is>
      </c>
      <c r="C146" s="8" t="inlineStr">
        <is>
          <t>30. Paid-in or capital surplus</t>
        </is>
      </c>
      <c r="D146" s="8" t="inlineStr">
        <is>
          <t>30E</t>
        </is>
      </c>
      <c r="E146" s="8" t="inlineStr">
        <is>
          <t>part_x_balance_sheet.paid_in_capital_eoy</t>
        </is>
      </c>
      <c r="F146" s="8" t="inlineStr">
        <is>
          <t>high</t>
        </is>
      </c>
      <c r="G146" s="9" t="n">
        <v>3512</v>
      </c>
    </row>
    <row r="147">
      <c r="A147" s="8" t="inlineStr">
        <is>
          <t>Balance sheet (detail)</t>
        </is>
      </c>
      <c r="B147" s="8" t="inlineStr">
        <is>
          <t>B26</t>
        </is>
      </c>
      <c r="C147" s="8" t="inlineStr">
        <is>
          <t>31. Retained earnings / accumulated funds</t>
        </is>
      </c>
      <c r="D147" s="8" t="inlineStr">
        <is>
          <t>31E</t>
        </is>
      </c>
      <c r="E147" s="8" t="inlineStr">
        <is>
          <t>part_x_balance_sheet.retained_earnings_eoy</t>
        </is>
      </c>
      <c r="F147" s="8" t="inlineStr">
        <is>
          <t>high</t>
        </is>
      </c>
      <c r="G147" s="9" t="n">
        <v>24803838</v>
      </c>
    </row>
    <row r="148">
      <c r="A148" s="8" t="inlineStr">
        <is>
          <t>Balance sheet (detail)</t>
        </is>
      </c>
      <c r="B148" s="8" t="inlineStr">
        <is>
          <t>C26</t>
        </is>
      </c>
      <c r="C148" s="8" t="inlineStr">
        <is>
          <t>31. Retained earnings / accumulated funds</t>
        </is>
      </c>
      <c r="D148" s="8" t="inlineStr">
        <is>
          <t>31E</t>
        </is>
      </c>
      <c r="E148" s="8" t="inlineStr">
        <is>
          <t>part_x_balance_sheet.retained_earnings_eoy</t>
        </is>
      </c>
      <c r="F148" s="8" t="inlineStr">
        <is>
          <t>high</t>
        </is>
      </c>
      <c r="G148" s="9" t="n">
        <v>26584681</v>
      </c>
    </row>
    <row r="149">
      <c r="A149" s="8" t="inlineStr">
        <is>
          <t>Balance sheet (detail)</t>
        </is>
      </c>
      <c r="B149" s="8" t="inlineStr">
        <is>
          <t>D26</t>
        </is>
      </c>
      <c r="C149" s="8" t="inlineStr">
        <is>
          <t>31. Retained earnings / accumulated funds</t>
        </is>
      </c>
      <c r="D149" s="8" t="inlineStr">
        <is>
          <t>31E</t>
        </is>
      </c>
      <c r="E149" s="8" t="inlineStr">
        <is>
          <t>part_x_balance_sheet.retained_earnings_eoy</t>
        </is>
      </c>
      <c r="F149" s="8" t="inlineStr">
        <is>
          <t>high</t>
        </is>
      </c>
      <c r="G149" s="9" t="n">
        <v>31440063</v>
      </c>
    </row>
    <row r="150">
      <c r="A150" s="8" t="inlineStr">
        <is>
          <t>Balance sheet (detail)</t>
        </is>
      </c>
      <c r="B150" s="8" t="inlineStr">
        <is>
          <t>E26</t>
        </is>
      </c>
      <c r="C150" s="8" t="inlineStr">
        <is>
          <t>31. Retained earnings / accumulated funds</t>
        </is>
      </c>
      <c r="D150" s="8" t="inlineStr">
        <is>
          <t>31E</t>
        </is>
      </c>
      <c r="E150" s="8" t="inlineStr">
        <is>
          <t>part_x_balance_sheet.retained_earnings_eoy</t>
        </is>
      </c>
      <c r="F150" s="8" t="inlineStr">
        <is>
          <t>high</t>
        </is>
      </c>
      <c r="G150" s="9" t="n">
        <v>37115878</v>
      </c>
    </row>
    <row r="151">
      <c r="A151" s="8" t="inlineStr">
        <is>
          <t>Net-assets reconciliation</t>
        </is>
      </c>
      <c r="B151" s="8" t="inlineStr">
        <is>
          <t>B7</t>
        </is>
      </c>
      <c r="C151" s="8" t="inlineStr">
        <is>
          <t>4. Net assets, beginning of year</t>
        </is>
      </c>
      <c r="D151" s="8" t="inlineStr">
        <is>
          <t>Part XI line 4</t>
        </is>
      </c>
      <c r="E151" s="8" t="inlineStr">
        <is>
          <t>part_xi_reconciliation.net_assets_boy</t>
        </is>
      </c>
      <c r="F151" s="8" t="inlineStr">
        <is>
          <t>high</t>
        </is>
      </c>
      <c r="G151" s="9" t="n">
        <v>22825870</v>
      </c>
    </row>
    <row r="152">
      <c r="A152" s="8" t="inlineStr">
        <is>
          <t>Net-assets reconciliation</t>
        </is>
      </c>
      <c r="B152" s="8" t="inlineStr">
        <is>
          <t>C7</t>
        </is>
      </c>
      <c r="C152" s="8" t="inlineStr">
        <is>
          <t>4. Net assets, beginning of year</t>
        </is>
      </c>
      <c r="D152" s="8" t="inlineStr">
        <is>
          <t>Part XI line 4</t>
        </is>
      </c>
      <c r="E152" s="8" t="inlineStr">
        <is>
          <t>part_xi_reconciliation.net_assets_boy</t>
        </is>
      </c>
      <c r="F152" s="8" t="inlineStr">
        <is>
          <t>high</t>
        </is>
      </c>
      <c r="G152" s="9" t="n">
        <v>24885163</v>
      </c>
    </row>
    <row r="153">
      <c r="A153" s="8" t="inlineStr">
        <is>
          <t>Net-assets reconciliation</t>
        </is>
      </c>
      <c r="B153" s="8" t="inlineStr">
        <is>
          <t>D7</t>
        </is>
      </c>
      <c r="C153" s="8" t="inlineStr">
        <is>
          <t>4. Net assets, beginning of year</t>
        </is>
      </c>
      <c r="D153" s="8" t="inlineStr">
        <is>
          <t>Part XI line 4</t>
        </is>
      </c>
      <c r="E153" s="8" t="inlineStr">
        <is>
          <t>part_xi_reconciliation.net_assets_boy</t>
        </is>
      </c>
      <c r="F153" s="8" t="inlineStr">
        <is>
          <t>high</t>
        </is>
      </c>
      <c r="G153" s="9" t="n">
        <v>26666006</v>
      </c>
    </row>
    <row r="154">
      <c r="A154" s="8" t="inlineStr">
        <is>
          <t>Net-assets reconciliation</t>
        </is>
      </c>
      <c r="B154" s="8" t="inlineStr">
        <is>
          <t>E7</t>
        </is>
      </c>
      <c r="C154" s="8" t="inlineStr">
        <is>
          <t>4. Net assets, beginning of year</t>
        </is>
      </c>
      <c r="D154" s="8" t="inlineStr">
        <is>
          <t>Part XI line 4</t>
        </is>
      </c>
      <c r="E154" s="8" t="inlineStr">
        <is>
          <t>part_xi_reconciliation.net_assets_boy</t>
        </is>
      </c>
      <c r="F154" s="8" t="inlineStr">
        <is>
          <t>high</t>
        </is>
      </c>
      <c r="G154" s="9" t="n">
        <v>31521388</v>
      </c>
    </row>
    <row r="155">
      <c r="A155" s="8" t="inlineStr">
        <is>
          <t>Net-assets reconciliation</t>
        </is>
      </c>
      <c r="B155" s="8" t="inlineStr">
        <is>
          <t>B8</t>
        </is>
      </c>
      <c r="C155" s="8" t="inlineStr">
        <is>
          <t>3. Revenue less expenses</t>
        </is>
      </c>
      <c r="D155" s="8" t="inlineStr">
        <is>
          <t>Part XI line 3</t>
        </is>
      </c>
      <c r="E155" s="8" t="inlineStr">
        <is>
          <t>part_xi_reconciliation.reconciliation_revenue_expenses</t>
        </is>
      </c>
      <c r="F155" s="8" t="inlineStr">
        <is>
          <t>high</t>
        </is>
      </c>
      <c r="G155" s="9" t="n">
        <v>1136104</v>
      </c>
    </row>
    <row r="156">
      <c r="A156" s="8" t="inlineStr">
        <is>
          <t>Net-assets reconciliation</t>
        </is>
      </c>
      <c r="B156" s="8" t="inlineStr">
        <is>
          <t>C8</t>
        </is>
      </c>
      <c r="C156" s="8" t="inlineStr">
        <is>
          <t>3. Revenue less expenses</t>
        </is>
      </c>
      <c r="D156" s="8" t="inlineStr">
        <is>
          <t>Part XI line 3</t>
        </is>
      </c>
      <c r="E156" s="8" t="inlineStr">
        <is>
          <t>part_xi_reconciliation.reconciliation_revenue_expenses</t>
        </is>
      </c>
      <c r="F156" s="8" t="inlineStr">
        <is>
          <t>high</t>
        </is>
      </c>
      <c r="G156" s="9" t="n">
        <v>1960432</v>
      </c>
    </row>
    <row r="157">
      <c r="A157" s="8" t="inlineStr">
        <is>
          <t>Net-assets reconciliation</t>
        </is>
      </c>
      <c r="B157" s="8" t="inlineStr">
        <is>
          <t>D8</t>
        </is>
      </c>
      <c r="C157" s="8" t="inlineStr">
        <is>
          <t>3. Revenue less expenses</t>
        </is>
      </c>
      <c r="D157" s="8" t="inlineStr">
        <is>
          <t>Part XI line 3</t>
        </is>
      </c>
      <c r="E157" s="8" t="inlineStr">
        <is>
          <t>part_xi_reconciliation.reconciliation_revenue_expenses</t>
        </is>
      </c>
      <c r="F157" s="8" t="inlineStr">
        <is>
          <t>high</t>
        </is>
      </c>
      <c r="G157" s="9" t="n">
        <v>5237123</v>
      </c>
    </row>
    <row r="158">
      <c r="A158" s="8" t="inlineStr">
        <is>
          <t>Net-assets reconciliation</t>
        </is>
      </c>
      <c r="B158" s="8" t="inlineStr">
        <is>
          <t>E8</t>
        </is>
      </c>
      <c r="C158" s="8" t="inlineStr">
        <is>
          <t>3. Revenue less expenses</t>
        </is>
      </c>
      <c r="D158" s="8" t="inlineStr">
        <is>
          <t>Part XI line 3</t>
        </is>
      </c>
      <c r="E158" s="8" t="inlineStr">
        <is>
          <t>part_xi_reconciliation.reconciliation_revenue_expenses</t>
        </is>
      </c>
      <c r="F158" s="8" t="inlineStr">
        <is>
          <t>high</t>
        </is>
      </c>
      <c r="G158" s="9" t="n">
        <v>5650358</v>
      </c>
    </row>
    <row r="159">
      <c r="A159" s="8" t="inlineStr">
        <is>
          <t>Net-assets reconciliation</t>
        </is>
      </c>
      <c r="B159" s="8" t="inlineStr">
        <is>
          <t>B10</t>
        </is>
      </c>
      <c r="C159" s="8" t="inlineStr">
        <is>
          <t>9. Other changes in net assets</t>
        </is>
      </c>
      <c r="D159" s="8" t="inlineStr">
        <is>
          <t>Part XI line 9</t>
        </is>
      </c>
      <c r="E159" s="8" t="inlineStr">
        <is>
          <t>part_xi_reconciliation.other_changes_net_assets</t>
        </is>
      </c>
      <c r="F159" s="8" t="inlineStr">
        <is>
          <t>high</t>
        </is>
      </c>
      <c r="G159" s="9" t="n">
        <v>775988</v>
      </c>
    </row>
    <row r="160">
      <c r="A160" s="8" t="inlineStr">
        <is>
          <t>Net-assets reconciliation</t>
        </is>
      </c>
      <c r="B160" s="8" t="inlineStr">
        <is>
          <t>C10</t>
        </is>
      </c>
      <c r="C160" s="8" t="inlineStr">
        <is>
          <t>9. Other changes in net assets</t>
        </is>
      </c>
      <c r="D160" s="8" t="inlineStr">
        <is>
          <t>Part XI line 9</t>
        </is>
      </c>
      <c r="E160" s="8" t="inlineStr">
        <is>
          <t>part_xi_reconciliation.other_changes_net_assets</t>
        </is>
      </c>
      <c r="F160" s="8" t="inlineStr">
        <is>
          <t>high</t>
        </is>
      </c>
      <c r="G160" s="9" t="n">
        <v>55</v>
      </c>
    </row>
    <row r="161">
      <c r="A161" s="8" t="inlineStr">
        <is>
          <t>Net-assets reconciliation</t>
        </is>
      </c>
      <c r="B161" s="8" t="inlineStr">
        <is>
          <t>D10</t>
        </is>
      </c>
      <c r="C161" s="8" t="inlineStr">
        <is>
          <t>9. Other changes in net assets</t>
        </is>
      </c>
      <c r="D161" s="8" t="inlineStr">
        <is>
          <t>Part XI line 9</t>
        </is>
      </c>
      <c r="E161" s="8" t="inlineStr">
        <is>
          <t>part_xi_reconciliation.other_changes_net_assets</t>
        </is>
      </c>
      <c r="F161" s="8" t="inlineStr">
        <is>
          <t>high</t>
        </is>
      </c>
      <c r="G161" s="9" t="n">
        <v>-426539</v>
      </c>
    </row>
    <row r="162">
      <c r="A162" s="8" t="inlineStr">
        <is>
          <t>Net-assets reconciliation</t>
        </is>
      </c>
      <c r="B162" s="8" t="inlineStr">
        <is>
          <t>E10</t>
        </is>
      </c>
      <c r="C162" s="8" t="inlineStr">
        <is>
          <t>9. Other changes in net assets</t>
        </is>
      </c>
      <c r="D162" s="8" t="inlineStr">
        <is>
          <t>Part XI line 9</t>
        </is>
      </c>
      <c r="E162" s="8" t="inlineStr">
        <is>
          <t>part_xi_reconciliation.other_changes_net_assets</t>
        </is>
      </c>
      <c r="F162" s="8" t="inlineStr">
        <is>
          <t>high</t>
        </is>
      </c>
      <c r="G162" s="9" t="n">
        <v>0</v>
      </c>
    </row>
    <row r="164">
      <c r="A164" s="46" t="inlineStr">
        <is>
          <t>C. Tie-out checks (filed vs computed; any nonzero variance is flagged red)</t>
        </is>
      </c>
      <c r="B164" s="7" t="n"/>
      <c r="C164" s="7" t="n"/>
      <c r="D164" s="7" t="n"/>
      <c r="E164" s="7" t="n"/>
      <c r="F164" s="7" t="n"/>
      <c r="G164" s="7" t="n"/>
      <c r="H164" s="7" t="n"/>
      <c r="I164" s="7" t="n"/>
      <c r="J164" s="7" t="n"/>
      <c r="K164" s="7" t="n"/>
    </row>
    <row r="165">
      <c r="A165" s="5" t="inlineStr">
        <is>
          <t>Tab</t>
        </is>
      </c>
      <c r="B165" s="5" t="inlineStr">
        <is>
          <t>Check</t>
        </is>
      </c>
      <c r="C165" s="5" t="inlineStr">
        <is>
          <t>Fiscal year</t>
        </is>
      </c>
      <c r="D165" s="5" t="inlineStr">
        <is>
          <t>Filed</t>
        </is>
      </c>
      <c r="E165" s="5" t="inlineStr">
        <is>
          <t>Computed</t>
        </is>
      </c>
      <c r="F165" s="5" t="inlineStr">
        <is>
          <t>Variance (computed - filed)</t>
        </is>
      </c>
    </row>
    <row r="166">
      <c r="A166" s="20" t="inlineStr">
        <is>
          <t>Revenue (detail)</t>
        </is>
      </c>
      <c r="B166" s="20" t="inlineStr">
        <is>
          <t>12. Total revenue</t>
        </is>
      </c>
      <c r="C166" s="20" t="inlineStr">
        <is>
          <t>FY2021</t>
        </is>
      </c>
      <c r="D166" s="9" t="n">
        <v>6119676</v>
      </c>
      <c r="E166" s="9">
        <f>'Revenue (detail)'!B13</f>
        <v/>
      </c>
      <c r="F166" s="9">
        <f>E166-D166</f>
        <v/>
      </c>
    </row>
    <row r="167">
      <c r="A167" s="20" t="inlineStr">
        <is>
          <t>Revenue (detail)</t>
        </is>
      </c>
      <c r="B167" s="20" t="inlineStr">
        <is>
          <t>12. Total revenue</t>
        </is>
      </c>
      <c r="C167" s="20" t="inlineStr">
        <is>
          <t>FY2022</t>
        </is>
      </c>
      <c r="D167" s="9" t="n">
        <v>6771352</v>
      </c>
      <c r="E167" s="9">
        <f>'Revenue (detail)'!C13</f>
        <v/>
      </c>
      <c r="F167" s="9">
        <f>E167-D167</f>
        <v/>
      </c>
    </row>
    <row r="168">
      <c r="A168" s="20" t="inlineStr">
        <is>
          <t>Revenue (detail)</t>
        </is>
      </c>
      <c r="B168" s="20" t="inlineStr">
        <is>
          <t>12. Total revenue</t>
        </is>
      </c>
      <c r="C168" s="20" t="inlineStr">
        <is>
          <t>FY2023</t>
        </is>
      </c>
      <c r="D168" s="9" t="n">
        <v>10023447</v>
      </c>
      <c r="E168" s="9">
        <f>'Revenue (detail)'!D13</f>
        <v/>
      </c>
      <c r="F168" s="9">
        <f>E168-D168</f>
        <v/>
      </c>
    </row>
    <row r="169">
      <c r="A169" s="20" t="inlineStr">
        <is>
          <t>Revenue (detail)</t>
        </is>
      </c>
      <c r="B169" s="20" t="inlineStr">
        <is>
          <t>12. Total revenue</t>
        </is>
      </c>
      <c r="C169" s="20" t="inlineStr">
        <is>
          <t>FY2024</t>
        </is>
      </c>
      <c r="D169" s="9" t="n">
        <v>10411332</v>
      </c>
      <c r="E169" s="9">
        <f>'Revenue (detail)'!E13</f>
        <v/>
      </c>
      <c r="F169" s="9">
        <f>E169-D169</f>
        <v/>
      </c>
    </row>
    <row r="170">
      <c r="A170" s="20" t="inlineStr">
        <is>
          <t>Revenue (detail)</t>
        </is>
      </c>
      <c r="B170" s="20" t="inlineStr">
        <is>
          <t>2g program service revenue = sum of lines 2a-2f (FY2024)</t>
        </is>
      </c>
      <c r="C170" s="20" t="inlineStr">
        <is>
          <t>FY2024</t>
        </is>
      </c>
      <c r="D170" s="9" t="n">
        <v>6786362</v>
      </c>
      <c r="E170" s="9">
        <f>SUM('Revenue (detail)'!C17:C20)</f>
        <v/>
      </c>
      <c r="F170" s="9">
        <f>E170-D170</f>
        <v/>
      </c>
    </row>
    <row r="171">
      <c r="A171" s="20" t="inlineStr">
        <is>
          <t>Operating expenses (detail)</t>
        </is>
      </c>
      <c r="B171" s="20" t="inlineStr">
        <is>
          <t>25. Total functional expenses</t>
        </is>
      </c>
      <c r="C171" s="20" t="inlineStr">
        <is>
          <t>FY2021</t>
        </is>
      </c>
      <c r="D171" s="9" t="n">
        <v>4983572</v>
      </c>
      <c r="E171" s="9">
        <f>'Operating expenses (detail)'!B25</f>
        <v/>
      </c>
      <c r="F171" s="9">
        <f>E171-D171</f>
        <v/>
      </c>
    </row>
    <row r="172">
      <c r="A172" s="20" t="inlineStr">
        <is>
          <t>Operating expenses (detail)</t>
        </is>
      </c>
      <c r="B172" s="20" t="inlineStr">
        <is>
          <t>25. Total functional expenses</t>
        </is>
      </c>
      <c r="C172" s="20" t="inlineStr">
        <is>
          <t>FY2022</t>
        </is>
      </c>
      <c r="D172" s="9" t="n">
        <v>4810920</v>
      </c>
      <c r="E172" s="9">
        <f>'Operating expenses (detail)'!C25</f>
        <v/>
      </c>
      <c r="F172" s="9">
        <f>E172-D172</f>
        <v/>
      </c>
    </row>
    <row r="173">
      <c r="A173" s="20" t="inlineStr">
        <is>
          <t>Operating expenses (detail)</t>
        </is>
      </c>
      <c r="B173" s="20" t="inlineStr">
        <is>
          <t>25. Total functional expenses</t>
        </is>
      </c>
      <c r="C173" s="20" t="inlineStr">
        <is>
          <t>FY2023</t>
        </is>
      </c>
      <c r="D173" s="9" t="n">
        <v>4786324</v>
      </c>
      <c r="E173" s="9">
        <f>'Operating expenses (detail)'!D25</f>
        <v/>
      </c>
      <c r="F173" s="9">
        <f>E173-D173</f>
        <v/>
      </c>
    </row>
    <row r="174">
      <c r="A174" s="20" t="inlineStr">
        <is>
          <t>Operating expenses (detail)</t>
        </is>
      </c>
      <c r="B174" s="20" t="inlineStr">
        <is>
          <t>25. Total functional expenses</t>
        </is>
      </c>
      <c r="C174" s="20" t="inlineStr">
        <is>
          <t>FY2024</t>
        </is>
      </c>
      <c r="D174" s="9" t="n">
        <v>4760974</v>
      </c>
      <c r="E174" s="9">
        <f>'Operating expenses (detail)'!E25</f>
        <v/>
      </c>
      <c r="F174" s="9">
        <f>E174-D174</f>
        <v/>
      </c>
    </row>
    <row r="175">
      <c r="A175" s="20" t="inlineStr">
        <is>
          <t>Operating expenses (detail)</t>
        </is>
      </c>
      <c r="B175" s="20" t="inlineStr">
        <is>
          <t>Part IX column split: col A = B + C + D (FY2024)</t>
        </is>
      </c>
      <c r="C175" s="20" t="inlineStr">
        <is>
          <t>FY2024</t>
        </is>
      </c>
      <c r="D175" s="9">
        <f>'Operating expenses (detail)'!B41</f>
        <v/>
      </c>
      <c r="E175" s="9">
        <f>'Operating expenses (detail)'!C41+'Operating expenses (detail)'!D41+'Operating expenses (detail)'!E41</f>
        <v/>
      </c>
      <c r="F175" s="9">
        <f>E175-D175</f>
        <v/>
      </c>
    </row>
    <row r="176">
      <c r="A176" s="20" t="inlineStr">
        <is>
          <t>Balance sheet (detail)</t>
        </is>
      </c>
      <c r="B176" s="20" t="inlineStr">
        <is>
          <t>16. Total assets</t>
        </is>
      </c>
      <c r="C176" s="20" t="inlineStr">
        <is>
          <t>FY2021</t>
        </is>
      </c>
      <c r="D176" s="9" t="n">
        <v>25302243</v>
      </c>
      <c r="E176" s="9">
        <f>'Balance sheet (detail)'!B15</f>
        <v/>
      </c>
      <c r="F176" s="9">
        <f>E176-D176</f>
        <v/>
      </c>
    </row>
    <row r="177">
      <c r="A177" s="20" t="inlineStr">
        <is>
          <t>Balance sheet (detail)</t>
        </is>
      </c>
      <c r="B177" s="20" t="inlineStr">
        <is>
          <t>16. Total assets</t>
        </is>
      </c>
      <c r="C177" s="20" t="inlineStr">
        <is>
          <t>FY2022</t>
        </is>
      </c>
      <c r="D177" s="9" t="n">
        <v>27602664</v>
      </c>
      <c r="E177" s="9">
        <f>'Balance sheet (detail)'!C15</f>
        <v/>
      </c>
      <c r="F177" s="9">
        <f>E177-D177</f>
        <v/>
      </c>
    </row>
    <row r="178">
      <c r="A178" s="20" t="inlineStr">
        <is>
          <t>Balance sheet (detail)</t>
        </is>
      </c>
      <c r="B178" s="20" t="inlineStr">
        <is>
          <t>16. Total assets</t>
        </is>
      </c>
      <c r="C178" s="20" t="inlineStr">
        <is>
          <t>FY2023</t>
        </is>
      </c>
      <c r="D178" s="9" t="n">
        <v>32912596</v>
      </c>
      <c r="E178" s="9">
        <f>'Balance sheet (detail)'!D15</f>
        <v/>
      </c>
      <c r="F178" s="9">
        <f>E178-D178</f>
        <v/>
      </c>
    </row>
    <row r="179">
      <c r="A179" s="20" t="inlineStr">
        <is>
          <t>Balance sheet (detail)</t>
        </is>
      </c>
      <c r="B179" s="20" t="inlineStr">
        <is>
          <t>16. Total assets</t>
        </is>
      </c>
      <c r="C179" s="20" t="inlineStr">
        <is>
          <t>FY2024</t>
        </is>
      </c>
      <c r="D179" s="9" t="n">
        <v>37967556</v>
      </c>
      <c r="E179" s="9">
        <f>'Balance sheet (detail)'!E15</f>
        <v/>
      </c>
      <c r="F179" s="9">
        <f>E179-D179</f>
        <v/>
      </c>
    </row>
    <row r="180">
      <c r="A180" s="20" t="inlineStr">
        <is>
          <t>Balance sheet (detail)</t>
        </is>
      </c>
      <c r="B180" s="20" t="inlineStr">
        <is>
          <t>26. Total liabilities</t>
        </is>
      </c>
      <c r="C180" s="20" t="inlineStr">
        <is>
          <t>FY2021</t>
        </is>
      </c>
      <c r="D180" s="9" t="n">
        <v>417080</v>
      </c>
      <c r="E180" s="9">
        <f>'Balance sheet (detail)'!B21</f>
        <v/>
      </c>
      <c r="F180" s="9">
        <f>E180-D180</f>
        <v/>
      </c>
    </row>
    <row r="181">
      <c r="A181" s="20" t="inlineStr">
        <is>
          <t>Balance sheet (detail)</t>
        </is>
      </c>
      <c r="B181" s="20" t="inlineStr">
        <is>
          <t>26. Total liabilities</t>
        </is>
      </c>
      <c r="C181" s="20" t="inlineStr">
        <is>
          <t>FY2022</t>
        </is>
      </c>
      <c r="D181" s="9" t="n">
        <v>936658</v>
      </c>
      <c r="E181" s="9">
        <f>'Balance sheet (detail)'!C21</f>
        <v/>
      </c>
      <c r="F181" s="9">
        <f>E181-D181</f>
        <v/>
      </c>
    </row>
    <row r="182">
      <c r="A182" s="20" t="inlineStr">
        <is>
          <t>Balance sheet (detail)</t>
        </is>
      </c>
      <c r="B182" s="20" t="inlineStr">
        <is>
          <t>26. Total liabilities</t>
        </is>
      </c>
      <c r="C182" s="20" t="inlineStr">
        <is>
          <t>FY2023</t>
        </is>
      </c>
      <c r="D182" s="9" t="n">
        <v>1391208</v>
      </c>
      <c r="E182" s="9">
        <f>'Balance sheet (detail)'!D21</f>
        <v/>
      </c>
      <c r="F182" s="9">
        <f>E182-D182</f>
        <v/>
      </c>
    </row>
    <row r="183">
      <c r="A183" s="20" t="inlineStr">
        <is>
          <t>Balance sheet (detail)</t>
        </is>
      </c>
      <c r="B183" s="20" t="inlineStr">
        <is>
          <t>26. Total liabilities</t>
        </is>
      </c>
      <c r="C183" s="20" t="inlineStr">
        <is>
          <t>FY2024</t>
        </is>
      </c>
      <c r="D183" s="9" t="n">
        <v>770353</v>
      </c>
      <c r="E183" s="9">
        <f>'Balance sheet (detail)'!E21</f>
        <v/>
      </c>
      <c r="F183" s="9">
        <f>E183-D183</f>
        <v/>
      </c>
    </row>
    <row r="184">
      <c r="A184" s="20" t="inlineStr">
        <is>
          <t>Balance sheet (detail)</t>
        </is>
      </c>
      <c r="B184" s="20" t="inlineStr">
        <is>
          <t>32. Total net assets / fund balances</t>
        </is>
      </c>
      <c r="C184" s="20" t="inlineStr">
        <is>
          <t>FY2021</t>
        </is>
      </c>
      <c r="D184" s="9" t="n">
        <v>24885163</v>
      </c>
      <c r="E184" s="9">
        <f>'Balance sheet (detail)'!B27</f>
        <v/>
      </c>
      <c r="F184" s="9">
        <f>E184-D184</f>
        <v/>
      </c>
    </row>
    <row r="185">
      <c r="A185" s="20" t="inlineStr">
        <is>
          <t>Balance sheet (detail)</t>
        </is>
      </c>
      <c r="B185" s="20" t="inlineStr">
        <is>
          <t>32. Total net assets / fund balances</t>
        </is>
      </c>
      <c r="C185" s="20" t="inlineStr">
        <is>
          <t>FY2022</t>
        </is>
      </c>
      <c r="D185" s="9" t="n">
        <v>26666006</v>
      </c>
      <c r="E185" s="9">
        <f>'Balance sheet (detail)'!C27</f>
        <v/>
      </c>
      <c r="F185" s="9">
        <f>E185-D185</f>
        <v/>
      </c>
    </row>
    <row r="186">
      <c r="A186" s="20" t="inlineStr">
        <is>
          <t>Balance sheet (detail)</t>
        </is>
      </c>
      <c r="B186" s="20" t="inlineStr">
        <is>
          <t>32. Total net assets / fund balances</t>
        </is>
      </c>
      <c r="C186" s="20" t="inlineStr">
        <is>
          <t>FY2023</t>
        </is>
      </c>
      <c r="D186" s="9" t="n">
        <v>31521388</v>
      </c>
      <c r="E186" s="9">
        <f>'Balance sheet (detail)'!D27</f>
        <v/>
      </c>
      <c r="F186" s="9">
        <f>E186-D186</f>
        <v/>
      </c>
    </row>
    <row r="187">
      <c r="A187" s="20" t="inlineStr">
        <is>
          <t>Balance sheet (detail)</t>
        </is>
      </c>
      <c r="B187" s="20" t="inlineStr">
        <is>
          <t>32. Total net assets / fund balances</t>
        </is>
      </c>
      <c r="C187" s="20" t="inlineStr">
        <is>
          <t>FY2024</t>
        </is>
      </c>
      <c r="D187" s="9" t="n">
        <v>37197203</v>
      </c>
      <c r="E187" s="9">
        <f>'Balance sheet (detail)'!E27</f>
        <v/>
      </c>
      <c r="F187" s="9">
        <f>E187-D187</f>
        <v/>
      </c>
    </row>
    <row r="188">
      <c r="A188" s="20" t="inlineStr">
        <is>
          <t>Balance sheet (detail)</t>
        </is>
      </c>
      <c r="B188" s="20" t="inlineStr">
        <is>
          <t>Balance sheet identity: line 16 = line 26 + line 32 (EOY)</t>
        </is>
      </c>
      <c r="C188" s="20" t="inlineStr">
        <is>
          <t>FY2021</t>
        </is>
      </c>
      <c r="D188" s="9">
        <f>'Balance sheet (detail)'!B15</f>
        <v/>
      </c>
      <c r="E188" s="9">
        <f>SUM('Balance sheet (detail)'!B21,'Balance sheet (detail)'!B27)</f>
        <v/>
      </c>
      <c r="F188" s="9">
        <f>E188-D188</f>
        <v/>
      </c>
    </row>
    <row r="189">
      <c r="A189" s="20" t="inlineStr">
        <is>
          <t>Balance sheet (detail)</t>
        </is>
      </c>
      <c r="B189" s="20" t="inlineStr">
        <is>
          <t>Balance sheet identity: line 16 = line 26 + line 32 (EOY)</t>
        </is>
      </c>
      <c r="C189" s="20" t="inlineStr">
        <is>
          <t>FY2022</t>
        </is>
      </c>
      <c r="D189" s="9">
        <f>'Balance sheet (detail)'!C15</f>
        <v/>
      </c>
      <c r="E189" s="9">
        <f>SUM('Balance sheet (detail)'!C21,'Balance sheet (detail)'!C27)</f>
        <v/>
      </c>
      <c r="F189" s="9">
        <f>E189-D189</f>
        <v/>
      </c>
    </row>
    <row r="190">
      <c r="A190" s="20" t="inlineStr">
        <is>
          <t>Balance sheet (detail)</t>
        </is>
      </c>
      <c r="B190" s="20" t="inlineStr">
        <is>
          <t>Balance sheet identity: line 16 = line 26 + line 32 (EOY)</t>
        </is>
      </c>
      <c r="C190" s="20" t="inlineStr">
        <is>
          <t>FY2023</t>
        </is>
      </c>
      <c r="D190" s="9">
        <f>'Balance sheet (detail)'!D15</f>
        <v/>
      </c>
      <c r="E190" s="9">
        <f>SUM('Balance sheet (detail)'!D21,'Balance sheet (detail)'!D27)</f>
        <v/>
      </c>
      <c r="F190" s="9">
        <f>E190-D190</f>
        <v/>
      </c>
    </row>
    <row r="191">
      <c r="A191" s="20" t="inlineStr">
        <is>
          <t>Balance sheet (detail)</t>
        </is>
      </c>
      <c r="B191" s="20" t="inlineStr">
        <is>
          <t>Balance sheet identity: line 16 = line 26 + line 32 (EOY)</t>
        </is>
      </c>
      <c r="C191" s="20" t="inlineStr">
        <is>
          <t>FY2024</t>
        </is>
      </c>
      <c r="D191" s="9">
        <f>'Balance sheet (detail)'!E15</f>
        <v/>
      </c>
      <c r="E191" s="9">
        <f>SUM('Balance sheet (detail)'!E21,'Balance sheet (detail)'!E27)</f>
        <v/>
      </c>
      <c r="F191" s="9">
        <f>E191-D191</f>
        <v/>
      </c>
    </row>
    <row r="192">
      <c r="A192" s="20" t="inlineStr">
        <is>
          <t>Net-assets reconciliation</t>
        </is>
      </c>
      <c r="B192" s="20" t="inlineStr">
        <is>
          <t>10. Net assets, end of year</t>
        </is>
      </c>
      <c r="C192" s="20" t="inlineStr">
        <is>
          <t>FY2021</t>
        </is>
      </c>
      <c r="D192" s="9" t="n">
        <v>24885163</v>
      </c>
      <c r="E192" s="9">
        <f>'Net-assets reconciliation'!B11</f>
        <v/>
      </c>
      <c r="F192" s="9">
        <f>E192-D192</f>
        <v/>
      </c>
    </row>
    <row r="193">
      <c r="A193" s="20" t="inlineStr">
        <is>
          <t>Net-assets reconciliation</t>
        </is>
      </c>
      <c r="B193" s="20" t="inlineStr">
        <is>
          <t>10. Net assets, end of year</t>
        </is>
      </c>
      <c r="C193" s="20" t="inlineStr">
        <is>
          <t>FY2022</t>
        </is>
      </c>
      <c r="D193" s="9" t="n">
        <v>26666006</v>
      </c>
      <c r="E193" s="9">
        <f>'Net-assets reconciliation'!C11</f>
        <v/>
      </c>
      <c r="F193" s="9">
        <f>E193-D193</f>
        <v/>
      </c>
    </row>
    <row r="194">
      <c r="A194" s="20" t="inlineStr">
        <is>
          <t>Net-assets reconciliation</t>
        </is>
      </c>
      <c r="B194" s="20" t="inlineStr">
        <is>
          <t>10. Net assets, end of year</t>
        </is>
      </c>
      <c r="C194" s="20" t="inlineStr">
        <is>
          <t>FY2023</t>
        </is>
      </c>
      <c r="D194" s="9" t="n">
        <v>31521388</v>
      </c>
      <c r="E194" s="9">
        <f>'Net-assets reconciliation'!D11</f>
        <v/>
      </c>
      <c r="F194" s="9">
        <f>E194-D194</f>
        <v/>
      </c>
    </row>
    <row r="195">
      <c r="A195" s="20" t="inlineStr">
        <is>
          <t>Net-assets reconciliation</t>
        </is>
      </c>
      <c r="B195" s="20" t="inlineStr">
        <is>
          <t>10. Net assets, end of year</t>
        </is>
      </c>
      <c r="C195" s="20" t="inlineStr">
        <is>
          <t>FY2024</t>
        </is>
      </c>
      <c r="D195" s="9" t="n">
        <v>37197203</v>
      </c>
      <c r="E195" s="9">
        <f>'Net-assets reconciliation'!E11</f>
        <v/>
      </c>
      <c r="F195" s="9">
        <f>E195-D195</f>
        <v/>
      </c>
    </row>
    <row r="197">
      <c r="A197" s="46" t="inlineStr">
        <is>
          <t>D. Preparer / auditor trail (one row per fiscal year, as filed)</t>
        </is>
      </c>
      <c r="B197" s="7" t="n"/>
      <c r="C197" s="7" t="n"/>
      <c r="D197" s="7" t="n"/>
      <c r="E197" s="7" t="n"/>
      <c r="F197" s="7" t="n"/>
      <c r="G197" s="7" t="n"/>
      <c r="H197" s="7" t="n"/>
      <c r="I197" s="7" t="n"/>
      <c r="J197" s="7" t="n"/>
      <c r="K197" s="7" t="n"/>
    </row>
    <row r="198">
      <c r="A198" s="5" t="inlineStr">
        <is>
          <t>Fiscal year</t>
        </is>
      </c>
      <c r="B198" s="5" t="inlineStr">
        <is>
          <t>Paid preparer</t>
        </is>
      </c>
      <c r="C198" s="5" t="inlineStr">
        <is>
          <t>Preparer firm</t>
        </is>
      </c>
      <c r="D198" s="5" t="inlineStr">
        <is>
          <t>Independent auditor</t>
        </is>
      </c>
      <c r="E198" s="5" t="inlineStr">
        <is>
          <t>Citation</t>
        </is>
      </c>
    </row>
    <row r="199" ht="42" customHeight="1">
      <c r="A199" s="47" t="inlineStr">
        <is>
          <t>FY2021</t>
        </is>
      </c>
      <c r="B199" s="8" t="inlineStr">
        <is>
          <t>TRITIA FOSTER</t>
        </is>
      </c>
      <c r="C199" s="8" t="inlineStr">
        <is>
          <t>DAVIS FARR LLP</t>
        </is>
      </c>
      <c r="D199" s="49" t="inlineStr">
        <is>
          <t>not reported</t>
        </is>
      </c>
      <c r="E199" s="25" t="inlineStr">
        <is>
          <t>Form 990 Return Header, Paid Preparer block (return_header.preparer_person_name / preparer_firm_name); auditor: Part XII line 2 reports audited financial statements but does not name the firm.</t>
        </is>
      </c>
    </row>
    <row r="200" ht="42" customHeight="1">
      <c r="A200" s="47" t="inlineStr">
        <is>
          <t>FY2022</t>
        </is>
      </c>
      <c r="B200" s="8" t="inlineStr">
        <is>
          <t>TRITIA FOSTER</t>
        </is>
      </c>
      <c r="C200" s="8" t="inlineStr">
        <is>
          <t>DAVIS FARR LLP</t>
        </is>
      </c>
      <c r="D200" s="49" t="inlineStr">
        <is>
          <t>not reported</t>
        </is>
      </c>
      <c r="E200" s="25" t="inlineStr">
        <is>
          <t>Form 990 Return Header, Paid Preparer block (return_header.preparer_person_name / preparer_firm_name); auditor: Part XII line 2 reports audited financial statements but does not name the firm.</t>
        </is>
      </c>
    </row>
    <row r="201" ht="42" customHeight="1">
      <c r="A201" s="47" t="inlineStr">
        <is>
          <t>FY2023</t>
        </is>
      </c>
      <c r="B201" s="8" t="inlineStr">
        <is>
          <t>TRITIA FOSTER</t>
        </is>
      </c>
      <c r="C201" s="8" t="inlineStr">
        <is>
          <t>DAVIS FARR LLP</t>
        </is>
      </c>
      <c r="D201" s="49" t="inlineStr">
        <is>
          <t>not reported</t>
        </is>
      </c>
      <c r="E201" s="25" t="inlineStr">
        <is>
          <t>Form 990 Return Header, Paid Preparer block (return_header.preparer_person_name / preparer_firm_name); auditor: Part XII line 2 reports audited financial statements but does not name the firm.</t>
        </is>
      </c>
    </row>
    <row r="202" ht="42" customHeight="1">
      <c r="A202" s="47" t="inlineStr">
        <is>
          <t>FY2024</t>
        </is>
      </c>
      <c r="B202" s="8" t="inlineStr">
        <is>
          <t>TRITIA FOSTER</t>
        </is>
      </c>
      <c r="C202" s="8" t="inlineStr">
        <is>
          <t>DAVIS FARR LLP</t>
        </is>
      </c>
      <c r="D202" s="49" t="inlineStr">
        <is>
          <t>not reported</t>
        </is>
      </c>
      <c r="E202" s="25" t="inlineStr">
        <is>
          <t>Form 990 Return Header, Paid Preparer block (return_header.preparer_person_name / preparer_firm_name); auditor: Part XII line 2 reports audited financial statements but does not name the firm.</t>
        </is>
      </c>
    </row>
    <row r="204" ht="42" customHeight="1">
      <c r="A204"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04:K204"/>
    <mergeCell ref="A5:K5"/>
    <mergeCell ref="A1:K1"/>
  </mergeCells>
  <conditionalFormatting sqref="F166:F195">
    <cfRule type="cellIs" priority="1" operator="notEqual" dxfId="0">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