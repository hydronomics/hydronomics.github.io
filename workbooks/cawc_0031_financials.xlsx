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eAR revenue &amp; expenses" sheetId="14" state="visible" r:id="rId14"/>
    <sheet name="Denominators &amp; alignment" sheetId="15" state="visible" r:id="rId15"/>
    <sheet name="Governance evidence" sheetId="16" state="visible" r:id="rId16"/>
    <sheet name="Operational metrics" sheetId="17" state="visible" r:id="rId17"/>
    <sheet name="Supply &amp; weather" sheetId="18" state="visible" r:id="rId18"/>
    <sheet name="How this was built" sheetId="19" state="visible" r:id="rId19"/>
    <sheet name="Sources &amp; audit" sheetId="20" state="visible" r:id="rId20"/>
    <sheet name="Provenance" sheetId="21" state="visible" r:id="rId21"/>
  </sheets>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0"/>
    <numFmt numFmtId="167" formatCode="$#,##0.00###"/>
    <numFmt numFmtId="168" formatCode="#,##0.####"/>
    <numFmt numFmtId="169" formatCode="#,##0.0"/>
  </numFmts>
  <fonts count="12">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b val="1"/>
      <color rgb="00833C00"/>
      <sz val="10"/>
    </font>
    <font>
      <name val="Calibri"/>
      <i val="1"/>
      <color rgb="00A6A6A6"/>
      <sz val="10"/>
    </font>
    <font>
      <name val="Calibri"/>
      <b val="1"/>
      <color rgb="007F6000"/>
      <sz val="10"/>
    </font>
  </fonts>
  <fills count="8">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6" borderId="1" applyAlignment="1" pivotButton="0" quotePrefix="0" xfId="0">
      <alignment horizontal="left" vertical="center"/>
    </xf>
    <xf numFmtId="164" fontId="9" fillId="6" borderId="1" applyAlignment="1" pivotButton="0" quotePrefix="0" xfId="0">
      <alignment horizontal="right"/>
    </xf>
    <xf numFmtId="0" fontId="10" fillId="0"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3" fontId="6" fillId="0" borderId="1" applyAlignment="1" pivotButton="0" quotePrefix="0" xfId="0">
      <alignment horizontal="right"/>
    </xf>
    <xf numFmtId="0" fontId="3" fillId="0" borderId="1" applyAlignment="1" pivotButton="0" quotePrefix="0" xfId="0">
      <alignment horizontal="left" vertical="top" wrapText="1"/>
    </xf>
    <xf numFmtId="0" fontId="6" fillId="0" borderId="1" applyAlignment="1" pivotButton="0" quotePrefix="0" xfId="0">
      <alignment horizontal="left" vertical="top" wrapText="1"/>
    </xf>
    <xf numFmtId="0" fontId="8" fillId="0" borderId="1" applyAlignment="1" pivotButton="0" quotePrefix="0" xfId="0">
      <alignment horizontal="center" vertical="center"/>
    </xf>
    <xf numFmtId="166" fontId="6" fillId="0" borderId="1" applyAlignment="1" pivotButton="0" quotePrefix="0" xfId="0">
      <alignment horizontal="right"/>
    </xf>
    <xf numFmtId="10" fontId="6" fillId="0" borderId="1" applyAlignment="1" pivotButton="0" quotePrefix="0" xfId="0">
      <alignment horizontal="right"/>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0" applyAlignment="1" pivotButton="0" quotePrefix="0" xfId="0">
      <alignment horizontal="left" vertical="top" wrapText="1"/>
    </xf>
    <xf numFmtId="0" fontId="0" fillId="2" borderId="1" pivotButton="0" quotePrefix="0" xfId="0"/>
    <xf numFmtId="4" fontId="11" fillId="7" borderId="1" applyAlignment="1" pivotButton="0" quotePrefix="0" xfId="0">
      <alignment horizontal="right"/>
    </xf>
    <xf numFmtId="1" fontId="11" fillId="7" borderId="1" applyAlignment="1" pivotButton="0" quotePrefix="0" xfId="0">
      <alignment horizontal="right"/>
    </xf>
    <xf numFmtId="0" fontId="4" fillId="2" borderId="1" applyAlignment="1" pivotButton="0" quotePrefix="0" xfId="0">
      <alignment horizontal="right"/>
    </xf>
    <xf numFmtId="167" fontId="6" fillId="0" borderId="1" applyAlignment="1" pivotButton="0" quotePrefix="0" xfId="0">
      <alignment horizontal="right"/>
    </xf>
    <xf numFmtId="168" fontId="6" fillId="0" borderId="1" applyAlignment="1" pivotButton="0" quotePrefix="0" xfId="0">
      <alignment horizontal="right"/>
    </xf>
    <xf numFmtId="4" fontId="8" fillId="5" borderId="1" applyAlignment="1" pivotButton="0" quotePrefix="0" xfId="0">
      <alignment horizontal="right"/>
    </xf>
    <xf numFmtId="166" fontId="8" fillId="5" borderId="1" applyAlignment="1" pivotButton="0" quotePrefix="0" xfId="0">
      <alignment horizontal="right"/>
    </xf>
    <xf numFmtId="166" fontId="8" fillId="4" borderId="1" applyAlignment="1" pivotButton="0" quotePrefix="0" xfId="0">
      <alignment horizontal="right"/>
    </xf>
    <xf numFmtId="10" fontId="8" fillId="5" borderId="1" applyAlignment="1" pivotButton="0" quotePrefix="0" xfId="0">
      <alignment horizontal="right"/>
    </xf>
    <xf numFmtId="2" fontId="8" fillId="5" borderId="1" applyAlignment="1" pivotButton="0" quotePrefix="0" xfId="0">
      <alignment horizontal="right"/>
    </xf>
    <xf numFmtId="0" fontId="8" fillId="0" borderId="1" applyAlignment="1" pivotButton="0" quotePrefix="0" xfId="0">
      <alignment horizontal="left" vertical="center"/>
    </xf>
    <xf numFmtId="164" fontId="7" fillId="0" borderId="1" applyAlignment="1" pivotButton="0" quotePrefix="0" xfId="0">
      <alignment horizontal="right"/>
    </xf>
    <xf numFmtId="0" fontId="0" fillId="0" borderId="1" pivotButton="0" quotePrefix="0" xfId="0"/>
    <xf numFmtId="0" fontId="5" fillId="3" borderId="0" applyAlignment="1" pivotButton="0" quotePrefix="0" xfId="0">
      <alignment horizontal="left" vertical="center"/>
    </xf>
    <xf numFmtId="0" fontId="6" fillId="0" borderId="1" applyAlignment="1" pivotButton="0" quotePrefix="0" xfId="0">
      <alignment horizontal="center" vertical="center"/>
    </xf>
    <xf numFmtId="169" fontId="6" fillId="0" borderId="1" applyAlignment="1" pivotButton="0" quotePrefix="0" xfId="0">
      <alignment horizontal="right"/>
    </xf>
    <xf numFmtId="0" fontId="10"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Sacramento and San Joaquin Valley index classification</t>
      </text>
    </comment>
    <comment ref="B9" authorId="0" shapeId="0">
      <text>
        <t>peak weekly category over Jul 2019-Jun 2020 (moderate)</t>
      </text>
    </comment>
    <comment ref="C9" authorId="0" shapeId="0">
      <text>
        <t>peak weekly category over Jul 2020-Jun 2021 (exceptional)</t>
      </text>
    </comment>
    <comment ref="D9" authorId="0" shapeId="0">
      <text>
        <t>peak weekly category over Jul 2021-Jun 2022 (exceptional)</t>
      </text>
    </comment>
    <comment ref="E9" authorId="0" shapeId="0">
      <text>
        <t>peak weekly category over Jul 2022-Jun 2023 (exceptional)</t>
      </text>
    </comment>
    <comment ref="F9" authorId="0" shapeId="0">
      <text>
        <t>peak weekly category over Jul 2023-Jun 2024 (none)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43.0 in / 50 in seasonal normal; statewide SWP-supply index, not local precipitation</t>
      </text>
    </comment>
    <comment ref="E10" authorId="0" shapeId="0">
      <text>
        <t>water-year cumulative 66.6 in / 50 in seasonal normal; statewide SWP-supply index, not local precipitation</t>
      </text>
    </comment>
    <comment ref="F10" authorId="0" shapeId="0">
      <text>
        <t>water-year cumulative 48.2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E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s>
  <sheetData>
    <row r="1">
      <c r="A1" s="1" t="inlineStr">
        <is>
          <t>Montebello Land and Water Company</t>
        </is>
      </c>
    </row>
    <row r="2">
      <c r="A2" s="2" t="inlineStr">
        <is>
          <t>Financial Summary - multi-year overview (USD)</t>
        </is>
      </c>
    </row>
    <row r="3">
      <c r="A3" s="2" t="inlineStr">
        <is>
          <t>Entity ID: cawc_0031   |   Fiscal year ends June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FY2021</t>
        </is>
      </c>
      <c r="C8" s="5" t="inlineStr">
        <is>
          <t>FY2022</t>
        </is>
      </c>
      <c r="D8" s="5" t="inlineStr">
        <is>
          <t>FY2023</t>
        </is>
      </c>
      <c r="E8" s="5" t="inlineStr">
        <is>
          <t>FY2024</t>
        </is>
      </c>
    </row>
    <row r="9">
      <c r="A9" s="6" t="inlineStr">
        <is>
          <t>Operating results (USD)</t>
        </is>
      </c>
      <c r="B9" s="7" t="n"/>
      <c r="C9" s="7" t="n"/>
      <c r="D9" s="7" t="n"/>
      <c r="E9" s="7" t="n"/>
    </row>
    <row r="10">
      <c r="A10" s="8" t="inlineStr">
        <is>
          <t xml:space="preserve">    Total revenue</t>
        </is>
      </c>
      <c r="B10" s="9" t="n">
        <v>6119676</v>
      </c>
      <c r="C10" s="9" t="n">
        <v>6771352</v>
      </c>
      <c r="D10" s="9" t="n">
        <v>10023447</v>
      </c>
      <c r="E10" s="9" t="n">
        <v>10411332</v>
      </c>
    </row>
    <row r="11">
      <c r="A11" s="8" t="inlineStr">
        <is>
          <t xml:space="preserve">    Total expenses</t>
        </is>
      </c>
      <c r="B11" s="9" t="n">
        <v>4983572</v>
      </c>
      <c r="C11" s="9" t="n">
        <v>4810920</v>
      </c>
      <c r="D11" s="9" t="n">
        <v>4786324</v>
      </c>
      <c r="E11" s="9" t="n">
        <v>4760974</v>
      </c>
    </row>
    <row r="12">
      <c r="A12" s="10" t="inlineStr">
        <is>
          <t xml:space="preserve">    Net income</t>
        </is>
      </c>
      <c r="B12" s="11" t="n">
        <v>1136104</v>
      </c>
      <c r="C12" s="11" t="n">
        <v>1960432</v>
      </c>
      <c r="D12" s="11" t="n">
        <v>5237123</v>
      </c>
      <c r="E12" s="11" t="n">
        <v>5650358</v>
      </c>
    </row>
    <row r="14">
      <c r="A14" s="6" t="inlineStr">
        <is>
          <t>Financial position (USD, end of year)</t>
        </is>
      </c>
      <c r="B14" s="7" t="n"/>
      <c r="C14" s="7" t="n"/>
      <c r="D14" s="7" t="n"/>
      <c r="E14" s="7" t="n"/>
    </row>
    <row r="15">
      <c r="A15" s="8" t="inlineStr">
        <is>
          <t xml:space="preserve">    Total assets</t>
        </is>
      </c>
      <c r="B15" s="9" t="n">
        <v>25302243</v>
      </c>
      <c r="C15" s="9" t="n">
        <v>27602664</v>
      </c>
      <c r="D15" s="9" t="n">
        <v>32912596</v>
      </c>
      <c r="E15" s="9" t="n">
        <v>37967556</v>
      </c>
    </row>
    <row r="16">
      <c r="A16" s="8" t="inlineStr">
        <is>
          <t xml:space="preserve">    Total liabilities</t>
        </is>
      </c>
      <c r="B16" s="9" t="n">
        <v>417080</v>
      </c>
      <c r="C16" s="9" t="n">
        <v>936658</v>
      </c>
      <c r="D16" s="9" t="n">
        <v>1391208</v>
      </c>
      <c r="E16" s="9" t="n">
        <v>770353</v>
      </c>
    </row>
    <row r="17">
      <c r="A17" s="10" t="inlineStr">
        <is>
          <t xml:space="preserve">    Net assets</t>
        </is>
      </c>
      <c r="B17" s="11" t="n">
        <v>24885163</v>
      </c>
      <c r="C17" s="11" t="n">
        <v>26666006</v>
      </c>
      <c r="D17" s="11" t="n">
        <v>31521388</v>
      </c>
      <c r="E17" s="11" t="n">
        <v>37197203</v>
      </c>
    </row>
    <row r="19">
      <c r="A19" s="6" t="inlineStr">
        <is>
          <t>Headline ratios</t>
        </is>
      </c>
      <c r="B19" s="7" t="n"/>
      <c r="C19" s="7" t="n"/>
      <c r="D19" s="7" t="n"/>
      <c r="E19" s="7" t="n"/>
    </row>
    <row r="20">
      <c r="A20" s="8" t="inlineStr">
        <is>
          <t xml:space="preserve">    Operating margin</t>
        </is>
      </c>
      <c r="B20" s="12" t="n">
        <v>0.185647736906333</v>
      </c>
      <c r="C20" s="12" t="n">
        <v>0.2895185481422322</v>
      </c>
      <c r="D20" s="12" t="n">
        <v>0.5224872242054056</v>
      </c>
      <c r="E20" s="12" t="n">
        <v>0.5427123061679332</v>
      </c>
    </row>
    <row r="21">
      <c r="A21" s="8" t="inlineStr">
        <is>
          <t xml:space="preserve">    Revenue growth (YoY)</t>
        </is>
      </c>
      <c r="B21" s="12" t="n">
        <v>-0.001768854844287271</v>
      </c>
      <c r="C21" s="12" t="n">
        <v>0.1064886441700508</v>
      </c>
      <c r="D21" s="12" t="n">
        <v>0.4802726250237767</v>
      </c>
      <c r="E21" s="12" t="n">
        <v>0.03869776534958483</v>
      </c>
    </row>
    <row r="22">
      <c r="A22" s="8" t="inlineStr">
        <is>
          <t xml:space="preserve">    Return on assets</t>
        </is>
      </c>
      <c r="B22" s="12" t="n">
        <v>0.04490131566596685</v>
      </c>
      <c r="C22" s="12" t="n">
        <v>0.07102328963610179</v>
      </c>
      <c r="D22" s="12" t="n">
        <v>0.1591221488575377</v>
      </c>
      <c r="E22" s="12" t="n">
        <v>0.1488206931201998</v>
      </c>
    </row>
    <row r="24" ht="42" customHeight="1">
      <c r="A24" s="3" t="inlineStr">
        <is>
          <t>Figures as reported in source filings (full provenance on the Sources &amp; audit tab). Parentheses denote negatives; ratios are computed upstream in financials_annual.</t>
        </is>
      </c>
    </row>
  </sheetData>
  <mergeCells count="6">
    <mergeCell ref="A24:E24"/>
    <mergeCell ref="A2:E2"/>
    <mergeCell ref="A1:E1"/>
    <mergeCell ref="A5:E5"/>
    <mergeCell ref="A6:E6"/>
    <mergeCell ref="A3:E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s>
  <sheetData>
    <row r="1">
      <c r="A1" s="1" t="inlineStr">
        <is>
          <t>Montebello Land and Water Company</t>
        </is>
      </c>
    </row>
    <row r="2">
      <c r="A2" s="2" t="inlineStr">
        <is>
          <t>Financial Statements - income statement, balance sheet, cash flow, member income test (USD)</t>
        </is>
      </c>
    </row>
    <row r="3">
      <c r="A3" s="2" t="inlineStr">
        <is>
          <t>Entity ID: cawc_0031   |   Fiscal year ends June 30.</t>
        </is>
      </c>
    </row>
    <row r="5">
      <c r="A5" s="6" t="inlineStr">
        <is>
          <t>INCOME STATEMENT - as reported (USD)</t>
        </is>
      </c>
      <c r="B5" s="7" t="n"/>
      <c r="C5" s="7" t="n"/>
      <c r="D5" s="7" t="n"/>
      <c r="E5" s="7" t="n"/>
    </row>
    <row r="6">
      <c r="A6" s="4" t="inlineStr">
        <is>
          <t>Line item</t>
        </is>
      </c>
      <c r="B6" s="5" t="inlineStr">
        <is>
          <t>FY2021</t>
        </is>
      </c>
      <c r="C6" s="5" t="inlineStr">
        <is>
          <t>FY2022</t>
        </is>
      </c>
      <c r="D6" s="5" t="inlineStr">
        <is>
          <t>FY2023</t>
        </is>
      </c>
      <c r="E6" s="5" t="inlineStr">
        <is>
          <t>FY2024</t>
        </is>
      </c>
    </row>
    <row r="7">
      <c r="A7" s="6" t="inlineStr">
        <is>
          <t>Revenue</t>
        </is>
      </c>
      <c r="B7" s="7" t="n"/>
      <c r="C7" s="7" t="n"/>
      <c r="D7" s="7" t="n"/>
      <c r="E7" s="7" t="n"/>
    </row>
    <row r="8">
      <c r="A8" s="8" t="inlineStr">
        <is>
          <t xml:space="preserve">    Program service revenue</t>
        </is>
      </c>
      <c r="B8" s="9" t="n">
        <v>6001213</v>
      </c>
      <c r="C8" s="9" t="n">
        <v>6537460</v>
      </c>
      <c r="D8" s="9" t="n">
        <v>6548139</v>
      </c>
      <c r="E8" s="9" t="n">
        <v>6786362</v>
      </c>
    </row>
    <row r="9">
      <c r="A9" s="8" t="inlineStr">
        <is>
          <t xml:space="preserve">    Investment income</t>
        </is>
      </c>
      <c r="B9" s="9" t="n">
        <v>79468</v>
      </c>
      <c r="C9" s="9" t="n">
        <v>76951</v>
      </c>
      <c r="D9" s="9" t="n">
        <v>175461</v>
      </c>
      <c r="E9" s="9" t="n">
        <v>314633</v>
      </c>
    </row>
    <row r="10">
      <c r="A10" s="8" t="inlineStr">
        <is>
          <t xml:space="preserve">    Net rental income</t>
        </is>
      </c>
      <c r="B10" s="9" t="n"/>
      <c r="C10" s="9" t="n"/>
      <c r="D10" s="9" t="n"/>
      <c r="E10" s="9" t="n"/>
    </row>
    <row r="11">
      <c r="A11" s="8" t="inlineStr">
        <is>
          <t xml:space="preserve">    Net gain/(loss) on investment sales</t>
        </is>
      </c>
      <c r="B11" s="9" t="n">
        <v>1500</v>
      </c>
      <c r="C11" s="9" t="n">
        <v>10000</v>
      </c>
      <c r="D11" s="9" t="n"/>
      <c r="E11" s="9" t="n">
        <v>11000</v>
      </c>
    </row>
    <row r="12">
      <c r="A12" s="8" t="inlineStr">
        <is>
          <t xml:space="preserve">    Other revenue</t>
        </is>
      </c>
      <c r="B12" s="9" t="n">
        <v>37495</v>
      </c>
      <c r="C12" s="9" t="n">
        <v>107070</v>
      </c>
      <c r="D12" s="9" t="n">
        <v>369379</v>
      </c>
      <c r="E12" s="9" t="n">
        <v>1001189</v>
      </c>
    </row>
    <row r="13">
      <c r="A13" s="8" t="inlineStr">
        <is>
          <t xml:space="preserve">    Contributions &amp; grants</t>
        </is>
      </c>
      <c r="B13" s="9" t="n"/>
      <c r="C13" s="9" t="n">
        <v>39871</v>
      </c>
      <c r="D13" s="9" t="n">
        <v>2930468</v>
      </c>
      <c r="E13" s="9" t="n">
        <v>2298148</v>
      </c>
    </row>
    <row r="14">
      <c r="A14" s="10" t="inlineStr">
        <is>
          <t>Total revenue</t>
        </is>
      </c>
      <c r="B14" s="11" t="n">
        <v>6119676</v>
      </c>
      <c r="C14" s="11" t="n">
        <v>6771352</v>
      </c>
      <c r="D14" s="11" t="n">
        <v>10023447</v>
      </c>
      <c r="E14" s="11" t="n">
        <v>10411332</v>
      </c>
    </row>
    <row r="16">
      <c r="A16" s="6" t="inlineStr">
        <is>
          <t>Expenses</t>
        </is>
      </c>
      <c r="B16" s="7" t="n"/>
      <c r="C16" s="7" t="n"/>
      <c r="D16" s="7" t="n"/>
      <c r="E16" s="7" t="n"/>
    </row>
    <row r="17">
      <c r="A17" s="8" t="inlineStr">
        <is>
          <t xml:space="preserve">    Depreciation</t>
        </is>
      </c>
      <c r="B17" s="9" t="n">
        <v>700696</v>
      </c>
      <c r="C17" s="9" t="n">
        <v>705040</v>
      </c>
      <c r="D17" s="9" t="n">
        <v>701606</v>
      </c>
      <c r="E17" s="9" t="n">
        <v>719217</v>
      </c>
    </row>
    <row r="18">
      <c r="A18" s="8" t="inlineStr">
        <is>
          <t xml:space="preserve">    Interest expense</t>
        </is>
      </c>
      <c r="B18" s="9" t="n"/>
      <c r="C18" s="9" t="n"/>
      <c r="D18" s="9" t="n"/>
      <c r="E18" s="9" t="n"/>
    </row>
    <row r="19">
      <c r="A19" s="10" t="inlineStr">
        <is>
          <t>Total expenses</t>
        </is>
      </c>
      <c r="B19" s="11" t="n">
        <v>4983572</v>
      </c>
      <c r="C19" s="11" t="n">
        <v>4810920</v>
      </c>
      <c r="D19" s="11" t="n">
        <v>4786324</v>
      </c>
      <c r="E19" s="11" t="n">
        <v>4760974</v>
      </c>
    </row>
    <row r="21">
      <c r="A21" s="10" t="inlineStr">
        <is>
          <t>Net income</t>
        </is>
      </c>
      <c r="B21" s="11" t="n">
        <v>1136104</v>
      </c>
      <c r="C21" s="11" t="n">
        <v>1960432</v>
      </c>
      <c r="D21" s="11" t="n">
        <v>5237123</v>
      </c>
      <c r="E21" s="11" t="n">
        <v>5650358</v>
      </c>
    </row>
    <row r="24">
      <c r="A24" s="6" t="inlineStr">
        <is>
          <t>BALANCE SHEET - as reported (USD, end of year)</t>
        </is>
      </c>
      <c r="B24" s="7" t="n"/>
      <c r="C24" s="7" t="n"/>
      <c r="D24" s="7" t="n"/>
      <c r="E24" s="7" t="n"/>
    </row>
    <row r="25">
      <c r="A25" s="4" t="inlineStr">
        <is>
          <t>Line item</t>
        </is>
      </c>
      <c r="B25" s="5" t="inlineStr">
        <is>
          <t>FY2021</t>
        </is>
      </c>
      <c r="C25" s="5" t="inlineStr">
        <is>
          <t>FY2022</t>
        </is>
      </c>
      <c r="D25" s="5" t="inlineStr">
        <is>
          <t>FY2023</t>
        </is>
      </c>
      <c r="E25" s="5" t="inlineStr">
        <is>
          <t>FY2024</t>
        </is>
      </c>
    </row>
    <row r="26">
      <c r="A26" s="6" t="inlineStr">
        <is>
          <t>Assets</t>
        </is>
      </c>
      <c r="B26" s="7" t="n"/>
      <c r="C26" s="7" t="n"/>
      <c r="D26" s="7" t="n"/>
      <c r="E26" s="7" t="n"/>
    </row>
    <row r="27">
      <c r="A27" s="8" t="inlineStr">
        <is>
          <t xml:space="preserve">    Cash</t>
        </is>
      </c>
      <c r="B27" s="9" t="n">
        <v>57818</v>
      </c>
      <c r="C27" s="9" t="n">
        <v>517176</v>
      </c>
      <c r="D27" s="9" t="n">
        <v>543443</v>
      </c>
      <c r="E27" s="9" t="n">
        <v>217947</v>
      </c>
    </row>
    <row r="28">
      <c r="A28" s="8" t="inlineStr">
        <is>
          <t xml:space="preserve">    Savings &amp; temporary investments</t>
        </is>
      </c>
      <c r="B28" s="9" t="n">
        <v>4428799</v>
      </c>
      <c r="C28" s="9" t="n">
        <v>3142076</v>
      </c>
      <c r="D28" s="9" t="n">
        <v>6967537</v>
      </c>
      <c r="E28" s="9" t="n">
        <v>6250170</v>
      </c>
    </row>
    <row r="29">
      <c r="A29" s="8" t="inlineStr">
        <is>
          <t xml:space="preserve">    Accounts receivable</t>
        </is>
      </c>
      <c r="B29" s="9" t="n">
        <v>751576</v>
      </c>
      <c r="C29" s="9" t="n">
        <v>845963</v>
      </c>
      <c r="D29" s="9" t="n">
        <v>1373920</v>
      </c>
      <c r="E29" s="9" t="n">
        <v>2474145</v>
      </c>
    </row>
    <row r="30">
      <c r="A30" s="8" t="inlineStr">
        <is>
          <t xml:space="preserve">    Inventories</t>
        </is>
      </c>
      <c r="B30" s="9" t="n">
        <v>257880</v>
      </c>
      <c r="C30" s="9" t="n">
        <v>484939</v>
      </c>
      <c r="D30" s="9" t="n">
        <v>410183</v>
      </c>
      <c r="E30" s="9" t="n">
        <v>369901</v>
      </c>
    </row>
    <row r="31">
      <c r="A31" s="8" t="inlineStr">
        <is>
          <t xml:space="preserve">    Prepaid expenses</t>
        </is>
      </c>
      <c r="B31" s="9" t="n">
        <v>115546</v>
      </c>
      <c r="C31" s="9" t="n">
        <v>132648</v>
      </c>
      <c r="D31" s="9" t="n">
        <v>135542</v>
      </c>
      <c r="E31" s="9" t="n">
        <v>158416</v>
      </c>
    </row>
    <row r="32">
      <c r="A32" s="8" t="inlineStr">
        <is>
          <t xml:space="preserve">    Property, plant &amp; equipment (gross)</t>
        </is>
      </c>
      <c r="B32" s="9" t="n">
        <v>26912273</v>
      </c>
      <c r="C32" s="9" t="n">
        <v>27184987</v>
      </c>
      <c r="D32" s="9" t="n">
        <v>27816833</v>
      </c>
      <c r="E32" s="9" t="n">
        <v>28532464</v>
      </c>
    </row>
    <row r="33">
      <c r="A33" s="8" t="inlineStr">
        <is>
          <t xml:space="preserve">    Less: accumulated depreciation</t>
        </is>
      </c>
      <c r="B33" s="9" t="n">
        <v>-13314739</v>
      </c>
      <c r="C33" s="9" t="n">
        <v>-13982616</v>
      </c>
      <c r="D33" s="9" t="n">
        <v>-14684223</v>
      </c>
      <c r="E33" s="9" t="n">
        <v>-15368858</v>
      </c>
    </row>
    <row r="34">
      <c r="A34" s="10" t="inlineStr">
        <is>
          <t xml:space="preserve">    Net property, plant &amp; equipment</t>
        </is>
      </c>
      <c r="B34" s="11" t="n">
        <v>13597534</v>
      </c>
      <c r="C34" s="11" t="n">
        <v>13202371</v>
      </c>
      <c r="D34" s="11" t="n">
        <v>13132610</v>
      </c>
      <c r="E34" s="11" t="n">
        <v>13163606</v>
      </c>
    </row>
    <row r="35">
      <c r="A35" s="10" t="inlineStr">
        <is>
          <t>Total assets</t>
        </is>
      </c>
      <c r="B35" s="11" t="n">
        <v>25302243</v>
      </c>
      <c r="C35" s="11" t="n">
        <v>27602664</v>
      </c>
      <c r="D35" s="11" t="n">
        <v>32912596</v>
      </c>
      <c r="E35" s="11" t="n">
        <v>37967556</v>
      </c>
    </row>
    <row r="37">
      <c r="A37" s="6" t="inlineStr">
        <is>
          <t>Liabilities</t>
        </is>
      </c>
      <c r="B37" s="7" t="n"/>
      <c r="C37" s="7" t="n"/>
      <c r="D37" s="7" t="n"/>
      <c r="E37" s="7" t="n"/>
    </row>
    <row r="38">
      <c r="A38" s="8" t="inlineStr">
        <is>
          <t xml:space="preserve">    Accounts payable</t>
        </is>
      </c>
      <c r="B38" s="9" t="n">
        <v>42845</v>
      </c>
      <c r="C38" s="9" t="n">
        <v>53260</v>
      </c>
      <c r="D38" s="9" t="n">
        <v>209524</v>
      </c>
      <c r="E38" s="9" t="n">
        <v>482643</v>
      </c>
    </row>
    <row r="39">
      <c r="A39" s="8" t="inlineStr">
        <is>
          <t xml:space="preserve">    Mortgages &amp; notes payable</t>
        </is>
      </c>
      <c r="B39" s="9" t="n"/>
      <c r="C39" s="9" t="n"/>
      <c r="D39" s="9" t="n"/>
      <c r="E39" s="9" t="n"/>
    </row>
    <row r="40">
      <c r="A40" s="10" t="inlineStr">
        <is>
          <t>Total liabilities</t>
        </is>
      </c>
      <c r="B40" s="11" t="n">
        <v>417080</v>
      </c>
      <c r="C40" s="11" t="n">
        <v>936658</v>
      </c>
      <c r="D40" s="11" t="n">
        <v>1391208</v>
      </c>
      <c r="E40" s="11" t="n">
        <v>770353</v>
      </c>
    </row>
    <row r="42">
      <c r="A42" s="6" t="inlineStr">
        <is>
          <t>Net Assets / Equity</t>
        </is>
      </c>
      <c r="B42" s="7" t="n"/>
      <c r="C42" s="7" t="n"/>
      <c r="D42" s="7" t="n"/>
      <c r="E42" s="7" t="n"/>
    </row>
    <row r="43">
      <c r="A43" s="8" t="inlineStr">
        <is>
          <t xml:space="preserve">    Capital stock</t>
        </is>
      </c>
      <c r="B43" s="9" t="n">
        <v>77813</v>
      </c>
      <c r="C43" s="9" t="n">
        <v>77813</v>
      </c>
      <c r="D43" s="9" t="n">
        <v>77813</v>
      </c>
      <c r="E43" s="9" t="n">
        <v>77813</v>
      </c>
    </row>
    <row r="44">
      <c r="A44" s="8" t="inlineStr">
        <is>
          <t xml:space="preserve">    Paid-in capital</t>
        </is>
      </c>
      <c r="B44" s="9" t="n">
        <v>3512</v>
      </c>
      <c r="C44" s="9" t="n">
        <v>3512</v>
      </c>
      <c r="D44" s="9" t="n">
        <v>3512</v>
      </c>
      <c r="E44" s="9" t="n">
        <v>3512</v>
      </c>
    </row>
    <row r="45">
      <c r="A45" s="8" t="inlineStr">
        <is>
          <t xml:space="preserve">    Retained earnings</t>
        </is>
      </c>
      <c r="B45" s="9" t="n">
        <v>24803838</v>
      </c>
      <c r="C45" s="9" t="n">
        <v>26584681</v>
      </c>
      <c r="D45" s="9" t="n">
        <v>31440063</v>
      </c>
      <c r="E45" s="9" t="n">
        <v>37115878</v>
      </c>
    </row>
    <row r="46">
      <c r="A46" s="10" t="inlineStr">
        <is>
          <t>Net assets</t>
        </is>
      </c>
      <c r="B46" s="11" t="n">
        <v>24885163</v>
      </c>
      <c r="C46" s="11" t="n">
        <v>26666006</v>
      </c>
      <c r="D46" s="11" t="n">
        <v>31521388</v>
      </c>
      <c r="E46" s="11" t="n">
        <v>37197203</v>
      </c>
    </row>
    <row r="49">
      <c r="A49" s="6" t="inlineStr">
        <is>
          <t>CASH FLOW - derived proxy (USD)</t>
        </is>
      </c>
      <c r="B49" s="7" t="n"/>
      <c r="C49" s="7" t="n"/>
      <c r="D49" s="7" t="n"/>
      <c r="E49" s="7" t="n"/>
    </row>
    <row r="50">
      <c r="A50" s="4" t="inlineStr">
        <is>
          <t>Proxy line</t>
        </is>
      </c>
      <c r="B50" s="5" t="inlineStr">
        <is>
          <t>FY2021</t>
        </is>
      </c>
      <c r="C50" s="5" t="inlineStr">
        <is>
          <t>FY2022</t>
        </is>
      </c>
      <c r="D50" s="5" t="inlineStr">
        <is>
          <t>FY2023</t>
        </is>
      </c>
      <c r="E50" s="5" t="inlineStr">
        <is>
          <t>FY2024</t>
        </is>
      </c>
    </row>
    <row r="51">
      <c r="A51" s="6" t="inlineStr">
        <is>
          <t>Operating</t>
        </is>
      </c>
      <c r="B51" s="7" t="n"/>
      <c r="C51" s="7" t="n"/>
      <c r="D51" s="7" t="n"/>
      <c r="E51" s="7" t="n"/>
    </row>
    <row r="52">
      <c r="A52" s="8" t="inlineStr">
        <is>
          <t xml:space="preserve">    Net income</t>
        </is>
      </c>
      <c r="B52" s="9" t="n">
        <v>1136104</v>
      </c>
      <c r="C52" s="9" t="n">
        <v>1960432</v>
      </c>
      <c r="D52" s="9" t="n">
        <v>5237123</v>
      </c>
      <c r="E52" s="9" t="n">
        <v>5650358</v>
      </c>
    </row>
    <row r="53">
      <c r="A53" s="8" t="inlineStr">
        <is>
          <t xml:space="preserve">    + Depreciation (reported)</t>
        </is>
      </c>
      <c r="B53" s="9" t="n">
        <v>700696</v>
      </c>
      <c r="C53" s="9" t="n">
        <v>705040</v>
      </c>
      <c r="D53" s="9" t="n">
        <v>701606</v>
      </c>
      <c r="E53" s="9" t="n">
        <v>719217</v>
      </c>
    </row>
    <row r="54">
      <c r="A54" s="8" t="inlineStr">
        <is>
          <t xml:space="preserve">    − Δ Accounts receivable</t>
        </is>
      </c>
      <c r="B54" s="9" t="n"/>
      <c r="C54" s="9" t="n">
        <v>-94387</v>
      </c>
      <c r="D54" s="9" t="n">
        <v>-527957</v>
      </c>
      <c r="E54" s="9" t="n">
        <v>-1100225</v>
      </c>
    </row>
    <row r="55">
      <c r="A55" s="8" t="inlineStr">
        <is>
          <t xml:space="preserve">    − Δ Inventories</t>
        </is>
      </c>
      <c r="B55" s="9" t="n"/>
      <c r="C55" s="9" t="n">
        <v>-227059</v>
      </c>
      <c r="D55" s="9" t="n">
        <v>74756</v>
      </c>
      <c r="E55" s="9" t="n">
        <v>40282</v>
      </c>
    </row>
    <row r="56">
      <c r="A56" s="8" t="inlineStr">
        <is>
          <t xml:space="preserve">    − Δ Prepaid expenses</t>
        </is>
      </c>
      <c r="B56" s="9" t="n"/>
      <c r="C56" s="9" t="n">
        <v>-17102</v>
      </c>
      <c r="D56" s="9" t="n">
        <v>-2894</v>
      </c>
      <c r="E56" s="9" t="n">
        <v>-22874</v>
      </c>
    </row>
    <row r="57">
      <c r="A57" s="8" t="inlineStr">
        <is>
          <t xml:space="preserve">    + Δ Accounts payable</t>
        </is>
      </c>
      <c r="B57" s="9" t="n"/>
      <c r="C57" s="9" t="n">
        <v>10415</v>
      </c>
      <c r="D57" s="9" t="n">
        <v>156264</v>
      </c>
      <c r="E57" s="9" t="n">
        <v>273119</v>
      </c>
    </row>
    <row r="58">
      <c r="A58" s="10" t="inlineStr">
        <is>
          <t xml:space="preserve">    Operating cash flow proxy</t>
        </is>
      </c>
      <c r="B58" s="11" t="n"/>
      <c r="C58" s="11" t="n">
        <v>2337339</v>
      </c>
      <c r="D58" s="11" t="n">
        <v>5638898</v>
      </c>
      <c r="E58" s="11" t="n">
        <v>5559877</v>
      </c>
    </row>
    <row r="60">
      <c r="A60" s="6" t="inlineStr">
        <is>
          <t>Investing</t>
        </is>
      </c>
      <c r="B60" s="7" t="n"/>
      <c r="C60" s="7" t="n"/>
      <c r="D60" s="7" t="n"/>
      <c r="E60" s="7" t="n"/>
    </row>
    <row r="61">
      <c r="A61" s="8" t="inlineStr">
        <is>
          <t xml:space="preserve">    − Δ PP&amp;E gross (capex proxy)</t>
        </is>
      </c>
      <c r="B61" s="9" t="n"/>
      <c r="C61" s="9" t="n">
        <v>-272714</v>
      </c>
      <c r="D61" s="9" t="n">
        <v>-631846</v>
      </c>
      <c r="E61" s="9" t="n">
        <v>-715631</v>
      </c>
    </row>
    <row r="63">
      <c r="A63" s="6" t="inlineStr">
        <is>
          <t>Financing</t>
        </is>
      </c>
      <c r="B63" s="7" t="n"/>
      <c r="C63" s="7" t="n"/>
      <c r="D63" s="7" t="n"/>
      <c r="E63" s="7" t="n"/>
    </row>
    <row r="64">
      <c r="A64" s="8" t="inlineStr">
        <is>
          <t xml:space="preserve">    Δ Mortgages &amp; notes payable</t>
        </is>
      </c>
      <c r="B64" s="9" t="n"/>
      <c r="C64" s="9" t="n"/>
      <c r="D64" s="9" t="n"/>
      <c r="E64" s="9" t="n"/>
    </row>
    <row r="66">
      <c r="A66" s="6" t="inlineStr">
        <is>
          <t>Reconciliation</t>
        </is>
      </c>
      <c r="B66" s="7" t="n"/>
      <c r="C66" s="7" t="n"/>
      <c r="D66" s="7" t="n"/>
      <c r="E66" s="7" t="n"/>
    </row>
    <row r="67">
      <c r="A67" s="10" t="inlineStr">
        <is>
          <t xml:space="preserve">    Δ Cash + temp. investments (actual)</t>
        </is>
      </c>
      <c r="B67" s="11" t="n"/>
      <c r="C67" s="11" t="n">
        <v>-827365</v>
      </c>
      <c r="D67" s="11" t="n">
        <v>3851728</v>
      </c>
      <c r="E67" s="11" t="n">
        <v>-1042863</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row>
    <row r="72">
      <c r="A72" s="4" t="inlineStr">
        <is>
          <t>Part V line 11</t>
        </is>
      </c>
      <c r="B72" s="5" t="inlineStr">
        <is>
          <t>FY2021</t>
        </is>
      </c>
      <c r="C72" s="5" t="inlineStr">
        <is>
          <t>FY2022</t>
        </is>
      </c>
      <c r="D72" s="5" t="inlineStr">
        <is>
          <t>FY2023</t>
        </is>
      </c>
      <c r="E72" s="5" t="inlineStr">
        <is>
          <t>FY2024</t>
        </is>
      </c>
    </row>
    <row r="73">
      <c r="A73" s="8" t="inlineStr">
        <is>
          <t xml:space="preserve">    11a. Gross income from members or shareholders</t>
        </is>
      </c>
      <c r="B73" s="9" t="n">
        <v>6001213</v>
      </c>
      <c r="C73" s="9" t="n">
        <v>6537460</v>
      </c>
      <c r="D73" s="9" t="n">
        <v>6548139</v>
      </c>
      <c r="E73" s="9" t="n">
        <v>6786362</v>
      </c>
    </row>
    <row r="74">
      <c r="A74" s="8" t="inlineStr">
        <is>
          <t xml:space="preserve">    11b. Gross income from other sources</t>
        </is>
      </c>
      <c r="B74" s="9" t="n">
        <v>118463</v>
      </c>
      <c r="C74" s="9" t="n">
        <v>233892</v>
      </c>
      <c r="D74" s="9" t="n">
        <v>3472684</v>
      </c>
      <c r="E74" s="9" t="n">
        <v>3623308</v>
      </c>
    </row>
    <row r="75">
      <c r="A75" s="14" t="inlineStr">
        <is>
          <t>Total gross income (11a + 11b)</t>
        </is>
      </c>
      <c r="B75" s="15">
        <f>SUM(B73,B74)</f>
        <v/>
      </c>
      <c r="C75" s="15">
        <f>SUM(C73,C74)</f>
        <v/>
      </c>
      <c r="D75" s="15">
        <f>SUM(D73,D74)</f>
        <v/>
      </c>
      <c r="E75" s="15">
        <f>SUM(E73,E74)</f>
        <v/>
      </c>
    </row>
    <row r="76">
      <c r="A76" s="14" t="inlineStr">
        <is>
          <t>Member income share (11a / total)</t>
        </is>
      </c>
      <c r="B76" s="16">
        <f>IF(B75=0,"",B73/B75)</f>
        <v/>
      </c>
      <c r="C76" s="16">
        <f>IF(C75=0,"",C73/C75)</f>
        <v/>
      </c>
      <c r="D76" s="16">
        <f>IF(D75=0,"",D73/D75)</f>
        <v/>
      </c>
      <c r="E76" s="16">
        <f>IF(E75=0,"",E73/E75)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69:E69"/>
    <mergeCell ref="A78:E78"/>
    <mergeCell ref="A2:E2"/>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s>
  <sheetData>
    <row r="1">
      <c r="A1" s="1" t="inlineStr">
        <is>
          <t>Montebello Land and Water Company</t>
        </is>
      </c>
    </row>
    <row r="2">
      <c r="A2" s="2" t="inlineStr">
        <is>
          <t>Balance Sheet - as reported (USD, end of year)</t>
        </is>
      </c>
    </row>
    <row r="3">
      <c r="A3" s="2" t="inlineStr">
        <is>
          <t>Entity ID: cawc_0031   |   Fiscal year ends June 30.</t>
        </is>
      </c>
    </row>
    <row r="5">
      <c r="A5" s="4" t="inlineStr">
        <is>
          <t>Line item</t>
        </is>
      </c>
      <c r="B5" s="5" t="inlineStr">
        <is>
          <t>FY2021</t>
        </is>
      </c>
      <c r="C5" s="5" t="inlineStr">
        <is>
          <t>FY2022</t>
        </is>
      </c>
      <c r="D5" s="5" t="inlineStr">
        <is>
          <t>FY2023</t>
        </is>
      </c>
      <c r="E5" s="5" t="inlineStr">
        <is>
          <t>FY2024</t>
        </is>
      </c>
    </row>
    <row r="6">
      <c r="A6" s="6" t="inlineStr">
        <is>
          <t>Assets</t>
        </is>
      </c>
      <c r="B6" s="7" t="n"/>
      <c r="C6" s="7" t="n"/>
      <c r="D6" s="7" t="n"/>
      <c r="E6" s="7" t="n"/>
    </row>
    <row r="7">
      <c r="A7" s="8" t="inlineStr">
        <is>
          <t xml:space="preserve">    Cash</t>
        </is>
      </c>
      <c r="B7" s="9" t="n">
        <v>57818</v>
      </c>
      <c r="C7" s="9" t="n">
        <v>517176</v>
      </c>
      <c r="D7" s="9" t="n">
        <v>543443</v>
      </c>
      <c r="E7" s="9" t="n">
        <v>217947</v>
      </c>
    </row>
    <row r="8">
      <c r="A8" s="8" t="inlineStr">
        <is>
          <t xml:space="preserve">    Savings &amp; temporary investments</t>
        </is>
      </c>
      <c r="B8" s="9" t="n">
        <v>4428799</v>
      </c>
      <c r="C8" s="9" t="n">
        <v>3142076</v>
      </c>
      <c r="D8" s="9" t="n">
        <v>6967537</v>
      </c>
      <c r="E8" s="9" t="n">
        <v>6250170</v>
      </c>
    </row>
    <row r="9">
      <c r="A9" s="8" t="inlineStr">
        <is>
          <t xml:space="preserve">    Accounts receivable</t>
        </is>
      </c>
      <c r="B9" s="9" t="n">
        <v>751576</v>
      </c>
      <c r="C9" s="9" t="n">
        <v>845963</v>
      </c>
      <c r="D9" s="9" t="n">
        <v>1373920</v>
      </c>
      <c r="E9" s="9" t="n">
        <v>2474145</v>
      </c>
    </row>
    <row r="10">
      <c r="A10" s="8" t="inlineStr">
        <is>
          <t xml:space="preserve">    Inventories</t>
        </is>
      </c>
      <c r="B10" s="9" t="n">
        <v>257880</v>
      </c>
      <c r="C10" s="9" t="n">
        <v>484939</v>
      </c>
      <c r="D10" s="9" t="n">
        <v>410183</v>
      </c>
      <c r="E10" s="9" t="n">
        <v>369901</v>
      </c>
    </row>
    <row r="11">
      <c r="A11" s="8" t="inlineStr">
        <is>
          <t xml:space="preserve">    Prepaid expenses</t>
        </is>
      </c>
      <c r="B11" s="9" t="n">
        <v>115546</v>
      </c>
      <c r="C11" s="9" t="n">
        <v>132648</v>
      </c>
      <c r="D11" s="9" t="n">
        <v>135542</v>
      </c>
      <c r="E11" s="9" t="n">
        <v>158416</v>
      </c>
    </row>
    <row r="12">
      <c r="A12" s="8" t="inlineStr">
        <is>
          <t xml:space="preserve">    Property, plant &amp; equipment (gross)</t>
        </is>
      </c>
      <c r="B12" s="9" t="n">
        <v>26912273</v>
      </c>
      <c r="C12" s="9" t="n">
        <v>27184987</v>
      </c>
      <c r="D12" s="9" t="n">
        <v>27816833</v>
      </c>
      <c r="E12" s="9" t="n">
        <v>28532464</v>
      </c>
    </row>
    <row r="13">
      <c r="A13" s="8" t="inlineStr">
        <is>
          <t xml:space="preserve">    Less: accumulated depreciation</t>
        </is>
      </c>
      <c r="B13" s="9" t="n">
        <v>-13314739</v>
      </c>
      <c r="C13" s="9" t="n">
        <v>-13982616</v>
      </c>
      <c r="D13" s="9" t="n">
        <v>-14684223</v>
      </c>
      <c r="E13" s="9" t="n">
        <v>-15368858</v>
      </c>
    </row>
    <row r="14">
      <c r="A14" s="10" t="inlineStr">
        <is>
          <t xml:space="preserve">    Net property, plant &amp; equipment</t>
        </is>
      </c>
      <c r="B14" s="11" t="n">
        <v>13597534</v>
      </c>
      <c r="C14" s="11" t="n">
        <v>13202371</v>
      </c>
      <c r="D14" s="11" t="n">
        <v>13132610</v>
      </c>
      <c r="E14" s="11" t="n">
        <v>13163606</v>
      </c>
    </row>
    <row r="15">
      <c r="A15" s="10" t="inlineStr">
        <is>
          <t>Total assets</t>
        </is>
      </c>
      <c r="B15" s="11" t="n">
        <v>25302243</v>
      </c>
      <c r="C15" s="11" t="n">
        <v>27602664</v>
      </c>
      <c r="D15" s="11" t="n">
        <v>32912596</v>
      </c>
      <c r="E15" s="11" t="n">
        <v>37967556</v>
      </c>
    </row>
    <row r="17">
      <c r="A17" s="6" t="inlineStr">
        <is>
          <t>Liabilities</t>
        </is>
      </c>
      <c r="B17" s="7" t="n"/>
      <c r="C17" s="7" t="n"/>
      <c r="D17" s="7" t="n"/>
      <c r="E17" s="7" t="n"/>
    </row>
    <row r="18">
      <c r="A18" s="8" t="inlineStr">
        <is>
          <t xml:space="preserve">    Accounts payable</t>
        </is>
      </c>
      <c r="B18" s="9" t="n">
        <v>42845</v>
      </c>
      <c r="C18" s="9" t="n">
        <v>53260</v>
      </c>
      <c r="D18" s="9" t="n">
        <v>209524</v>
      </c>
      <c r="E18" s="9" t="n">
        <v>482643</v>
      </c>
    </row>
    <row r="19">
      <c r="A19" s="8" t="inlineStr">
        <is>
          <t xml:space="preserve">    Mortgages &amp; notes payable</t>
        </is>
      </c>
      <c r="B19" s="9" t="n"/>
      <c r="C19" s="9" t="n"/>
      <c r="D19" s="9" t="n"/>
      <c r="E19" s="9" t="n"/>
    </row>
    <row r="20">
      <c r="A20" s="10" t="inlineStr">
        <is>
          <t>Total liabilities</t>
        </is>
      </c>
      <c r="B20" s="11" t="n">
        <v>417080</v>
      </c>
      <c r="C20" s="11" t="n">
        <v>936658</v>
      </c>
      <c r="D20" s="11" t="n">
        <v>1391208</v>
      </c>
      <c r="E20" s="11" t="n">
        <v>770353</v>
      </c>
    </row>
    <row r="22">
      <c r="A22" s="6" t="inlineStr">
        <is>
          <t>Net Assets / Equity</t>
        </is>
      </c>
      <c r="B22" s="7" t="n"/>
      <c r="C22" s="7" t="n"/>
      <c r="D22" s="7" t="n"/>
      <c r="E22" s="7" t="n"/>
    </row>
    <row r="23">
      <c r="A23" s="8" t="inlineStr">
        <is>
          <t xml:space="preserve">    Capital stock</t>
        </is>
      </c>
      <c r="B23" s="9" t="n">
        <v>77813</v>
      </c>
      <c r="C23" s="9" t="n">
        <v>77813</v>
      </c>
      <c r="D23" s="9" t="n">
        <v>77813</v>
      </c>
      <c r="E23" s="9" t="n">
        <v>77813</v>
      </c>
    </row>
    <row r="24">
      <c r="A24" s="8" t="inlineStr">
        <is>
          <t xml:space="preserve">    Paid-in capital</t>
        </is>
      </c>
      <c r="B24" s="9" t="n">
        <v>3512</v>
      </c>
      <c r="C24" s="9" t="n">
        <v>3512</v>
      </c>
      <c r="D24" s="9" t="n">
        <v>3512</v>
      </c>
      <c r="E24" s="9" t="n">
        <v>3512</v>
      </c>
    </row>
    <row r="25">
      <c r="A25" s="8" t="inlineStr">
        <is>
          <t xml:space="preserve">    Retained earnings</t>
        </is>
      </c>
      <c r="B25" s="9" t="n">
        <v>24803838</v>
      </c>
      <c r="C25" s="9" t="n">
        <v>26584681</v>
      </c>
      <c r="D25" s="9" t="n">
        <v>31440063</v>
      </c>
      <c r="E25" s="9" t="n">
        <v>37115878</v>
      </c>
    </row>
    <row r="26">
      <c r="A26" s="10" t="inlineStr">
        <is>
          <t>Net assets</t>
        </is>
      </c>
      <c r="B26" s="11" t="n">
        <v>24885163</v>
      </c>
      <c r="C26" s="11" t="n">
        <v>26666006</v>
      </c>
      <c r="D26" s="11" t="n">
        <v>31521388</v>
      </c>
      <c r="E26" s="11" t="n">
        <v>37197203</v>
      </c>
    </row>
    <row r="28">
      <c r="A28" s="8" t="inlineStr">
        <is>
          <t>Balance check (assets − liab. − net assets)</t>
        </is>
      </c>
      <c r="B28" s="9" t="n">
        <v>0</v>
      </c>
      <c r="C28" s="9" t="n">
        <v>0</v>
      </c>
      <c r="D28" s="9" t="n">
        <v>0</v>
      </c>
      <c r="E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2:E2"/>
    <mergeCell ref="A1:E1"/>
    <mergeCell ref="A30:E30"/>
    <mergeCell ref="A3:E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Montebello Land and Water Company</t>
        </is>
      </c>
    </row>
    <row r="2">
      <c r="A2" s="2" t="inlineStr">
        <is>
          <t>Officers, Directors &amp; Contractors - Form 990 Part VII (FY2024; USD)</t>
        </is>
      </c>
    </row>
    <row r="3">
      <c r="A3" s="2" t="inlineStr">
        <is>
          <t>Entity ID: cawc_0031   |   Fiscal year ends June 30.</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BRUCE JUGAN</t>
        </is>
      </c>
      <c r="B7" s="8" t="inlineStr">
        <is>
          <t>PRESIDENT</t>
        </is>
      </c>
      <c r="C7" s="9" t="n">
        <v>7200</v>
      </c>
      <c r="D7" s="9" t="n">
        <v>0</v>
      </c>
      <c r="E7" s="9" t="n">
        <v>0</v>
      </c>
      <c r="F7" s="9" t="n">
        <v>7200</v>
      </c>
    </row>
    <row r="8">
      <c r="A8" s="8" t="inlineStr">
        <is>
          <t>DAVID R REGO</t>
        </is>
      </c>
      <c r="B8" s="8" t="inlineStr">
        <is>
          <t>VICE PRESIDENT</t>
        </is>
      </c>
      <c r="C8" s="9" t="n">
        <v>7200</v>
      </c>
      <c r="D8" s="9" t="n">
        <v>0</v>
      </c>
      <c r="E8" s="9" t="n">
        <v>0</v>
      </c>
      <c r="F8" s="9" t="n">
        <v>7200</v>
      </c>
    </row>
    <row r="9">
      <c r="A9" s="8" t="inlineStr">
        <is>
          <t>OMER ZEKI KAYIRAN</t>
        </is>
      </c>
      <c r="B9" s="8" t="inlineStr">
        <is>
          <t>TREASURER</t>
        </is>
      </c>
      <c r="C9" s="9" t="n">
        <v>7200</v>
      </c>
      <c r="D9" s="9" t="n">
        <v>0</v>
      </c>
      <c r="E9" s="9" t="n">
        <v>0</v>
      </c>
      <c r="F9" s="9" t="n">
        <v>7200</v>
      </c>
    </row>
    <row r="10">
      <c r="A10" s="8" t="inlineStr">
        <is>
          <t>DAVID R REGO</t>
        </is>
      </c>
      <c r="B10" s="8" t="inlineStr">
        <is>
          <t>SECRETARY</t>
        </is>
      </c>
      <c r="C10" s="9" t="n">
        <v>7200</v>
      </c>
      <c r="D10" s="9" t="n">
        <v>0</v>
      </c>
      <c r="E10" s="9" t="n">
        <v>0</v>
      </c>
      <c r="F10" s="9" t="n">
        <v>7200</v>
      </c>
    </row>
    <row r="11">
      <c r="A11" s="8" t="inlineStr">
        <is>
          <t>NORMAN AKASHI</t>
        </is>
      </c>
      <c r="B11" s="8" t="inlineStr">
        <is>
          <t>DIRECTOR</t>
        </is>
      </c>
      <c r="C11" s="9" t="n">
        <v>7200</v>
      </c>
      <c r="D11" s="9" t="n">
        <v>0</v>
      </c>
      <c r="E11" s="9" t="n">
        <v>0</v>
      </c>
      <c r="F11" s="9" t="n">
        <v>7200</v>
      </c>
    </row>
    <row r="12">
      <c r="A12" s="8" t="inlineStr">
        <is>
          <t>KENNETH BRADBURY</t>
        </is>
      </c>
      <c r="B12" s="8" t="inlineStr">
        <is>
          <t>DIRECTOR</t>
        </is>
      </c>
      <c r="C12" s="9" t="n">
        <v>7200</v>
      </c>
      <c r="D12" s="9" t="n">
        <v>0</v>
      </c>
      <c r="E12" s="9" t="n">
        <v>0</v>
      </c>
      <c r="F12" s="9" t="n">
        <v>7200</v>
      </c>
    </row>
    <row r="13">
      <c r="A13" s="17" t="inlineStr">
        <is>
          <t>KOREY BRADBURY</t>
        </is>
      </c>
      <c r="B13" s="17" t="inlineStr">
        <is>
          <t>GENERAL MANAGER</t>
        </is>
      </c>
      <c r="C13" s="18" t="n">
        <v>184800</v>
      </c>
      <c r="D13" s="18" t="n">
        <v>0</v>
      </c>
      <c r="E13" s="18" t="n">
        <v>27295</v>
      </c>
      <c r="F13" s="18" t="n">
        <v>212095</v>
      </c>
    </row>
    <row r="14">
      <c r="A14" s="17" t="inlineStr">
        <is>
          <t>MARIO GARDEA</t>
        </is>
      </c>
      <c r="B14" s="17" t="inlineStr">
        <is>
          <t>SUPERINDENDENT</t>
        </is>
      </c>
      <c r="C14" s="18" t="n">
        <v>130359</v>
      </c>
      <c r="D14" s="18" t="n">
        <v>0</v>
      </c>
      <c r="E14" s="18" t="n">
        <v>45094</v>
      </c>
      <c r="F14" s="18" t="n">
        <v>175453</v>
      </c>
    </row>
    <row r="16">
      <c r="A16" s="6" t="inlineStr">
        <is>
          <t>Section B - Independent contractors (over $100,000)</t>
        </is>
      </c>
      <c r="B16" s="7" t="n"/>
      <c r="C16" s="7" t="n"/>
      <c r="D16" s="7" t="n"/>
      <c r="E16" s="7" t="n"/>
      <c r="F16" s="7" t="n"/>
    </row>
    <row r="17">
      <c r="A17" s="5" t="inlineStr">
        <is>
          <t>Contractor</t>
        </is>
      </c>
      <c r="B17" s="5" t="inlineStr">
        <is>
          <t>Services</t>
        </is>
      </c>
      <c r="C17" s="5" t="inlineStr">
        <is>
          <t>Compensation</t>
        </is>
      </c>
    </row>
    <row r="18">
      <c r="A18" s="8" t="inlineStr">
        <is>
          <t>DOTY BROTHERS EQUIPMENT CO</t>
        </is>
      </c>
      <c r="B18" s="8" t="inlineStr">
        <is>
          <t>CONSTRUCTION SERVICES</t>
        </is>
      </c>
      <c r="C18" s="9" t="n">
        <v>1308391</v>
      </c>
    </row>
    <row r="19">
      <c r="A19" s="8" t="inlineStr">
        <is>
          <t>AQUEOUS VETS</t>
        </is>
      </c>
      <c r="B19" s="8" t="inlineStr">
        <is>
          <t>FILTRATION EQUIPMENT</t>
        </is>
      </c>
      <c r="C19" s="9" t="n">
        <v>633083</v>
      </c>
    </row>
    <row r="20">
      <c r="A20" s="8" t="inlineStr">
        <is>
          <t>AKM CONSULTING ENGINEERING</t>
        </is>
      </c>
      <c r="B20" s="8" t="inlineStr">
        <is>
          <t>ENGINEERING CONSULTING SERVICES</t>
        </is>
      </c>
      <c r="C20" s="9" t="n">
        <v>266732</v>
      </c>
    </row>
    <row r="21">
      <c r="A21" s="8" t="inlineStr">
        <is>
          <t>ROBERT BRKICH CONSTRUCTION CORP</t>
        </is>
      </c>
      <c r="B21" s="8" t="inlineStr">
        <is>
          <t>CONSTRUCTION SERVICES</t>
        </is>
      </c>
      <c r="C21" s="9" t="n">
        <v>182028</v>
      </c>
    </row>
    <row r="22">
      <c r="A22" s="8" t="inlineStr">
        <is>
          <t>HIGHROAD INFORMATION TECHNOLOGY</t>
        </is>
      </c>
      <c r="B22" s="8" t="inlineStr">
        <is>
          <t>IT SERVICES</t>
        </is>
      </c>
      <c r="C22" s="9" t="n">
        <v>147677</v>
      </c>
    </row>
    <row r="24" ht="42" customHeight="1">
      <c r="A24"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5 such contractor(s). Source and confidence for every figure are on the Sources &amp; audit tab.</t>
        </is>
      </c>
    </row>
  </sheetData>
  <mergeCells count="4">
    <mergeCell ref="A3:F3"/>
    <mergeCell ref="A2:F2"/>
    <mergeCell ref="A1:F1"/>
    <mergeCell ref="A24:F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Montebello Land and Water Company</t>
        </is>
      </c>
    </row>
    <row r="2">
      <c r="A2" s="2" t="inlineStr">
        <is>
          <t>Revenue - Form 990 Part VIII (USD)</t>
        </is>
      </c>
    </row>
    <row r="3">
      <c r="A3" s="2" t="inlineStr">
        <is>
          <t>Entity ID: cawc_0031   |   Fiscal year ends June 30.</t>
        </is>
      </c>
    </row>
    <row r="5">
      <c r="A5" s="4" t="inlineStr">
        <is>
          <t>Part VIII line</t>
        </is>
      </c>
      <c r="B5" s="5" t="inlineStr">
        <is>
          <t>FY2021</t>
        </is>
      </c>
      <c r="C5" s="5" t="inlineStr">
        <is>
          <t>FY2022</t>
        </is>
      </c>
      <c r="D5" s="5" t="inlineStr">
        <is>
          <t>FY2023</t>
        </is>
      </c>
      <c r="E5" s="5" t="inlineStr">
        <is>
          <t>FY2024</t>
        </is>
      </c>
    </row>
    <row r="6">
      <c r="A6" s="6" t="inlineStr">
        <is>
          <t>Revenue by category</t>
        </is>
      </c>
      <c r="B6" s="7" t="n"/>
      <c r="C6" s="7" t="n"/>
      <c r="D6" s="7" t="n"/>
      <c r="E6" s="7" t="n"/>
    </row>
    <row r="7">
      <c r="A7" s="8" t="inlineStr">
        <is>
          <t xml:space="preserve">    1h. Total contributions, gifts, grants</t>
        </is>
      </c>
      <c r="B7" s="19" t="inlineStr">
        <is>
          <t>not reported</t>
        </is>
      </c>
      <c r="C7" s="9" t="n">
        <v>39871</v>
      </c>
      <c r="D7" s="9" t="n">
        <v>2930468</v>
      </c>
      <c r="E7" s="9" t="n">
        <v>2298148</v>
      </c>
    </row>
    <row r="8">
      <c r="A8" s="8" t="inlineStr">
        <is>
          <t xml:space="preserve">    2g. Total program service revenue</t>
        </is>
      </c>
      <c r="B8" s="9" t="n">
        <v>6001213</v>
      </c>
      <c r="C8" s="9" t="n">
        <v>6537460</v>
      </c>
      <c r="D8" s="9" t="n">
        <v>6548139</v>
      </c>
      <c r="E8" s="9" t="n">
        <v>6786362</v>
      </c>
    </row>
    <row r="9">
      <c r="A9" s="8" t="inlineStr">
        <is>
          <t xml:space="preserve">    3. Investment income</t>
        </is>
      </c>
      <c r="B9" s="9" t="n">
        <v>79468</v>
      </c>
      <c r="C9" s="9" t="n">
        <v>76951</v>
      </c>
      <c r="D9" s="9" t="n">
        <v>175461</v>
      </c>
      <c r="E9" s="9" t="n">
        <v>314633</v>
      </c>
    </row>
    <row r="10">
      <c r="A10" s="8" t="inlineStr">
        <is>
          <t xml:space="preserve">    6d. Net rental income</t>
        </is>
      </c>
      <c r="B10" s="19" t="inlineStr">
        <is>
          <t>not reported</t>
        </is>
      </c>
      <c r="C10" s="19" t="inlineStr">
        <is>
          <t>not reported</t>
        </is>
      </c>
      <c r="D10" s="19" t="inlineStr">
        <is>
          <t>not reported</t>
        </is>
      </c>
      <c r="E10" s="19" t="inlineStr">
        <is>
          <t>not reported</t>
        </is>
      </c>
    </row>
    <row r="11">
      <c r="A11" s="8" t="inlineStr">
        <is>
          <t xml:space="preserve">    7d. Net gain/(loss) from investment sales</t>
        </is>
      </c>
      <c r="B11" s="9" t="n">
        <v>1500</v>
      </c>
      <c r="C11" s="9" t="n">
        <v>10000</v>
      </c>
      <c r="D11" s="19" t="inlineStr">
        <is>
          <t>not reported</t>
        </is>
      </c>
      <c r="E11" s="9" t="n">
        <v>11000</v>
      </c>
    </row>
    <row r="12">
      <c r="A12" s="8" t="inlineStr">
        <is>
          <t xml:space="preserve">    11e. Other revenue</t>
        </is>
      </c>
      <c r="B12" s="9" t="n">
        <v>37495</v>
      </c>
      <c r="C12" s="9" t="n">
        <v>107070</v>
      </c>
      <c r="D12" s="9" t="n">
        <v>369379</v>
      </c>
      <c r="E12" s="9" t="n">
        <v>1001189</v>
      </c>
    </row>
    <row r="13">
      <c r="A13" s="10" t="inlineStr">
        <is>
          <t>12. Total revenue</t>
        </is>
      </c>
      <c r="B13" s="11">
        <f>SUM(B7:B12)</f>
        <v/>
      </c>
      <c r="C13" s="11">
        <f>SUM(C7:C12)</f>
        <v/>
      </c>
      <c r="D13" s="11">
        <f>SUM(D7:D12)</f>
        <v/>
      </c>
      <c r="E13" s="11">
        <f>SUM(E7:E12)</f>
        <v/>
      </c>
    </row>
    <row r="15">
      <c r="A15" s="6" t="inlineStr">
        <is>
          <t>Program service revenue detail - FY2024 (lines 2a-2f)</t>
        </is>
      </c>
      <c r="B15" s="7" t="n"/>
      <c r="C15" s="7" t="n"/>
      <c r="D15" s="7" t="n"/>
      <c r="E15" s="7" t="n"/>
    </row>
    <row r="16">
      <c r="A16" s="5" t="inlineStr">
        <is>
          <t>Description</t>
        </is>
      </c>
      <c r="B16" s="5" t="inlineStr">
        <is>
          <t>Business code</t>
        </is>
      </c>
      <c r="C16" s="5" t="inlineStr">
        <is>
          <t>Total revenue</t>
        </is>
      </c>
    </row>
    <row r="17">
      <c r="A17" s="8" t="inlineStr">
        <is>
          <t>WATER SALES</t>
        </is>
      </c>
      <c r="B17" s="8" t="inlineStr">
        <is>
          <t>221000</t>
        </is>
      </c>
      <c r="C17" s="9" t="n">
        <v>6733589</v>
      </c>
    </row>
    <row r="18">
      <c r="A18" s="8" t="inlineStr">
        <is>
          <t>DELINQUENT FEES</t>
        </is>
      </c>
      <c r="B18" s="8" t="inlineStr">
        <is>
          <t>221000</t>
        </is>
      </c>
      <c r="C18" s="9" t="n">
        <v>37540</v>
      </c>
    </row>
    <row r="19">
      <c r="A19" s="8" t="inlineStr">
        <is>
          <t>SHUT OFF FEES</t>
        </is>
      </c>
      <c r="B19" s="8" t="inlineStr">
        <is>
          <t>221000</t>
        </is>
      </c>
      <c r="C19" s="9" t="n">
        <v>12065</v>
      </c>
    </row>
    <row r="20">
      <c r="A20" s="8" t="inlineStr">
        <is>
          <t>STOCK TRANSFER FEES</t>
        </is>
      </c>
      <c r="B20" s="8" t="inlineStr">
        <is>
          <t>221000</t>
        </is>
      </c>
      <c r="C20" s="9" t="n">
        <v>3168</v>
      </c>
    </row>
    <row r="21" ht="42" customHeight="1">
      <c r="A21"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2:E2"/>
    <mergeCell ref="A21:E21"/>
    <mergeCell ref="A1:E1"/>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Montebello Land and Water Company</t>
        </is>
      </c>
    </row>
    <row r="2">
      <c r="A2" s="2" t="inlineStr">
        <is>
          <t>Statement of Functional Expenses - Form 990 Part IX (USD)</t>
        </is>
      </c>
    </row>
    <row r="3">
      <c r="A3" s="2" t="inlineStr">
        <is>
          <t>Entity ID: cawc_0031   |   Fiscal year ends June 30.</t>
        </is>
      </c>
    </row>
    <row r="5">
      <c r="A5" s="4" t="inlineStr">
        <is>
          <t>Part IX line (column A Total)</t>
        </is>
      </c>
      <c r="B5" s="5" t="inlineStr">
        <is>
          <t>FY2021</t>
        </is>
      </c>
      <c r="C5" s="5" t="inlineStr">
        <is>
          <t>FY2022</t>
        </is>
      </c>
      <c r="D5" s="5" t="inlineStr">
        <is>
          <t>FY2023</t>
        </is>
      </c>
      <c r="E5" s="5" t="inlineStr">
        <is>
          <t>FY2024</t>
        </is>
      </c>
    </row>
    <row r="6">
      <c r="A6" s="6" t="inlineStr">
        <is>
          <t>Functional expenses, column A Total - by year</t>
        </is>
      </c>
      <c r="B6" s="7" t="n"/>
      <c r="C6" s="7" t="n"/>
      <c r="D6" s="7" t="n"/>
      <c r="E6" s="7" t="n"/>
    </row>
    <row r="7">
      <c r="A7" s="8" t="inlineStr">
        <is>
          <t xml:space="preserve">    5. Compensation of current officers, directors, trustees</t>
        </is>
      </c>
      <c r="B7" s="9" t="n">
        <v>234027</v>
      </c>
      <c r="C7" s="9" t="n">
        <v>339169</v>
      </c>
      <c r="D7" s="9" t="n">
        <v>249738</v>
      </c>
      <c r="E7" s="9" t="n">
        <v>277260</v>
      </c>
    </row>
    <row r="8">
      <c r="A8" s="8" t="inlineStr">
        <is>
          <t xml:space="preserve">    7. Other salaries and wages</t>
        </is>
      </c>
      <c r="B8" s="9" t="n">
        <v>790543</v>
      </c>
      <c r="C8" s="9" t="n">
        <v>774184</v>
      </c>
      <c r="D8" s="9" t="n">
        <v>693589</v>
      </c>
      <c r="E8" s="9" t="n">
        <v>717376</v>
      </c>
    </row>
    <row r="9">
      <c r="A9" s="8" t="inlineStr">
        <is>
          <t xml:space="preserve">    8. Pension plan accruals and contributions</t>
        </is>
      </c>
      <c r="B9" s="9" t="n">
        <v>531864</v>
      </c>
      <c r="C9" s="9" t="n">
        <v>146974</v>
      </c>
      <c r="D9" s="9" t="n">
        <v>145502</v>
      </c>
      <c r="E9" s="9" t="n">
        <v>111902</v>
      </c>
    </row>
    <row r="10">
      <c r="A10" s="8" t="inlineStr">
        <is>
          <t xml:space="preserve">    9. Other employee benefits</t>
        </is>
      </c>
      <c r="B10" s="9" t="n">
        <v>215494</v>
      </c>
      <c r="C10" s="9" t="n">
        <v>195430</v>
      </c>
      <c r="D10" s="9" t="n">
        <v>188176</v>
      </c>
      <c r="E10" s="9" t="n">
        <v>193166</v>
      </c>
    </row>
    <row r="11">
      <c r="A11" s="8" t="inlineStr">
        <is>
          <t xml:space="preserve">    10. Payroll taxes</t>
        </is>
      </c>
      <c r="B11" s="9" t="n">
        <v>86855</v>
      </c>
      <c r="C11" s="9" t="n">
        <v>83241</v>
      </c>
      <c r="D11" s="9" t="n">
        <v>77323</v>
      </c>
      <c r="E11" s="9" t="n">
        <v>87480</v>
      </c>
    </row>
    <row r="12">
      <c r="A12" s="8" t="inlineStr">
        <is>
          <t xml:space="preserve">    11b. Fees for services: legal</t>
        </is>
      </c>
      <c r="B12" s="9" t="n">
        <v>47975</v>
      </c>
      <c r="C12" s="9" t="n">
        <v>33287</v>
      </c>
      <c r="D12" s="9" t="n">
        <v>44035</v>
      </c>
      <c r="E12" s="9" t="n">
        <v>31995</v>
      </c>
    </row>
    <row r="13">
      <c r="A13" s="8" t="inlineStr">
        <is>
          <t xml:space="preserve">    11c. Fees for services: accounting</t>
        </is>
      </c>
      <c r="B13" s="9" t="n">
        <v>34625</v>
      </c>
      <c r="C13" s="9" t="n">
        <v>36875</v>
      </c>
      <c r="D13" s="9" t="n">
        <v>36822</v>
      </c>
      <c r="E13" s="9" t="n">
        <v>38150</v>
      </c>
    </row>
    <row r="14">
      <c r="A14" s="8" t="inlineStr">
        <is>
          <t xml:space="preserve">    11g. Fees for services: other</t>
        </is>
      </c>
      <c r="B14" s="9" t="n">
        <v>172935</v>
      </c>
      <c r="C14" s="9" t="n">
        <v>216845</v>
      </c>
      <c r="D14" s="9" t="n">
        <v>161754</v>
      </c>
      <c r="E14" s="9" t="n">
        <v>176077</v>
      </c>
    </row>
    <row r="15">
      <c r="A15" s="8" t="inlineStr">
        <is>
          <t xml:space="preserve">    13. Office expenses</t>
        </is>
      </c>
      <c r="B15" s="9" t="n">
        <v>103493</v>
      </c>
      <c r="C15" s="9" t="n">
        <v>100386</v>
      </c>
      <c r="D15" s="9" t="n">
        <v>110246</v>
      </c>
      <c r="E15" s="9" t="n">
        <v>116548</v>
      </c>
    </row>
    <row r="16">
      <c r="A16" s="8" t="inlineStr">
        <is>
          <t xml:space="preserve">    16. Occupancy</t>
        </is>
      </c>
      <c r="B16" s="9" t="n">
        <v>18316</v>
      </c>
      <c r="C16" s="9" t="n">
        <v>16171</v>
      </c>
      <c r="D16" s="9" t="n">
        <v>18850</v>
      </c>
      <c r="E16" s="9" t="n">
        <v>18575</v>
      </c>
    </row>
    <row r="17">
      <c r="A17" s="8" t="inlineStr">
        <is>
          <t xml:space="preserve">    22. Depreciation, depletion, and amortization</t>
        </is>
      </c>
      <c r="B17" s="9" t="n">
        <v>700696</v>
      </c>
      <c r="C17" s="9" t="n">
        <v>705040</v>
      </c>
      <c r="D17" s="9" t="n">
        <v>701606</v>
      </c>
      <c r="E17" s="9" t="n">
        <v>719217</v>
      </c>
    </row>
    <row r="18">
      <c r="A18" s="8" t="inlineStr">
        <is>
          <t xml:space="preserve">    23. Insurance</t>
        </is>
      </c>
      <c r="B18" s="9" t="n">
        <v>135260</v>
      </c>
      <c r="C18" s="9" t="n">
        <v>145697</v>
      </c>
      <c r="D18" s="9" t="n">
        <v>167126</v>
      </c>
      <c r="E18" s="9" t="n">
        <v>186289</v>
      </c>
    </row>
    <row r="19">
      <c r="A19" s="8" t="inlineStr">
        <is>
          <t xml:space="preserve">    24. WATER REPLENISHMENT</t>
        </is>
      </c>
      <c r="B19" s="9" t="n">
        <v>1300502</v>
      </c>
      <c r="C19" s="9" t="n">
        <v>1309912</v>
      </c>
      <c r="D19" s="9" t="n">
        <v>1340440</v>
      </c>
      <c r="E19" s="9" t="n">
        <v>1333773</v>
      </c>
    </row>
    <row r="20">
      <c r="A20" s="8" t="inlineStr">
        <is>
          <t xml:space="preserve">    24. ALL OTHER EXPENSES</t>
        </is>
      </c>
      <c r="B20" s="9" t="n">
        <v>240935</v>
      </c>
      <c r="C20" s="9" t="n">
        <v>208523</v>
      </c>
      <c r="D20" s="9" t="n">
        <v>246330</v>
      </c>
      <c r="E20" s="9" t="n">
        <v>236249</v>
      </c>
    </row>
    <row r="21">
      <c r="A21" s="8" t="inlineStr">
        <is>
          <t xml:space="preserve">    24. POWER &amp; GAS</t>
        </is>
      </c>
      <c r="B21" s="9" t="n">
        <v>239515</v>
      </c>
      <c r="C21" s="9" t="n">
        <v>348420</v>
      </c>
      <c r="D21" s="9" t="n">
        <v>398719</v>
      </c>
      <c r="E21" s="9" t="n">
        <v>344318</v>
      </c>
    </row>
    <row r="22">
      <c r="A22" s="8" t="inlineStr">
        <is>
          <t xml:space="preserve">    24. FEES AND TAXES</t>
        </is>
      </c>
      <c r="B22" s="9" t="n">
        <v>71473</v>
      </c>
      <c r="C22" s="19" t="inlineStr">
        <is>
          <t>not reported</t>
        </is>
      </c>
      <c r="D22" s="19" t="inlineStr">
        <is>
          <t>not reported</t>
        </is>
      </c>
      <c r="E22" s="9" t="n">
        <v>92998</v>
      </c>
    </row>
    <row r="23">
      <c r="A23" s="8" t="inlineStr">
        <is>
          <t xml:space="preserve">    24. REPAIRS &amp; MAINTENANCE</t>
        </is>
      </c>
      <c r="B23" s="19" t="inlineStr">
        <is>
          <t>not reported</t>
        </is>
      </c>
      <c r="C23" s="9" t="n">
        <v>77252</v>
      </c>
      <c r="D23" s="9" t="n">
        <v>109968</v>
      </c>
      <c r="E23" s="19" t="inlineStr">
        <is>
          <t>not reported</t>
        </is>
      </c>
    </row>
    <row r="24">
      <c r="A24" s="8" t="inlineStr">
        <is>
          <t xml:space="preserve">    24e. All other expenses</t>
        </is>
      </c>
      <c r="B24" s="9" t="n">
        <v>59064</v>
      </c>
      <c r="C24" s="9" t="n">
        <v>73514</v>
      </c>
      <c r="D24" s="9" t="n">
        <v>96100</v>
      </c>
      <c r="E24" s="9" t="n">
        <v>79601</v>
      </c>
    </row>
    <row r="25">
      <c r="A25" s="10" t="inlineStr">
        <is>
          <t>25. Total functional expenses</t>
        </is>
      </c>
      <c r="B25" s="11">
        <f>SUM(B7:B24)</f>
        <v/>
      </c>
      <c r="C25" s="11">
        <f>SUM(C7:C24)</f>
        <v/>
      </c>
      <c r="D25" s="11">
        <f>SUM(D7:D24)</f>
        <v/>
      </c>
      <c r="E25" s="11">
        <f>SUM(E7:E24)</f>
        <v/>
      </c>
    </row>
    <row r="27">
      <c r="A27" s="6" t="inlineStr">
        <is>
          <t>Functional column split - FY2024 (col A = B + C + D)</t>
        </is>
      </c>
      <c r="B27" s="7" t="n"/>
      <c r="C27" s="7" t="n"/>
      <c r="D27" s="7" t="n"/>
      <c r="E27" s="7" t="n"/>
    </row>
    <row r="28">
      <c r="A28" s="5" t="inlineStr">
        <is>
          <t>Part IX line</t>
        </is>
      </c>
      <c r="B28" s="5" t="inlineStr">
        <is>
          <t>A. Total</t>
        </is>
      </c>
      <c r="C28" s="5" t="inlineStr">
        <is>
          <t>B. Program services</t>
        </is>
      </c>
      <c r="D28" s="5" t="inlineStr">
        <is>
          <t>C. Management &amp; general</t>
        </is>
      </c>
      <c r="E28" s="5" t="inlineStr">
        <is>
          <t>D. Fundraising</t>
        </is>
      </c>
    </row>
    <row r="29">
      <c r="A29" s="20" t="inlineStr">
        <is>
          <t>5. Compensation of current officers, directors, trustees</t>
        </is>
      </c>
      <c r="B29" s="9" t="n">
        <v>277260</v>
      </c>
      <c r="C29" s="9" t="n">
        <v>277260</v>
      </c>
      <c r="D29" s="9" t="n"/>
      <c r="E29" s="9" t="n"/>
    </row>
    <row r="30">
      <c r="A30" s="20" t="inlineStr">
        <is>
          <t>7. Other salaries and wages</t>
        </is>
      </c>
      <c r="B30" s="9" t="n">
        <v>717376</v>
      </c>
      <c r="C30" s="9" t="n">
        <v>717376</v>
      </c>
      <c r="D30" s="9" t="n"/>
      <c r="E30" s="9" t="n"/>
    </row>
    <row r="31">
      <c r="A31" s="20" t="inlineStr">
        <is>
          <t>8. Pension plan accruals and contributions</t>
        </is>
      </c>
      <c r="B31" s="9" t="n">
        <v>111902</v>
      </c>
      <c r="C31" s="9" t="n">
        <v>111902</v>
      </c>
      <c r="D31" s="9" t="n"/>
      <c r="E31" s="9" t="n"/>
    </row>
    <row r="32">
      <c r="A32" s="20" t="inlineStr">
        <is>
          <t>9. Other employee benefits</t>
        </is>
      </c>
      <c r="B32" s="9" t="n">
        <v>193166</v>
      </c>
      <c r="C32" s="9" t="n">
        <v>193166</v>
      </c>
      <c r="D32" s="9" t="n"/>
      <c r="E32" s="9" t="n"/>
    </row>
    <row r="33">
      <c r="A33" s="20" t="inlineStr">
        <is>
          <t>10. Payroll taxes</t>
        </is>
      </c>
      <c r="B33" s="9" t="n">
        <v>87480</v>
      </c>
      <c r="C33" s="9" t="n">
        <v>87480</v>
      </c>
      <c r="D33" s="9" t="n"/>
      <c r="E33" s="9" t="n"/>
    </row>
    <row r="34">
      <c r="A34" s="20" t="inlineStr">
        <is>
          <t>11b. Fees for services: legal</t>
        </is>
      </c>
      <c r="B34" s="9" t="n">
        <v>31995</v>
      </c>
      <c r="C34" s="9" t="n">
        <v>31995</v>
      </c>
      <c r="D34" s="9" t="n"/>
      <c r="E34" s="9" t="n"/>
    </row>
    <row r="35">
      <c r="A35" s="20" t="inlineStr">
        <is>
          <t>11c. Fees for services: accounting</t>
        </is>
      </c>
      <c r="B35" s="9" t="n">
        <v>38150</v>
      </c>
      <c r="C35" s="9" t="n">
        <v>38150</v>
      </c>
      <c r="D35" s="9" t="n"/>
      <c r="E35" s="9" t="n"/>
    </row>
    <row r="36">
      <c r="A36" s="20" t="inlineStr">
        <is>
          <t>11g. Fees for services: other</t>
        </is>
      </c>
      <c r="B36" s="9" t="n">
        <v>176077</v>
      </c>
      <c r="C36" s="9" t="n">
        <v>176077</v>
      </c>
      <c r="D36" s="9" t="n"/>
      <c r="E36" s="9" t="n"/>
    </row>
    <row r="37">
      <c r="A37" s="20" t="inlineStr">
        <is>
          <t>13. Office expenses</t>
        </is>
      </c>
      <c r="B37" s="9" t="n">
        <v>116548</v>
      </c>
      <c r="C37" s="9" t="n">
        <v>116548</v>
      </c>
      <c r="D37" s="9" t="n"/>
      <c r="E37" s="9" t="n"/>
    </row>
    <row r="38">
      <c r="A38" s="20" t="inlineStr">
        <is>
          <t>16. Occupancy</t>
        </is>
      </c>
      <c r="B38" s="9" t="n">
        <v>18575</v>
      </c>
      <c r="C38" s="9" t="n">
        <v>18575</v>
      </c>
      <c r="D38" s="9" t="n"/>
      <c r="E38" s="9" t="n"/>
    </row>
    <row r="39">
      <c r="A39" s="20" t="inlineStr">
        <is>
          <t>22. Depreciation, depletion, and amortization</t>
        </is>
      </c>
      <c r="B39" s="9" t="n">
        <v>719217</v>
      </c>
      <c r="C39" s="9" t="n">
        <v>719217</v>
      </c>
      <c r="D39" s="9" t="n"/>
      <c r="E39" s="9" t="n"/>
    </row>
    <row r="40">
      <c r="A40" s="20" t="inlineStr">
        <is>
          <t>23. Insurance</t>
        </is>
      </c>
      <c r="B40" s="9" t="n">
        <v>186289</v>
      </c>
      <c r="C40" s="9" t="n">
        <v>186289</v>
      </c>
      <c r="D40" s="9" t="n"/>
      <c r="E40" s="9" t="n"/>
    </row>
    <row r="41">
      <c r="A41" s="10" t="inlineStr">
        <is>
          <t>25. Total (filed col A / B / C / D)</t>
        </is>
      </c>
      <c r="B41" s="11" t="n">
        <v>4760974</v>
      </c>
      <c r="C41" s="11" t="n">
        <v>4760974</v>
      </c>
      <c r="D41" s="11" t="n">
        <v>0</v>
      </c>
      <c r="E41" s="11" t="n">
        <v>0</v>
      </c>
    </row>
    <row r="43" ht="42" customHeight="1">
      <c r="A43"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2:E2"/>
    <mergeCell ref="A1:E1"/>
    <mergeCell ref="A43:E43"/>
    <mergeCell ref="A3:E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Montebello Land and Water Company</t>
        </is>
      </c>
    </row>
    <row r="2">
      <c r="A2" s="2" t="inlineStr">
        <is>
          <t>Balance Sheet - Form 990 Part X (end of year, USD)</t>
        </is>
      </c>
    </row>
    <row r="3">
      <c r="A3" s="2" t="inlineStr">
        <is>
          <t>Entity ID: cawc_0031   |   Fiscal year ends June 30.</t>
        </is>
      </c>
    </row>
    <row r="5">
      <c r="A5" s="4" t="inlineStr">
        <is>
          <t>Part X line (column B, EOY)</t>
        </is>
      </c>
      <c r="B5" s="5" t="inlineStr">
        <is>
          <t>FY2021</t>
        </is>
      </c>
      <c r="C5" s="5" t="inlineStr">
        <is>
          <t>FY2022</t>
        </is>
      </c>
      <c r="D5" s="5" t="inlineStr">
        <is>
          <t>FY2023</t>
        </is>
      </c>
      <c r="E5" s="5" t="inlineStr">
        <is>
          <t>FY2024</t>
        </is>
      </c>
    </row>
    <row r="6">
      <c r="A6" s="6" t="inlineStr">
        <is>
          <t>Assets</t>
        </is>
      </c>
      <c r="B6" s="7" t="n"/>
      <c r="C6" s="7" t="n"/>
      <c r="D6" s="7" t="n"/>
      <c r="E6" s="7" t="n"/>
    </row>
    <row r="7">
      <c r="A7" s="8" t="inlineStr">
        <is>
          <t xml:space="preserve">    1. Cash - non-interest-bearing</t>
        </is>
      </c>
      <c r="B7" s="9" t="n">
        <v>57818</v>
      </c>
      <c r="C7" s="9" t="n">
        <v>517176</v>
      </c>
      <c r="D7" s="9" t="n">
        <v>543443</v>
      </c>
      <c r="E7" s="9" t="n">
        <v>217947</v>
      </c>
    </row>
    <row r="8">
      <c r="A8" s="8" t="inlineStr">
        <is>
          <t xml:space="preserve">    2. Savings and temporary cash investments</t>
        </is>
      </c>
      <c r="B8" s="9" t="n">
        <v>4428799</v>
      </c>
      <c r="C8" s="9" t="n">
        <v>3142076</v>
      </c>
      <c r="D8" s="9" t="n">
        <v>6967537</v>
      </c>
      <c r="E8" s="9" t="n">
        <v>6250170</v>
      </c>
    </row>
    <row r="9">
      <c r="A9" s="8" t="inlineStr">
        <is>
          <t xml:space="preserve">    4. Accounts receivable, net</t>
        </is>
      </c>
      <c r="B9" s="9" t="n">
        <v>751576</v>
      </c>
      <c r="C9" s="9" t="n">
        <v>845963</v>
      </c>
      <c r="D9" s="9" t="n">
        <v>1373920</v>
      </c>
      <c r="E9" s="9" t="n">
        <v>2474145</v>
      </c>
    </row>
    <row r="10">
      <c r="A10" s="8" t="inlineStr">
        <is>
          <t xml:space="preserve">    8. Inventories for sale or use</t>
        </is>
      </c>
      <c r="B10" s="9" t="n">
        <v>257880</v>
      </c>
      <c r="C10" s="9" t="n">
        <v>484939</v>
      </c>
      <c r="D10" s="9" t="n">
        <v>410183</v>
      </c>
      <c r="E10" s="9" t="n">
        <v>369901</v>
      </c>
    </row>
    <row r="11">
      <c r="A11" s="8" t="inlineStr">
        <is>
          <t xml:space="preserve">    9. Prepaid expenses and deferred charges</t>
        </is>
      </c>
      <c r="B11" s="9" t="n">
        <v>115546</v>
      </c>
      <c r="C11" s="9" t="n">
        <v>132648</v>
      </c>
      <c r="D11" s="9" t="n">
        <v>135542</v>
      </c>
      <c r="E11" s="9" t="n">
        <v>158416</v>
      </c>
    </row>
    <row r="12">
      <c r="A12" s="8" t="inlineStr">
        <is>
          <t xml:space="preserve">    10c. Land, buildings, and equipment, net</t>
        </is>
      </c>
      <c r="B12" s="9" t="n">
        <v>13597534</v>
      </c>
      <c r="C12" s="9" t="n">
        <v>13202371</v>
      </c>
      <c r="D12" s="9" t="n">
        <v>13132610</v>
      </c>
      <c r="E12" s="9" t="n">
        <v>13163606</v>
      </c>
    </row>
    <row r="13">
      <c r="A13" s="8" t="inlineStr">
        <is>
          <t xml:space="preserve">    12. Investments - other securities</t>
        </is>
      </c>
      <c r="B13" s="9" t="n">
        <v>1928709</v>
      </c>
      <c r="C13" s="9" t="n">
        <v>1749065</v>
      </c>
      <c r="D13" s="9" t="n">
        <v>1793863</v>
      </c>
      <c r="E13" s="9" t="n">
        <v>1819321</v>
      </c>
    </row>
    <row r="14">
      <c r="A14" s="8" t="inlineStr">
        <is>
          <t xml:space="preserve">    15. Other assets</t>
        </is>
      </c>
      <c r="B14" s="9" t="n">
        <v>4164381</v>
      </c>
      <c r="C14" s="9" t="n">
        <v>7528426</v>
      </c>
      <c r="D14" s="9" t="n">
        <v>8555498</v>
      </c>
      <c r="E14" s="9" t="n">
        <v>13514050</v>
      </c>
    </row>
    <row r="15">
      <c r="A15" s="10" t="inlineStr">
        <is>
          <t>16. Total assets</t>
        </is>
      </c>
      <c r="B15" s="11">
        <f>SUM(B7:B14)</f>
        <v/>
      </c>
      <c r="C15" s="11">
        <f>SUM(C7:C14)</f>
        <v/>
      </c>
      <c r="D15" s="11">
        <f>SUM(D7:D14)</f>
        <v/>
      </c>
      <c r="E15" s="11">
        <f>SUM(E7:E14)</f>
        <v/>
      </c>
    </row>
    <row r="17">
      <c r="A17" s="6" t="inlineStr">
        <is>
          <t>Liabilities</t>
        </is>
      </c>
      <c r="B17" s="7" t="n"/>
      <c r="C17" s="7" t="n"/>
      <c r="D17" s="7" t="n"/>
      <c r="E17" s="7" t="n"/>
    </row>
    <row r="18">
      <c r="A18" s="8" t="inlineStr">
        <is>
          <t xml:space="preserve">    17. Accounts payable and accrued expenses</t>
        </is>
      </c>
      <c r="B18" s="9" t="n">
        <v>42845</v>
      </c>
      <c r="C18" s="9" t="n">
        <v>53260</v>
      </c>
      <c r="D18" s="9" t="n">
        <v>209524</v>
      </c>
      <c r="E18" s="9" t="n">
        <v>482643</v>
      </c>
    </row>
    <row r="19">
      <c r="A19" s="8" t="inlineStr">
        <is>
          <t xml:space="preserve">    19. Deferred revenue</t>
        </is>
      </c>
      <c r="B19" s="9" t="n">
        <v>35111</v>
      </c>
      <c r="C19" s="9" t="n">
        <v>57501</v>
      </c>
      <c r="D19" s="9" t="n">
        <v>58326</v>
      </c>
      <c r="E19" s="9" t="n">
        <v>64413</v>
      </c>
    </row>
    <row r="20">
      <c r="A20" s="8" t="inlineStr">
        <is>
          <t xml:space="preserve">    25. Other liabilities</t>
        </is>
      </c>
      <c r="B20" s="9" t="n">
        <v>339124</v>
      </c>
      <c r="C20" s="9" t="n">
        <v>825897</v>
      </c>
      <c r="D20" s="9" t="n">
        <v>1123358</v>
      </c>
      <c r="E20" s="9" t="n">
        <v>223297</v>
      </c>
    </row>
    <row r="21">
      <c r="A21" s="10" t="inlineStr">
        <is>
          <t>26. Total liabilities</t>
        </is>
      </c>
      <c r="B21" s="11">
        <f>SUM(B18:B20)</f>
        <v/>
      </c>
      <c r="C21" s="11">
        <f>SUM(C18:C20)</f>
        <v/>
      </c>
      <c r="D21" s="11">
        <f>SUM(D18:D20)</f>
        <v/>
      </c>
      <c r="E21" s="11">
        <f>SUM(E18:E20)</f>
        <v/>
      </c>
    </row>
    <row r="23">
      <c r="A23" s="6" t="inlineStr">
        <is>
          <t>Net assets / fund balances</t>
        </is>
      </c>
      <c r="B23" s="7" t="n"/>
      <c r="C23" s="7" t="n"/>
      <c r="D23" s="7" t="n"/>
      <c r="E23" s="7" t="n"/>
    </row>
    <row r="24">
      <c r="A24" s="8" t="inlineStr">
        <is>
          <t xml:space="preserve">    29. Capital stock or trust principal</t>
        </is>
      </c>
      <c r="B24" s="9" t="n">
        <v>77813</v>
      </c>
      <c r="C24" s="9" t="n">
        <v>77813</v>
      </c>
      <c r="D24" s="9" t="n">
        <v>77813</v>
      </c>
      <c r="E24" s="9" t="n">
        <v>77813</v>
      </c>
    </row>
    <row r="25">
      <c r="A25" s="8" t="inlineStr">
        <is>
          <t xml:space="preserve">    30. Paid-in or capital surplus</t>
        </is>
      </c>
      <c r="B25" s="9" t="n">
        <v>3512</v>
      </c>
      <c r="C25" s="9" t="n">
        <v>3512</v>
      </c>
      <c r="D25" s="9" t="n">
        <v>3512</v>
      </c>
      <c r="E25" s="9" t="n">
        <v>3512</v>
      </c>
    </row>
    <row r="26">
      <c r="A26" s="8" t="inlineStr">
        <is>
          <t xml:space="preserve">    31. Retained earnings / accumulated funds</t>
        </is>
      </c>
      <c r="B26" s="9" t="n">
        <v>24803838</v>
      </c>
      <c r="C26" s="9" t="n">
        <v>26584681</v>
      </c>
      <c r="D26" s="9" t="n">
        <v>31440063</v>
      </c>
      <c r="E26" s="9" t="n">
        <v>37115878</v>
      </c>
    </row>
    <row r="27">
      <c r="A27" s="10" t="inlineStr">
        <is>
          <t>32. Total net assets / fund balances</t>
        </is>
      </c>
      <c r="B27" s="11">
        <f>SUM(B24:B26)</f>
        <v/>
      </c>
      <c r="C27" s="11">
        <f>SUM(C24:C26)</f>
        <v/>
      </c>
      <c r="D27" s="11">
        <f>SUM(D24:D26)</f>
        <v/>
      </c>
      <c r="E27" s="11">
        <f>SUM(E24:E26)</f>
        <v/>
      </c>
    </row>
    <row r="29" ht="42" customHeight="1">
      <c r="A29"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2:E2"/>
    <mergeCell ref="A29:E29"/>
    <mergeCell ref="A1:E1"/>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Montebello Land and Water Company</t>
        </is>
      </c>
    </row>
    <row r="2">
      <c r="A2" s="2" t="inlineStr">
        <is>
          <t>Reconciliation of Net Assets - Form 990 Part XI (USD)</t>
        </is>
      </c>
    </row>
    <row r="3">
      <c r="A3" s="2" t="inlineStr">
        <is>
          <t>Entity ID: cawc_0031   |   Fiscal year ends June 30.</t>
        </is>
      </c>
    </row>
    <row r="5">
      <c r="A5" s="4" t="inlineStr">
        <is>
          <t>Part XI line</t>
        </is>
      </c>
      <c r="B5" s="5" t="inlineStr">
        <is>
          <t>FY2021</t>
        </is>
      </c>
      <c r="C5" s="5" t="inlineStr">
        <is>
          <t>FY2022</t>
        </is>
      </c>
      <c r="D5" s="5" t="inlineStr">
        <is>
          <t>FY2023</t>
        </is>
      </c>
      <c r="E5" s="5" t="inlineStr">
        <is>
          <t>FY2024</t>
        </is>
      </c>
    </row>
    <row r="6">
      <c r="A6" s="6" t="inlineStr">
        <is>
          <t>Reconciliation</t>
        </is>
      </c>
      <c r="B6" s="7" t="n"/>
      <c r="C6" s="7" t="n"/>
      <c r="D6" s="7" t="n"/>
      <c r="E6" s="7" t="n"/>
    </row>
    <row r="7">
      <c r="A7" s="8" t="inlineStr">
        <is>
          <t xml:space="preserve">    4. Net assets, beginning of year</t>
        </is>
      </c>
      <c r="B7" s="9" t="n">
        <v>22825870</v>
      </c>
      <c r="C7" s="9" t="n">
        <v>24885163</v>
      </c>
      <c r="D7" s="9" t="n">
        <v>26666006</v>
      </c>
      <c r="E7" s="9" t="n">
        <v>31521388</v>
      </c>
    </row>
    <row r="8">
      <c r="A8" s="8" t="inlineStr">
        <is>
          <t xml:space="preserve">    3. Revenue less expenses</t>
        </is>
      </c>
      <c r="B8" s="9" t="n">
        <v>1136104</v>
      </c>
      <c r="C8" s="9" t="n">
        <v>1960432</v>
      </c>
      <c r="D8" s="9" t="n">
        <v>5237123</v>
      </c>
      <c r="E8" s="9" t="n">
        <v>5650358</v>
      </c>
    </row>
    <row r="9">
      <c r="A9" s="8" t="inlineStr">
        <is>
          <t xml:space="preserve">    8. Prior period adjustments</t>
        </is>
      </c>
      <c r="B9" s="19" t="inlineStr">
        <is>
          <t>not reported</t>
        </is>
      </c>
      <c r="C9" s="19" t="inlineStr">
        <is>
          <t>not reported</t>
        </is>
      </c>
      <c r="D9" s="19" t="inlineStr">
        <is>
          <t>not reported</t>
        </is>
      </c>
      <c r="E9" s="19" t="inlineStr">
        <is>
          <t>not reported</t>
        </is>
      </c>
    </row>
    <row r="10">
      <c r="A10" s="8" t="inlineStr">
        <is>
          <t xml:space="preserve">    9. Other changes in net assets</t>
        </is>
      </c>
      <c r="B10" s="9" t="n">
        <v>775988</v>
      </c>
      <c r="C10" s="9" t="n">
        <v>55</v>
      </c>
      <c r="D10" s="9" t="n">
        <v>-426539</v>
      </c>
      <c r="E10" s="9" t="n">
        <v>0</v>
      </c>
    </row>
    <row r="11">
      <c r="A11" s="10" t="inlineStr">
        <is>
          <t>10. Net assets, end of year</t>
        </is>
      </c>
      <c r="B11" s="11">
        <f>SUM(B7,B8,B9,B10)</f>
        <v/>
      </c>
      <c r="C11" s="11">
        <f>SUM(C7,C8,C9,C10)</f>
        <v/>
      </c>
      <c r="D11" s="11">
        <f>SUM(D7,D8,D9,D10)</f>
        <v/>
      </c>
      <c r="E11" s="11">
        <f>SUM(E7,E8,E9,E10)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2:E2"/>
    <mergeCell ref="A1:E1"/>
    <mergeCell ref="A13:E13"/>
    <mergeCell ref="A3:E3"/>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s>
  <sheetData>
    <row r="1">
      <c r="A1" s="1" t="inlineStr">
        <is>
          <t>Montebello Land and Water Company</t>
        </is>
      </c>
    </row>
    <row r="2">
      <c r="A2" s="2" t="inlineStr">
        <is>
          <t>Cash Flow Proxies - derived (USD)</t>
        </is>
      </c>
    </row>
    <row r="3">
      <c r="A3" s="2" t="inlineStr">
        <is>
          <t>Entity ID: cawc_0031   |   Fiscal year ends June 30.</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FY2021</t>
        </is>
      </c>
      <c r="C7" s="5" t="inlineStr">
        <is>
          <t>FY2022</t>
        </is>
      </c>
      <c r="D7" s="5" t="inlineStr">
        <is>
          <t>FY2023</t>
        </is>
      </c>
      <c r="E7" s="5" t="inlineStr">
        <is>
          <t>FY2024</t>
        </is>
      </c>
    </row>
    <row r="8">
      <c r="A8" s="6" t="inlineStr">
        <is>
          <t>Operating</t>
        </is>
      </c>
      <c r="B8" s="7" t="n"/>
      <c r="C8" s="7" t="n"/>
      <c r="D8" s="7" t="n"/>
      <c r="E8" s="7" t="n"/>
    </row>
    <row r="9">
      <c r="A9" s="8" t="inlineStr">
        <is>
          <t xml:space="preserve">    Net income</t>
        </is>
      </c>
      <c r="B9" s="9" t="n">
        <v>1136104</v>
      </c>
      <c r="C9" s="9" t="n">
        <v>1960432</v>
      </c>
      <c r="D9" s="9" t="n">
        <v>5237123</v>
      </c>
      <c r="E9" s="9" t="n">
        <v>5650358</v>
      </c>
    </row>
    <row r="10">
      <c r="A10" s="8" t="inlineStr">
        <is>
          <t xml:space="preserve">    + Depreciation (reported)</t>
        </is>
      </c>
      <c r="B10" s="9" t="n">
        <v>700696</v>
      </c>
      <c r="C10" s="9" t="n">
        <v>705040</v>
      </c>
      <c r="D10" s="9" t="n">
        <v>701606</v>
      </c>
      <c r="E10" s="9" t="n">
        <v>719217</v>
      </c>
    </row>
    <row r="11">
      <c r="A11" s="8" t="inlineStr">
        <is>
          <t xml:space="preserve">    − Δ Accounts receivable</t>
        </is>
      </c>
      <c r="B11" s="9" t="n"/>
      <c r="C11" s="9" t="n">
        <v>-94387</v>
      </c>
      <c r="D11" s="9" t="n">
        <v>-527957</v>
      </c>
      <c r="E11" s="9" t="n">
        <v>-1100225</v>
      </c>
    </row>
    <row r="12">
      <c r="A12" s="8" t="inlineStr">
        <is>
          <t xml:space="preserve">    − Δ Inventories</t>
        </is>
      </c>
      <c r="B12" s="9" t="n"/>
      <c r="C12" s="9" t="n">
        <v>-227059</v>
      </c>
      <c r="D12" s="9" t="n">
        <v>74756</v>
      </c>
      <c r="E12" s="9" t="n">
        <v>40282</v>
      </c>
    </row>
    <row r="13">
      <c r="A13" s="8" t="inlineStr">
        <is>
          <t xml:space="preserve">    − Δ Prepaid expenses</t>
        </is>
      </c>
      <c r="B13" s="9" t="n"/>
      <c r="C13" s="9" t="n">
        <v>-17102</v>
      </c>
      <c r="D13" s="9" t="n">
        <v>-2894</v>
      </c>
      <c r="E13" s="9" t="n">
        <v>-22874</v>
      </c>
    </row>
    <row r="14">
      <c r="A14" s="8" t="inlineStr">
        <is>
          <t xml:space="preserve">    + Δ Accounts payable</t>
        </is>
      </c>
      <c r="B14" s="9" t="n"/>
      <c r="C14" s="9" t="n">
        <v>10415</v>
      </c>
      <c r="D14" s="9" t="n">
        <v>156264</v>
      </c>
      <c r="E14" s="9" t="n">
        <v>273119</v>
      </c>
    </row>
    <row r="15">
      <c r="A15" s="10" t="inlineStr">
        <is>
          <t xml:space="preserve">    Operating cash flow proxy</t>
        </is>
      </c>
      <c r="B15" s="11" t="n"/>
      <c r="C15" s="11" t="n">
        <v>2337339</v>
      </c>
      <c r="D15" s="11" t="n">
        <v>5638898</v>
      </c>
      <c r="E15" s="11" t="n">
        <v>5559877</v>
      </c>
    </row>
    <row r="17">
      <c r="A17" s="6" t="inlineStr">
        <is>
          <t>Investing</t>
        </is>
      </c>
      <c r="B17" s="7" t="n"/>
      <c r="C17" s="7" t="n"/>
      <c r="D17" s="7" t="n"/>
      <c r="E17" s="7" t="n"/>
    </row>
    <row r="18">
      <c r="A18" s="8" t="inlineStr">
        <is>
          <t xml:space="preserve">    − Δ PP&amp;E gross (capex proxy)</t>
        </is>
      </c>
      <c r="B18" s="9" t="n"/>
      <c r="C18" s="9" t="n">
        <v>-272714</v>
      </c>
      <c r="D18" s="9" t="n">
        <v>-631846</v>
      </c>
      <c r="E18" s="9" t="n">
        <v>-715631</v>
      </c>
    </row>
    <row r="20">
      <c r="A20" s="6" t="inlineStr">
        <is>
          <t>Financing</t>
        </is>
      </c>
      <c r="B20" s="7" t="n"/>
      <c r="C20" s="7" t="n"/>
      <c r="D20" s="7" t="n"/>
      <c r="E20" s="7" t="n"/>
    </row>
    <row r="21">
      <c r="A21" s="8" t="inlineStr">
        <is>
          <t xml:space="preserve">    Δ Mortgages &amp; notes payable</t>
        </is>
      </c>
      <c r="B21" s="9" t="n"/>
      <c r="C21" s="9" t="n"/>
      <c r="D21" s="9" t="n"/>
      <c r="E21" s="9" t="n"/>
    </row>
    <row r="23">
      <c r="A23" s="6" t="inlineStr">
        <is>
          <t>Reconciliation</t>
        </is>
      </c>
      <c r="B23" s="7" t="n"/>
      <c r="C23" s="7" t="n"/>
      <c r="D23" s="7" t="n"/>
      <c r="E23" s="7" t="n"/>
    </row>
    <row r="24">
      <c r="A24" s="10" t="inlineStr">
        <is>
          <t xml:space="preserve">    Δ Cash + temp. investments (actual)</t>
        </is>
      </c>
      <c r="B24" s="11" t="n"/>
      <c r="C24" s="11" t="n">
        <v>-827365</v>
      </c>
      <c r="D24" s="11" t="n">
        <v>3851728</v>
      </c>
      <c r="E24" s="11" t="n">
        <v>-1042863</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6:E26"/>
    <mergeCell ref="A2:E2"/>
    <mergeCell ref="A1:E1"/>
    <mergeCell ref="A5:E5"/>
    <mergeCell ref="A3:E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Montebello Land and Water Company</t>
        </is>
      </c>
    </row>
    <row r="2">
      <c r="A2" s="2" t="inlineStr">
        <is>
          <t>Financial Ratios</t>
        </is>
      </c>
    </row>
    <row r="3">
      <c r="A3" s="2" t="inlineStr">
        <is>
          <t>Entity ID: cawc_0031   |   Fiscal year ends June 30.</t>
        </is>
      </c>
    </row>
    <row r="5">
      <c r="A5" s="4" t="inlineStr">
        <is>
          <t>Ratio</t>
        </is>
      </c>
      <c r="B5" s="5" t="inlineStr">
        <is>
          <t>FY2021</t>
        </is>
      </c>
      <c r="C5" s="5" t="inlineStr">
        <is>
          <t>FY2022</t>
        </is>
      </c>
      <c r="D5" s="5" t="inlineStr">
        <is>
          <t>FY2023</t>
        </is>
      </c>
      <c r="E5" s="5" t="inlineStr">
        <is>
          <t>FY2024</t>
        </is>
      </c>
    </row>
    <row r="6">
      <c r="A6" s="6" t="inlineStr">
        <is>
          <t>Profitability (computed upstream)</t>
        </is>
      </c>
      <c r="B6" s="7" t="n"/>
      <c r="C6" s="7" t="n"/>
      <c r="D6" s="7" t="n"/>
      <c r="E6" s="7" t="n"/>
    </row>
    <row r="7">
      <c r="A7" s="8" t="inlineStr">
        <is>
          <t xml:space="preserve">    Operating margin (NI / revenue)</t>
        </is>
      </c>
      <c r="B7" s="12" t="n">
        <v>0.185647736906333</v>
      </c>
      <c r="C7" s="12" t="n">
        <v>0.2895185481422322</v>
      </c>
      <c r="D7" s="12" t="n">
        <v>0.5224872242054056</v>
      </c>
      <c r="E7" s="12" t="n">
        <v>0.5427123061679332</v>
      </c>
    </row>
    <row r="8">
      <c r="A8" s="8" t="inlineStr">
        <is>
          <t xml:space="preserve">    Expense ratio (expenses / revenue)</t>
        </is>
      </c>
      <c r="B8" s="12" t="n">
        <v>0.814352263093667</v>
      </c>
      <c r="C8" s="12" t="n">
        <v>0.7104814518577679</v>
      </c>
      <c r="D8" s="12" t="n">
        <v>0.4775127757945944</v>
      </c>
      <c r="E8" s="12" t="n">
        <v>0.4572876938320669</v>
      </c>
    </row>
    <row r="9">
      <c r="A9" s="8" t="inlineStr">
        <is>
          <t xml:space="preserve">    Return on assets (NI / assets)</t>
        </is>
      </c>
      <c r="B9" s="12" t="n">
        <v>0.04490131566596685</v>
      </c>
      <c r="C9" s="12" t="n">
        <v>0.07102328963610179</v>
      </c>
      <c r="D9" s="12" t="n">
        <v>0.1591221488575377</v>
      </c>
      <c r="E9" s="12" t="n">
        <v>0.1488206931201998</v>
      </c>
    </row>
    <row r="10">
      <c r="A10" s="8" t="inlineStr">
        <is>
          <t xml:space="preserve">    Revenue growth (YoY)</t>
        </is>
      </c>
      <c r="B10" s="12" t="n">
        <v>-0.001768854844287271</v>
      </c>
      <c r="C10" s="12" t="n">
        <v>0.1064886441700508</v>
      </c>
      <c r="D10" s="12" t="n">
        <v>0.4802726250237767</v>
      </c>
      <c r="E10" s="12" t="n">
        <v>0.03869776534958483</v>
      </c>
    </row>
    <row r="12">
      <c r="A12" s="6" t="inlineStr">
        <is>
          <t>Leverage &amp; solvency</t>
        </is>
      </c>
      <c r="B12" s="7" t="n"/>
      <c r="C12" s="7" t="n"/>
      <c r="D12" s="7" t="n"/>
      <c r="E12" s="7" t="n"/>
    </row>
    <row r="13">
      <c r="A13" s="8" t="inlineStr">
        <is>
          <t xml:space="preserve">    Debt-to-assets (liab. / assets)</t>
        </is>
      </c>
      <c r="B13" s="12" t="n">
        <v>0.0164839140940983</v>
      </c>
      <c r="C13" s="12" t="n">
        <v>0.03393360872704171</v>
      </c>
      <c r="D13" s="12" t="n">
        <v>0.04226977416184369</v>
      </c>
      <c r="E13" s="12" t="n">
        <v>0.02028977056094946</v>
      </c>
    </row>
    <row r="14">
      <c r="A14" s="8" t="inlineStr">
        <is>
          <t xml:space="preserve">    Equity ratio (net assets / assets)</t>
        </is>
      </c>
      <c r="B14" s="12" t="n">
        <v>0.9835160859059017</v>
      </c>
      <c r="C14" s="12" t="n">
        <v>0.9660663912729582</v>
      </c>
      <c r="D14" s="12" t="n">
        <v>0.9577302258381563</v>
      </c>
      <c r="E14" s="12" t="n">
        <v>0.9797102294390505</v>
      </c>
    </row>
    <row r="16">
      <c r="A16" s="6" t="inlineStr">
        <is>
          <t>Liquidity &amp; asset profile (derived here)</t>
        </is>
      </c>
      <c r="B16" s="7" t="n"/>
      <c r="C16" s="7" t="n"/>
      <c r="D16" s="7" t="n"/>
      <c r="E16" s="7" t="n"/>
    </row>
    <row r="17">
      <c r="A17" s="8" t="inlineStr">
        <is>
          <t xml:space="preserve">    Current ratio (current assets / AP)</t>
        </is>
      </c>
      <c r="B17" s="21" t="n">
        <v>130.9748862177617</v>
      </c>
      <c r="C17" s="21" t="n">
        <v>96.18479158843409</v>
      </c>
      <c r="D17" s="21" t="n">
        <v>45.0097602183998</v>
      </c>
      <c r="E17" s="21" t="n">
        <v>19.62232747600193</v>
      </c>
    </row>
    <row r="18">
      <c r="A18" s="8" t="inlineStr">
        <is>
          <t xml:space="preserve">    Cash ratio ((cash+temp inv.) / total liab.)</t>
        </is>
      </c>
      <c r="B18" s="21" t="n">
        <v>10.75720964802916</v>
      </c>
      <c r="C18" s="21" t="n">
        <v>3.906710880598895</v>
      </c>
      <c r="D18" s="21" t="n">
        <v>5.398890748184312</v>
      </c>
      <c r="E18" s="21" t="n">
        <v>8.396302733941452</v>
      </c>
    </row>
    <row r="19">
      <c r="A19" s="8" t="inlineStr">
        <is>
          <t xml:space="preserve">    Asset age proxy (accum. deprec. / gross PP&amp;E)</t>
        </is>
      </c>
      <c r="B19" s="12" t="n">
        <v>0.4947459844807609</v>
      </c>
      <c r="C19" s="12" t="n">
        <v>0.5143506597961588</v>
      </c>
      <c r="D19" s="12" t="n">
        <v>0.5278898212460059</v>
      </c>
      <c r="E19" s="12" t="n">
        <v>0.5386446119760284</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E2"/>
    <mergeCell ref="A21:E21"/>
    <mergeCell ref="A1:E1"/>
    <mergeCell ref="A3:E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Montebello Land and Water Company</t>
        </is>
      </c>
    </row>
    <row r="2">
      <c r="A2" s="2" t="inlineStr">
        <is>
          <t>Unit economics - per-customer revenue by category (USD)</t>
        </is>
      </c>
    </row>
    <row r="3">
      <c r="A3" s="2" t="inlineStr">
        <is>
          <t>Entity ID: cawc_0031   |   Fiscal year ends June 30.</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2" t="inlineStr">
        <is>
          <t>Per-customer denominator (service connections)</t>
        </is>
      </c>
      <c r="B6" s="23" t="n">
        <v>3956</v>
      </c>
      <c r="C6" s="24" t="inlineStr">
        <is>
          <t>State Water Board eAR Section 4 (CurTotalConnections), reporting year 2024</t>
        </is>
      </c>
    </row>
    <row r="7">
      <c r="A7" s="22" t="inlineStr">
        <is>
          <t>Total annual revenue (eAR Section 8b B1.8)</t>
        </is>
      </c>
      <c r="B7" s="9" t="n">
        <v>6715191</v>
      </c>
      <c r="C7" s="24" t="inlineStr">
        <is>
          <t>State Water Board eAR Section 8b, question B1.8 (total annual revenue), reporting year 2024</t>
        </is>
      </c>
    </row>
    <row r="8">
      <c r="A8" s="22" t="inlineStr">
        <is>
          <t>Primary source</t>
        </is>
      </c>
      <c r="B8" s="25" t="inlineStr"/>
      <c r="C8" s="24" t="inlineStr">
        <is>
          <t>State Water Board eAR Section 8b (revenue by rate/fee), reporting year 2024</t>
        </is>
      </c>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6" t="inlineStr">
        <is>
          <t>DIRECT</t>
        </is>
      </c>
      <c r="C12" s="9" t="n">
        <v>6662418</v>
      </c>
      <c r="D12" s="27" t="n">
        <v>1684.13</v>
      </c>
      <c r="E12" s="28" t="n">
        <v>0.9921</v>
      </c>
    </row>
    <row r="13">
      <c r="A13" s="8" t="inlineStr">
        <is>
          <t>Assessment revenue (990 program-service revenue not matched to eAR water-rate revenue)</t>
        </is>
      </c>
      <c r="B13" s="26" t="inlineStr">
        <is>
          <t>DERIVED</t>
        </is>
      </c>
      <c r="C13" s="9" t="n">
        <v>123944</v>
      </c>
      <c r="D13" s="27" t="n">
        <v>31.33</v>
      </c>
      <c r="E13" s="28" t="n">
        <v>0.0183</v>
      </c>
    </row>
    <row r="14">
      <c r="A14" s="8" t="inlineStr">
        <is>
          <t>Meter revenue</t>
        </is>
      </c>
      <c r="B14" s="26" t="inlineStr">
        <is>
          <t>not reported</t>
        </is>
      </c>
      <c r="C14" s="29" t="inlineStr">
        <is>
          <t>not reported</t>
        </is>
      </c>
      <c r="D14" s="29" t="inlineStr">
        <is>
          <t>not reported</t>
        </is>
      </c>
      <c r="E14" s="29" t="inlineStr">
        <is>
          <t>not reported</t>
        </is>
      </c>
    </row>
    <row r="15">
      <c r="A15" s="8" t="inlineStr">
        <is>
          <t>Overage or tiered penalty revenue</t>
        </is>
      </c>
      <c r="B15" s="26" t="inlineStr">
        <is>
          <t>not reported</t>
        </is>
      </c>
      <c r="C15" s="29" t="inlineStr">
        <is>
          <t>not reported</t>
        </is>
      </c>
      <c r="D15" s="29" t="inlineStr">
        <is>
          <t>not reported</t>
        </is>
      </c>
      <c r="E15" s="29" t="inlineStr">
        <is>
          <t>not reported</t>
        </is>
      </c>
    </row>
    <row r="17">
      <c r="A17" s="6" t="inlineStr">
        <is>
          <t>Water sales revenue - DIRECT</t>
        </is>
      </c>
      <c r="B17" s="7" t="n"/>
      <c r="C17" s="7" t="n"/>
      <c r="D17" s="7" t="n"/>
      <c r="E17" s="7" t="n"/>
    </row>
    <row r="18" ht="51" customHeight="1">
      <c r="A18" s="3" t="inlineStr">
        <is>
          <t>Revenue customers paid for water service, read straight off the filed eAR Section 8b water-rate line. A DIRECT filed figure, not computed by us.</t>
        </is>
      </c>
    </row>
    <row r="19">
      <c r="A19" s="22" t="inlineStr">
        <is>
          <t>Numerator: Water rate revenue</t>
        </is>
      </c>
      <c r="B19" s="9" t="n">
        <v>6662418</v>
      </c>
      <c r="C19" s="24" t="inlineStr">
        <is>
          <t>eAR Section 8b field B1.1 (residential water rates) + B1.2 (non-residential water rates). State Water Board eAR Section 8b, question B1.1 + B1.2 (revenue from water rates), reporting year 2024</t>
        </is>
      </c>
    </row>
    <row r="20">
      <c r="A20" s="22" t="inlineStr">
        <is>
          <t>Denominator: Total service connections</t>
        </is>
      </c>
      <c r="B20" s="23" t="n">
        <v>3956</v>
      </c>
      <c r="C20" s="24" t="inlineStr">
        <is>
          <t>eAR Section 4 CurTotalConnections, reporting year 2024. State Water Board eAR Section 4 (CurTotalConnections), reporting year 2024</t>
        </is>
      </c>
    </row>
    <row r="21" ht="36" customHeight="1">
      <c r="A21" s="3" t="inlineStr">
        <is>
          <t>Per customer: water rate revenue $6,662,418 / 3,956 connections = $1,684.13 per connection</t>
        </is>
      </c>
    </row>
    <row r="22" ht="36" customHeight="1">
      <c r="A22" s="3" t="inlineStr">
        <is>
          <t>Share of revenue: water rate revenue $6,662,418 / total annual revenue (eAR Section 8b B1.8) $6,715,191 = 99.21%</t>
        </is>
      </c>
    </row>
    <row r="23" ht="81" customHeight="1">
      <c r="A23" s="3" t="inlineStr">
        <is>
          <t>Period treatment: Numerator (eAR Section 8b, the fiscal year ending June 30, 2024) and denominator (eAR Section 4 connections reported in the same eAR filing) are both the eAR reporting year 2024, so the two sides are bound to the same reporting year.</t>
        </is>
      </c>
    </row>
    <row r="24" ht="66" customHeight="1">
      <c r="A24" s="3" t="inlineStr">
        <is>
          <t>Rationale: Dividing water-rate revenue by the number of metered service connections gives the average revenue per customer; dividing by total annual revenue shows how much of the system's income comes from water rates.</t>
        </is>
      </c>
    </row>
    <row r="26">
      <c r="A26" s="6" t="inlineStr">
        <is>
          <t>Assessment revenue (990 program-service revenue not matched to eAR water-rate revenue) - DERIVED</t>
        </is>
      </c>
      <c r="B26" s="7" t="n"/>
      <c r="C26" s="7" t="n"/>
      <c r="D26" s="7" t="n"/>
      <c r="E26" s="7" t="n"/>
    </row>
    <row r="27" ht="66" customHeight="1">
      <c r="A27" s="3" t="inlineStr">
        <is>
          <t>A DERIVED residual (medium confidence): the part of the Form 990 program-service revenue that is not matched by the eAR water-rate revenue for the same period. Computed by us, not a filed line.</t>
        </is>
      </c>
    </row>
    <row r="28">
      <c r="A28" s="22" t="inlineStr">
        <is>
          <t>Input A: Form 990 program-service revenue</t>
        </is>
      </c>
      <c r="B28" s="9" t="n">
        <v>6786362</v>
      </c>
      <c r="C28" s="24" t="inlineStr">
        <is>
          <t>Form 990 Part VIII line 2 (total program-service revenue), fiscal year 2024 ending June 30, 2024</t>
        </is>
      </c>
    </row>
    <row r="29">
      <c r="A29" s="22" t="inlineStr">
        <is>
          <t>Input B: eAR water-rate revenue</t>
        </is>
      </c>
      <c r="B29" s="9" t="n">
        <v>6662418</v>
      </c>
      <c r="C29" s="24" t="inlineStr">
        <is>
          <t>State Water Board eAR Section 8b, question B1.1 + B1.2 (revenue from water rates), reporting year 2024</t>
        </is>
      </c>
    </row>
    <row r="30">
      <c r="A30" s="14" t="inlineStr">
        <is>
          <t>Residual (A minus B) = assessment revenue</t>
        </is>
      </c>
      <c r="B30" s="15">
        <f>B28-B29</f>
        <v/>
      </c>
      <c r="C30" s="24" t="inlineStr">
        <is>
          <t>$6,786,362 (990 program-service revenue) minus $6,662,418 (eAR water-rate revenue) = $123,944</t>
        </is>
      </c>
    </row>
    <row r="31" ht="66" customHeight="1">
      <c r="A31" s="3" t="inlineStr">
        <is>
          <t>Period alignment: Both inputs cover the same period: the eAR Section 8b is the fiscal year ending June 30, 2024 and the Form 990 fiscal year 2024 ends June 30, 2024, so the residual is period-aligned.</t>
        </is>
      </c>
    </row>
    <row r="32" ht="51" customHeight="1">
      <c r="A32" s="3" t="inlineStr">
        <is>
          <t>What it IS: revenue the system booked as program service on its 990 that is not accounted for by the eAR water-rate line, plausibly member assessments and other service revenue.</t>
        </is>
      </c>
    </row>
    <row r="33" ht="51" customHeight="1">
      <c r="A33" s="3" t="inlineStr">
        <is>
          <t>This residual is a difference between two sources for the same period; it is not a separately filed assessment line and may include other unmatched revenue.</t>
        </is>
      </c>
    </row>
    <row r="34">
      <c r="A34" s="22" t="inlineStr">
        <is>
          <t>Denominator: Total service connections</t>
        </is>
      </c>
      <c r="B34" s="23" t="n">
        <v>3956</v>
      </c>
      <c r="C34" s="24" t="inlineStr">
        <is>
          <t>eAR Section 4 CurTotalConnections, reporting year 2024. State Water Board eAR Section 4 (CurTotalConnections), reporting year 2024</t>
        </is>
      </c>
    </row>
    <row r="35" ht="36" customHeight="1">
      <c r="A35" s="3" t="inlineStr">
        <is>
          <t>Per customer: residual $123,944 / 3,956 connections = $31.33 per connection</t>
        </is>
      </c>
    </row>
    <row r="36" ht="36" customHeight="1">
      <c r="A36" s="3" t="inlineStr">
        <is>
          <t>Share of revenue: residual $123,944 / 990 program-service revenue $6,786,362 = 1.83%</t>
        </is>
      </c>
    </row>
    <row r="38">
      <c r="A38" s="6" t="inlineStr">
        <is>
          <t>Meter revenue - not reported</t>
        </is>
      </c>
      <c r="B38" s="7" t="n"/>
      <c r="C38" s="7" t="n"/>
      <c r="D38" s="7" t="n"/>
      <c r="E38" s="7" t="n"/>
    </row>
    <row r="39" ht="36" customHeight="1">
      <c r="A39" s="3" t="inlineStr">
        <is>
          <t>Not reported. This category is not built because doing so would double-count.</t>
        </is>
      </c>
    </row>
    <row r="40" ht="81" customHeight="1">
      <c r="A40"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42">
      <c r="A42" s="6" t="inlineStr">
        <is>
          <t>Overage or tiered penalty revenue - not reported</t>
        </is>
      </c>
      <c r="B42" s="7" t="n"/>
      <c r="C42" s="7" t="n"/>
      <c r="D42" s="7" t="n"/>
      <c r="E42" s="7" t="n"/>
    </row>
    <row r="43" ht="36" customHeight="1">
      <c r="A43" s="3" t="inlineStr">
        <is>
          <t>Not reported. This category is not built because doing so would double-count.</t>
        </is>
      </c>
    </row>
    <row r="44" ht="81" customHeight="1">
      <c r="A44"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9">
    <mergeCell ref="A39:E39"/>
    <mergeCell ref="A24:E24"/>
    <mergeCell ref="A1:E1"/>
    <mergeCell ref="A36:E36"/>
    <mergeCell ref="A18:E18"/>
    <mergeCell ref="A27:E27"/>
    <mergeCell ref="A3:E3"/>
    <mergeCell ref="A21:E21"/>
    <mergeCell ref="A2:E2"/>
    <mergeCell ref="A33:E33"/>
    <mergeCell ref="A5:E5"/>
    <mergeCell ref="A23:E23"/>
    <mergeCell ref="A32:E32"/>
    <mergeCell ref="A22:E22"/>
    <mergeCell ref="A35:E35"/>
    <mergeCell ref="A43:E43"/>
    <mergeCell ref="A31:E31"/>
    <mergeCell ref="A44:E44"/>
    <mergeCell ref="A40:E4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0"/>
  <sheetViews>
    <sheetView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s>
  <sheetData>
    <row r="1">
      <c r="A1" s="1" t="inlineStr">
        <is>
          <t>Montebello Land and Water Company</t>
        </is>
      </c>
    </row>
    <row r="2">
      <c r="A2" s="2" t="inlineStr">
        <is>
          <t>Rate structure and representative bill - eAR Section 8a (RY2024)</t>
        </is>
      </c>
    </row>
    <row r="3">
      <c r="A3" s="2" t="inlineStr">
        <is>
          <t>Entity ID: cawc_0031   |   Fiscal year ends June 30.</t>
        </is>
      </c>
    </row>
    <row r="5" ht="81" customHeight="1">
      <c r="A5" s="30" t="inlineStr">
        <is>
          <t>This block is a rate-schedule illustration at defined usage levels. It is NOT billed revenue and not a claim about any real customer's usage. The revenue side of unit economics is the separate Unit Economics block.</t>
        </is>
      </c>
    </row>
    <row r="6" ht="51" customHeight="1">
      <c r="A6" s="31" t="inlineStr">
        <is>
          <t>Structure: Tiered increasing-block with a fixed base, billed bimonthly, priced per HCF. Rate schedule last updated 09/01/2024.</t>
        </is>
      </c>
    </row>
    <row r="7" ht="216" customHeight="1">
      <c r="A7" s="3" t="inlineStr">
        <is>
          <t>Defined single-family usage levels, identical for every company so the bill is comparable: Low = 5 HCF/month (~125 gallons/day); Median = 10 HCF/month (~249 gallons/day); High = 25 HCF/month (~623 gallons/day). 1 HCF = 748 gallons, and 1 thousand gallons = 1,000 gallons. The usage is converted into the company's own filed unit before the filed tiers are applied, and the bill is stated as a monthly equivalent: a bimonthly structure is computed at twice the monthly usage and divided by two, and any other billing period the same way with its factor stated. These are an illustration, not a measured usage for any real customer.</t>
        </is>
      </c>
    </row>
    <row r="9">
      <c r="A9" s="6" t="inlineStr">
        <is>
          <t>Defined usage levels (EDITABLE - change a yellow cell to move the bill)</t>
        </is>
      </c>
      <c r="B9" s="7" t="n"/>
      <c r="C9" s="7" t="n"/>
      <c r="D9" s="7" t="n"/>
    </row>
    <row r="10">
      <c r="A10" s="32" t="inlineStr"/>
      <c r="B10" s="5" t="inlineStr">
        <is>
          <t>Low</t>
        </is>
      </c>
      <c r="C10" s="5" t="inlineStr">
        <is>
          <t>Median</t>
        </is>
      </c>
      <c r="D10" s="5" t="inlineStr">
        <is>
          <t>High</t>
        </is>
      </c>
    </row>
    <row r="11">
      <c r="A11" s="8" t="inlineStr">
        <is>
          <t>Monthly usage (HCF)</t>
        </is>
      </c>
      <c r="B11" s="33" t="n">
        <v>5</v>
      </c>
      <c r="C11" s="33" t="n">
        <v>10</v>
      </c>
      <c r="D11" s="33" t="n">
        <v>25</v>
      </c>
    </row>
    <row r="12">
      <c r="A12" s="8" t="inlineStr">
        <is>
          <t>Months per bill (from filed billing frequency)</t>
        </is>
      </c>
      <c r="B12" s="34" t="n">
        <v>2</v>
      </c>
      <c r="C12" s="13" t="inlineStr">
        <is>
          <t>bimonthly biller</t>
        </is>
      </c>
    </row>
    <row r="14">
      <c r="A14" s="6" t="inlineStr">
        <is>
          <t>Filed rate table - single-family residential (as filed, eAR Section 8a)</t>
        </is>
      </c>
      <c r="B14" s="7" t="n"/>
      <c r="C14" s="7" t="n"/>
      <c r="D14" s="7" t="n"/>
    </row>
    <row r="15">
      <c r="A15" s="8" t="inlineStr">
        <is>
          <t>Base / fixed charge per bimonthly bill ($)</t>
        </is>
      </c>
      <c r="B15" s="27" t="n">
        <v>40.08</v>
      </c>
    </row>
    <row r="16">
      <c r="A16" s="4" t="inlineStr">
        <is>
          <t>Tier</t>
        </is>
      </c>
      <c r="B16" s="4" t="inlineStr">
        <is>
          <t>Range (HCF)</t>
        </is>
      </c>
      <c r="C16" s="35" t="inlineStr">
        <is>
          <t>Price ($/HCF)</t>
        </is>
      </c>
      <c r="D16" s="35" t="inlineStr">
        <is>
          <t>Upper limit (HCF)</t>
        </is>
      </c>
    </row>
    <row r="17">
      <c r="A17" s="8" t="inlineStr">
        <is>
          <t>Tier 1</t>
        </is>
      </c>
      <c r="B17" s="8" t="inlineStr">
        <is>
          <t>0 to 18 HCF</t>
        </is>
      </c>
      <c r="C17" s="36" t="n">
        <v>3.31</v>
      </c>
      <c r="D17" s="37" t="n">
        <v>18</v>
      </c>
    </row>
    <row r="18">
      <c r="A18" s="8" t="inlineStr">
        <is>
          <t>Tier 2</t>
        </is>
      </c>
      <c r="B18" s="8" t="inlineStr">
        <is>
          <t>18 to 35 HCF</t>
        </is>
      </c>
      <c r="C18" s="36" t="n">
        <v>3.69</v>
      </c>
      <c r="D18" s="37" t="n">
        <v>35</v>
      </c>
    </row>
    <row r="19">
      <c r="A19" s="8" t="inlineStr">
        <is>
          <t>Tier 3</t>
        </is>
      </c>
      <c r="B19" s="8" t="inlineStr">
        <is>
          <t>over 35 HCF</t>
        </is>
      </c>
      <c r="C19" s="36" t="n">
        <v>4.93</v>
      </c>
      <c r="D19" s="37" t="inlineStr">
        <is>
          <t>no limit</t>
        </is>
      </c>
    </row>
    <row r="21">
      <c r="A21" s="6" t="inlineStr">
        <is>
          <t>Representative monthly bill - LIVE (edit a yellow usage cell to recompute)</t>
        </is>
      </c>
      <c r="B21" s="7" t="n"/>
      <c r="C21" s="7" t="n"/>
      <c r="D21" s="7" t="n"/>
    </row>
    <row r="22">
      <c r="A22" s="32" t="inlineStr"/>
      <c r="B22" s="5" t="inlineStr">
        <is>
          <t>Low</t>
        </is>
      </c>
      <c r="C22" s="5" t="inlineStr">
        <is>
          <t>Median</t>
        </is>
      </c>
      <c r="D22" s="5" t="inlineStr">
        <is>
          <t>High</t>
        </is>
      </c>
    </row>
    <row r="23">
      <c r="A23" s="8" t="inlineStr">
        <is>
          <t>Usage per bill (HCF)</t>
        </is>
      </c>
      <c r="B23" s="38">
        <f>B11*$B$12</f>
        <v/>
      </c>
      <c r="C23" s="38">
        <f>C11*$B$12</f>
        <v/>
      </c>
      <c r="D23" s="38">
        <f>D11*$B$12</f>
        <v/>
      </c>
    </row>
    <row r="24">
      <c r="A24" s="8" t="inlineStr">
        <is>
          <t xml:space="preserve">    Tier 1 charge per bill ($)</t>
        </is>
      </c>
      <c r="B24" s="39">
        <f>$C$17*MAX(0,MIN(B23,$D$17)-0)</f>
        <v/>
      </c>
      <c r="C24" s="39">
        <f>$C$17*MAX(0,MIN(C23,$D$17)-0)</f>
        <v/>
      </c>
      <c r="D24" s="39">
        <f>$C$17*MAX(0,MIN(D23,$D$17)-0)</f>
        <v/>
      </c>
    </row>
    <row r="25">
      <c r="A25" s="8" t="inlineStr">
        <is>
          <t xml:space="preserve">    Tier 2 charge per bill ($)</t>
        </is>
      </c>
      <c r="B25" s="39">
        <f>$C$18*MAX(0,MIN(B23,$D$18)-$D$17)</f>
        <v/>
      </c>
      <c r="C25" s="39">
        <f>$C$18*MAX(0,MIN(C23,$D$18)-$D$17)</f>
        <v/>
      </c>
      <c r="D25" s="39">
        <f>$C$18*MAX(0,MIN(D23,$D$18)-$D$17)</f>
        <v/>
      </c>
    </row>
    <row r="26">
      <c r="A26" s="8" t="inlineStr">
        <is>
          <t xml:space="preserve">    Tier 3 charge per bill ($)</t>
        </is>
      </c>
      <c r="B26" s="39">
        <f>$C$19*MAX(0,B23-$D$18)</f>
        <v/>
      </c>
      <c r="C26" s="39">
        <f>$C$19*MAX(0,C23-$D$18)</f>
        <v/>
      </c>
      <c r="D26" s="39">
        <f>$C$19*MAX(0,D23-$D$18)</f>
        <v/>
      </c>
    </row>
    <row r="27">
      <c r="A27" s="8" t="inlineStr">
        <is>
          <t>Volumetric charge per bill ($)</t>
        </is>
      </c>
      <c r="B27" s="39">
        <f>SUM(B24,B25,B26)</f>
        <v/>
      </c>
      <c r="C27" s="39">
        <f>SUM(C24,C25,C26)</f>
        <v/>
      </c>
      <c r="D27" s="39">
        <f>SUM(D24,D25,D26)</f>
        <v/>
      </c>
    </row>
    <row r="28">
      <c r="A28" s="8" t="inlineStr">
        <is>
          <t>Base charge per bill ($)</t>
        </is>
      </c>
      <c r="B28" s="39">
        <f>$B$15</f>
        <v/>
      </c>
      <c r="C28" s="39">
        <f>$B$15</f>
        <v/>
      </c>
      <c r="D28" s="39">
        <f>$B$15</f>
        <v/>
      </c>
    </row>
    <row r="29">
      <c r="A29" s="8" t="inlineStr">
        <is>
          <t>Total per bill ($)</t>
        </is>
      </c>
      <c r="B29" s="39">
        <f>B28+B27</f>
        <v/>
      </c>
      <c r="C29" s="39">
        <f>C28+C27</f>
        <v/>
      </c>
      <c r="D29" s="39">
        <f>D28+D27</f>
        <v/>
      </c>
    </row>
    <row r="30">
      <c r="A30" s="10" t="inlineStr">
        <is>
          <t>Total per MONTH ($)</t>
        </is>
      </c>
      <c r="B30" s="40">
        <f>B29/$B$12</f>
        <v/>
      </c>
      <c r="C30" s="40">
        <f>C29/$B$12</f>
        <v/>
      </c>
      <c r="D30" s="40">
        <f>D29/$B$12</f>
        <v/>
      </c>
    </row>
    <row r="31">
      <c r="A31" s="8" t="inlineStr">
        <is>
          <t xml:space="preserve">    Fixed per month ($)</t>
        </is>
      </c>
      <c r="B31" s="39">
        <f>$B$15/$B$12</f>
        <v/>
      </c>
      <c r="C31" s="39">
        <f>$B$15/$B$12</f>
        <v/>
      </c>
      <c r="D31" s="39">
        <f>$B$15/$B$12</f>
        <v/>
      </c>
    </row>
    <row r="32">
      <c r="A32" s="8" t="inlineStr">
        <is>
          <t xml:space="preserve">    Volumetric per month ($)</t>
        </is>
      </c>
      <c r="B32" s="39">
        <f>B27/$B$12</f>
        <v/>
      </c>
      <c r="C32" s="39">
        <f>C27/$B$12</f>
        <v/>
      </c>
      <c r="D32" s="39">
        <f>D27/$B$12</f>
        <v/>
      </c>
    </row>
    <row r="33">
      <c r="A33" s="8" t="inlineStr">
        <is>
          <t>Effective price ($/HCF)</t>
        </is>
      </c>
      <c r="B33" s="39">
        <f>IF(B11=0,"",B30/B11)</f>
        <v/>
      </c>
      <c r="C33" s="39">
        <f>IF(C11=0,"",C30/C11)</f>
        <v/>
      </c>
      <c r="D33" s="39">
        <f>IF(D11=0,"",D30/D11)</f>
        <v/>
      </c>
    </row>
    <row r="35">
      <c r="A35" s="6" t="inlineStr">
        <is>
          <t>Rate-structure comparison metrics</t>
        </is>
      </c>
      <c r="B35" s="7" t="n"/>
      <c r="C35" s="7" t="n"/>
      <c r="D35" s="7" t="n"/>
    </row>
    <row r="36">
      <c r="A36" s="8" t="inlineStr">
        <is>
          <t>Fixed share of the bill at median usage</t>
        </is>
      </c>
      <c r="B36" s="41">
        <f>C31/C30</f>
        <v/>
      </c>
      <c r="C36" s="13" t="inlineStr">
        <is>
          <t>fixed / total at 10 HCF/month</t>
        </is>
      </c>
    </row>
    <row r="37">
      <c r="A37" s="8" t="inlineStr">
        <is>
          <t>Tier price ratio (highest to lowest positive tier)</t>
        </is>
      </c>
      <c r="B37" s="42">
        <f>$C$19/$C$17</f>
        <v/>
      </c>
      <c r="C37" s="13" t="inlineStr">
        <is>
          <t>highest filed tier price divided by lowest filed tier price.</t>
        </is>
      </c>
    </row>
    <row r="38">
      <c r="A38" s="8" t="inlineStr">
        <is>
          <t>Rate structure (as filed)</t>
        </is>
      </c>
      <c r="B38" s="43" t="inlineStr">
        <is>
          <t>tiered (Variable Base)</t>
        </is>
      </c>
    </row>
    <row r="40" ht="66" customHeight="1">
      <c r="A40" s="3" t="inlineStr">
        <is>
          <t>State Water Board eAR Section 8a (Customer Charges), single- and multi-family residential charges grid, reporting year 2024. Rate structure only; no revenue.</t>
        </is>
      </c>
    </row>
  </sheetData>
  <mergeCells count="7">
    <mergeCell ref="A1:D1"/>
    <mergeCell ref="A5:D5"/>
    <mergeCell ref="A40:D40"/>
    <mergeCell ref="A6:D6"/>
    <mergeCell ref="A3:D3"/>
    <mergeCell ref="A7:D7"/>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0"/>
  <sheetViews>
    <sheetView workbookViewId="0">
      <pane ySplit="4" topLeftCell="A5" activePane="bottomLeft" state="frozen"/>
      <selection pane="bottomLeft" activeCell="A1" sqref="A1"/>
    </sheetView>
  </sheetViews>
  <sheetFormatPr baseColWidth="8" defaultRowHeight="15"/>
  <cols>
    <col width="44" customWidth="1" min="1" max="1"/>
    <col width="20" customWidth="1" min="2" max="2"/>
    <col width="20" customWidth="1" min="3" max="3"/>
  </cols>
  <sheetData>
    <row r="1">
      <c r="A1" s="1" t="inlineStr">
        <is>
          <t>Montebello Land and Water Company</t>
        </is>
      </c>
    </row>
    <row r="2">
      <c r="A2" s="2" t="inlineStr">
        <is>
          <t>eAR annual revenue and expenses - State Water Board eAR Section 8b (USD)</t>
        </is>
      </c>
    </row>
    <row r="3">
      <c r="A3" s="2" t="inlineStr">
        <is>
          <t>Entity ID: cawc_0031   |   Fiscal year ends June 30.</t>
        </is>
      </c>
    </row>
    <row r="5" ht="141" customHeight="1">
      <c r="A5" s="3" t="inlineStr">
        <is>
          <t>The water system's own annual figures from the public eAR Section 8b, on the fiscal year ending June 30, 2024 the filer self-reported (B0.1/B0.2). Shown beside the period-aligned Form 990 with the variance flagged: a different source (a State Water Board self-report vs an IRS filing). Preserved as filed, never reconciled.</t>
        </is>
      </c>
    </row>
    <row r="6">
      <c r="A6" s="22" t="inlineStr">
        <is>
          <t>Reporting period basis (self-reported)</t>
        </is>
      </c>
      <c r="B6" s="25" t="inlineStr">
        <is>
          <t>fiscal year ending June 30, 2024</t>
        </is>
      </c>
      <c r="C6" s="24" t="inlineStr">
        <is>
          <t>eAR Section 8b B0.1 (WRFinancialReportingPeriod) / B0.2 start 07/01/2023</t>
        </is>
      </c>
    </row>
    <row r="8">
      <c r="A8" s="6" t="inlineStr">
        <is>
          <t>Revenue (eAR Section 8b, questions B1.x)</t>
        </is>
      </c>
      <c r="B8" s="7" t="n"/>
      <c r="C8" s="7" t="n"/>
    </row>
    <row r="9">
      <c r="A9" s="5" t="inlineStr">
        <is>
          <t>Line</t>
        </is>
      </c>
      <c r="B9" s="5" t="inlineStr">
        <is>
          <t>Amount (USD)</t>
        </is>
      </c>
      <c r="C9" s="5" t="inlineStr">
        <is>
          <t>Citation</t>
        </is>
      </c>
    </row>
    <row r="10">
      <c r="A10" s="22" t="inlineStr">
        <is>
          <t>Water rate revenue</t>
        </is>
      </c>
      <c r="B10" s="9" t="n">
        <v>6662418</v>
      </c>
      <c r="C10" s="24" t="inlineStr">
        <is>
          <t>State Water Board eAR Section 8b, question B1.1 + B1.2 (revenue from water rates), reporting year 2024</t>
        </is>
      </c>
    </row>
    <row r="11">
      <c r="A11" s="22" t="inlineStr">
        <is>
          <t>Other fees and charges</t>
        </is>
      </c>
      <c r="B11" s="9" t="n">
        <v>52773</v>
      </c>
      <c r="C11" s="24" t="inlineStr">
        <is>
          <t>State Water Board eAR Section 8b, question B1.3 + B1.4 (revenue from other fees), reporting year 2024</t>
        </is>
      </c>
    </row>
    <row r="12">
      <c r="A12" s="22" t="inlineStr">
        <is>
          <t>Non-customer revenue</t>
        </is>
      </c>
      <c r="B12" s="9" t="n">
        <v>0</v>
      </c>
      <c r="C12" s="24" t="inlineStr">
        <is>
          <t>State Water Board eAR Section 8b, question B1.7 (grants, interest, and other non-customer), reporting year 2024</t>
        </is>
      </c>
    </row>
    <row r="13">
      <c r="A13" s="22" t="inlineStr">
        <is>
          <t>Total annual revenue</t>
        </is>
      </c>
      <c r="B13" s="44" t="n">
        <v>6715191</v>
      </c>
      <c r="C13" s="24" t="inlineStr">
        <is>
          <t>State Water Board eAR Section 8b, question B1.8 (total annual revenue for the reporting year), reporting year 2024</t>
        </is>
      </c>
    </row>
    <row r="15">
      <c r="A15" s="6" t="inlineStr">
        <is>
          <t>Expenses (eAR Section 8b, questions B2.x)</t>
        </is>
      </c>
      <c r="B15" s="7" t="n"/>
      <c r="C15" s="7" t="n"/>
    </row>
    <row r="16">
      <c r="A16" s="5" t="inlineStr">
        <is>
          <t>Line</t>
        </is>
      </c>
      <c r="B16" s="5" t="inlineStr">
        <is>
          <t>Amount (USD)</t>
        </is>
      </c>
      <c r="C16" s="5" t="inlineStr">
        <is>
          <t>Citation</t>
        </is>
      </c>
    </row>
    <row r="17">
      <c r="A17" s="22" t="inlineStr">
        <is>
          <t>Operations and maintenance</t>
        </is>
      </c>
      <c r="B17" s="9" t="n">
        <v>4760974</v>
      </c>
      <c r="C17" s="24" t="inlineStr">
        <is>
          <t>State Water Board eAR Section 8b, question B2.1 (annual O and M expense), reporting year 2024</t>
        </is>
      </c>
    </row>
    <row r="18">
      <c r="A18" s="22" t="inlineStr">
        <is>
          <t>Capital</t>
        </is>
      </c>
      <c r="B18" s="9" t="n">
        <v>999527</v>
      </c>
      <c r="C18" s="24" t="inlineStr">
        <is>
          <t>State Water Board eAR Section 8b, question B2.2 (annual expenses from investing or capital), reporting year 2024</t>
        </is>
      </c>
    </row>
    <row r="19">
      <c r="A19" s="22" t="inlineStr">
        <is>
          <t>Financing</t>
        </is>
      </c>
      <c r="B19" s="9" t="n">
        <v>0</v>
      </c>
      <c r="C19" s="24" t="inlineStr">
        <is>
          <t>State Water Board eAR Section 8b, question B2.3 (annual expenses from financing), reporting year 2024</t>
        </is>
      </c>
    </row>
    <row r="20">
      <c r="A20" s="22" t="inlineStr">
        <is>
          <t>Other</t>
        </is>
      </c>
      <c r="B20" s="9" t="n">
        <v>380068</v>
      </c>
      <c r="C20" s="24" t="inlineStr">
        <is>
          <t>State Water Board eAR Section 8b, question B2.4 (total other annual expenses), reporting year 2024</t>
        </is>
      </c>
    </row>
    <row r="21">
      <c r="A21" s="22" t="inlineStr">
        <is>
          <t>Total annual expenses</t>
        </is>
      </c>
      <c r="B21" s="44" t="n">
        <v>6140569</v>
      </c>
      <c r="C21" s="24" t="inlineStr">
        <is>
          <t>State Water Board eAR Section 8b, question B2.5 (total annual expenses), reporting year 2024</t>
        </is>
      </c>
    </row>
    <row r="23">
      <c r="A23" s="6" t="inlineStr">
        <is>
          <t>Period-aligned Form 990 comparison (variance surfaced, never reconciled)</t>
        </is>
      </c>
      <c r="B23" s="7" t="n"/>
      <c r="C23" s="7" t="n"/>
    </row>
    <row r="24">
      <c r="A24" s="5" t="inlineStr">
        <is>
          <t>Measure</t>
        </is>
      </c>
      <c r="B24" s="5" t="inlineStr">
        <is>
          <t>eAR Section 8b</t>
        </is>
      </c>
      <c r="C24" s="5" t="inlineStr">
        <is>
          <t>Form 990</t>
        </is>
      </c>
    </row>
    <row r="25">
      <c r="A25" s="8" t="inlineStr">
        <is>
          <t>total revenue</t>
        </is>
      </c>
      <c r="B25" s="9" t="n">
        <v>6715191</v>
      </c>
      <c r="C25" s="9" t="n">
        <v>10411332</v>
      </c>
    </row>
    <row r="26">
      <c r="A26" s="14" t="inlineStr">
        <is>
          <t>Variance (eAR minus Form 990)</t>
        </is>
      </c>
      <c r="B26" s="15">
        <f>B25-C25</f>
        <v/>
      </c>
      <c r="C26" s="45" t="n"/>
    </row>
    <row r="27" ht="201" customHeight="1">
      <c r="A27" s="3" t="inlineStr">
        <is>
          <t>The eAR Section 8b total revenue (State Water Board self-report, fiscal year ending June 30, 2024) and the Form 990 total revenue (IRS filing) are a different source and cover the same fiscal year (July 1, 2023 to June 30, 2024): the water system self-reported the eAR Section 8b on a fiscal year (B0.1 Fiscal, B0.2 start 07/01/2023), which matches the Form 990 fiscal year. Both are carried as filed; the variance is surfaced, never reconciled.</t>
        </is>
      </c>
    </row>
    <row r="28">
      <c r="A28" s="8" t="inlineStr">
        <is>
          <t>total expenses</t>
        </is>
      </c>
      <c r="B28" s="9" t="n">
        <v>6140569</v>
      </c>
      <c r="C28" s="9" t="n">
        <v>4760974</v>
      </c>
    </row>
    <row r="29">
      <c r="A29" s="14" t="inlineStr">
        <is>
          <t>Variance (eAR minus Form 990)</t>
        </is>
      </c>
      <c r="B29" s="15">
        <f>B28-C28</f>
        <v/>
      </c>
      <c r="C29" s="45" t="n"/>
    </row>
    <row r="30" ht="201" customHeight="1">
      <c r="A30" s="3" t="inlineStr">
        <is>
          <t>The eAR Section 8b total expenses (State Water Board self-report, fiscal year ending June 30, 2024) and the Form 990 total expenses (IRS filing) are a different source and cover the same fiscal year (July 1, 2023 to June 30, 2024): the water system self-reported the eAR Section 8b on a fiscal year (B0.1 Fiscal, B0.2 start 07/01/2023), which matches the Form 990 fiscal year. Both are carried as filed; the variance is surfaced, never reconciled.</t>
        </is>
      </c>
    </row>
  </sheetData>
  <mergeCells count="6">
    <mergeCell ref="A1:C1"/>
    <mergeCell ref="A5:C5"/>
    <mergeCell ref="A27:C27"/>
    <mergeCell ref="A3:C3"/>
    <mergeCell ref="A30:C30"/>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Montebello Land and Water Company</t>
        </is>
      </c>
    </row>
    <row r="2">
      <c r="A2" s="2" t="inlineStr">
        <is>
          <t>Denominators and calendar alignment</t>
        </is>
      </c>
    </row>
    <row r="3">
      <c r="A3" s="2" t="inlineStr">
        <is>
          <t>Entity ID: cawc_0031   |   Fiscal year ends June 30.</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22" t="inlineStr">
        <is>
          <t>Customer (service connection)</t>
        </is>
      </c>
      <c r="B7" s="23" t="n">
        <v>3957</v>
      </c>
      <c r="C7" s="24" t="inlineStr">
        <is>
          <t>State Water Board eAR Section 4 (CurTotalConnections), reporting year 2023</t>
        </is>
      </c>
    </row>
    <row r="8">
      <c r="A8" s="22" t="inlineStr">
        <is>
          <t>Member (shareholder)</t>
        </is>
      </c>
      <c r="B8" s="25" t="n"/>
      <c r="C8" s="24" t="inlineStr">
        <is>
          <t>No published shareholder count</t>
        </is>
      </c>
    </row>
    <row r="9" ht="96" customHeight="1">
      <c r="A9"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1">
      <c r="A11" s="6" t="inlineStr">
        <is>
          <t>Denominator layer by fiscal year</t>
        </is>
      </c>
      <c r="B11" s="7" t="n"/>
      <c r="C11" s="7" t="n"/>
      <c r="D11" s="7" t="n"/>
      <c r="E11" s="7" t="n"/>
      <c r="F11" s="7" t="n"/>
      <c r="G11" s="7" t="n"/>
    </row>
    <row r="12">
      <c r="A12" s="5" t="inlineStr">
        <is>
          <t>Fiscal year (end)</t>
        </is>
      </c>
      <c r="B12" s="5" t="inlineStr">
        <is>
          <t>Connections</t>
        </is>
      </c>
      <c r="C12" s="5" t="inlineStr">
        <is>
          <t>Population</t>
        </is>
      </c>
      <c r="D12" s="5" t="inlineStr">
        <is>
          <t>Service-area acres</t>
        </is>
      </c>
      <c r="E12" s="5" t="inlineStr">
        <is>
          <t>Water produced (AF)</t>
        </is>
      </c>
      <c r="F12" s="5" t="inlineStr">
        <is>
          <t>Water delivered (AF)</t>
        </is>
      </c>
      <c r="G12" s="5" t="inlineStr">
        <is>
          <t>Alignment method</t>
        </is>
      </c>
    </row>
    <row r="13" ht="40" customHeight="1">
      <c r="A13" s="8" t="inlineStr">
        <is>
          <t>FY2020 (2020-06-30)</t>
        </is>
      </c>
      <c r="B13" s="23" t="n">
        <v>3932</v>
      </c>
      <c r="C13" s="19" t="inlineStr">
        <is>
          <t>not reported</t>
        </is>
      </c>
      <c r="D13" s="23" t="n">
        <v>1190.8</v>
      </c>
      <c r="E13" s="19" t="inlineStr">
        <is>
          <t>not reported</t>
        </is>
      </c>
      <c r="F13" s="19" t="inlineStr">
        <is>
          <t>not reported</t>
        </is>
      </c>
      <c r="G13" s="25" t="inlineStr">
        <is>
          <t>recast from monthly eAR data to fiscal year ending June 30, 2020</t>
        </is>
      </c>
    </row>
    <row r="14" ht="40" customHeight="1">
      <c r="A14" s="8" t="inlineStr">
        <is>
          <t>FY2021 (2021-06-30)</t>
        </is>
      </c>
      <c r="B14" s="23" t="n">
        <v>3932</v>
      </c>
      <c r="C14" s="19" t="inlineStr">
        <is>
          <t>not reported</t>
        </is>
      </c>
      <c r="D14" s="23" t="n">
        <v>1190.8</v>
      </c>
      <c r="E14" s="19" t="inlineStr">
        <is>
          <t>not reported</t>
        </is>
      </c>
      <c r="F14" s="19" t="inlineStr">
        <is>
          <t>not reported</t>
        </is>
      </c>
      <c r="G14" s="25" t="inlineStr">
        <is>
          <t>recast from monthly eAR data to fiscal year ending June 30, 2021</t>
        </is>
      </c>
    </row>
    <row r="15" ht="40" customHeight="1">
      <c r="A15" s="8" t="inlineStr">
        <is>
          <t>FY2022 (2022-06-30)</t>
        </is>
      </c>
      <c r="B15" s="23" t="n">
        <v>3937</v>
      </c>
      <c r="C15" s="19" t="inlineStr">
        <is>
          <t>not reported</t>
        </is>
      </c>
      <c r="D15" s="23" t="n">
        <v>1190.8</v>
      </c>
      <c r="E15" s="19" t="inlineStr">
        <is>
          <t>not reported</t>
        </is>
      </c>
      <c r="F15" s="19" t="inlineStr">
        <is>
          <t>not reported</t>
        </is>
      </c>
      <c r="G15" s="25" t="inlineStr">
        <is>
          <t>recast from monthly eAR data to fiscal year ending June 30, 2022</t>
        </is>
      </c>
    </row>
    <row r="16" ht="40" customHeight="1">
      <c r="A16" s="8" t="inlineStr">
        <is>
          <t>FY2023 (2023-06-30)</t>
        </is>
      </c>
      <c r="B16" s="23" t="n">
        <v>3957</v>
      </c>
      <c r="C16" s="19" t="inlineStr">
        <is>
          <t>not reported</t>
        </is>
      </c>
      <c r="D16" s="23" t="n">
        <v>1190.8</v>
      </c>
      <c r="E16" s="19" t="inlineStr">
        <is>
          <t>not reported</t>
        </is>
      </c>
      <c r="F16" s="19" t="inlineStr">
        <is>
          <t>not reported</t>
        </is>
      </c>
      <c r="G16" s="25" t="inlineStr">
        <is>
          <t>recast from monthly eAR data to fiscal year ending June 30, 2023</t>
        </is>
      </c>
    </row>
    <row r="17" ht="40" customHeight="1">
      <c r="A17" s="8" t="inlineStr">
        <is>
          <t>FY2024 (2024-06-30)</t>
        </is>
      </c>
      <c r="B17" s="23" t="n">
        <v>3957</v>
      </c>
      <c r="C17" s="23" t="n">
        <v>26554</v>
      </c>
      <c r="D17" s="23" t="n">
        <v>1190.8</v>
      </c>
      <c r="E17" s="19" t="inlineStr">
        <is>
          <t>not reported</t>
        </is>
      </c>
      <c r="F17" s="19" t="inlineStr">
        <is>
          <t>not reported</t>
        </is>
      </c>
      <c r="G17" s="25" t="inlineStr">
        <is>
          <t>recast from monthly eAR data to fiscal year ending June 30, 2024</t>
        </is>
      </c>
    </row>
    <row r="19">
      <c r="A19" s="6" t="inlineStr">
        <is>
          <t>Connections by class - FY2024 (eAR Section 4)</t>
        </is>
      </c>
      <c r="B19" s="7" t="n"/>
      <c r="C19" s="7" t="n"/>
      <c r="D19" s="7" t="n"/>
      <c r="E19" s="7" t="n"/>
      <c r="F19" s="7" t="n"/>
      <c r="G19" s="7" t="n"/>
    </row>
    <row r="20">
      <c r="A20" s="22" t="inlineStr">
        <is>
          <t>Single-family residential</t>
        </is>
      </c>
      <c r="B20" s="23" t="n">
        <v>2436</v>
      </c>
      <c r="C20" s="24" t="inlineStr"/>
    </row>
    <row r="21">
      <c r="A21" s="22" t="inlineStr">
        <is>
          <t>Multi-family residential</t>
        </is>
      </c>
      <c r="B21" s="23" t="n">
        <v>1016</v>
      </c>
      <c r="C21" s="24" t="inlineStr"/>
    </row>
    <row r="22">
      <c r="A22" s="22" t="inlineStr">
        <is>
          <t>Commercial and institutional</t>
        </is>
      </c>
      <c r="B22" s="23" t="n">
        <v>485</v>
      </c>
      <c r="C22" s="24" t="inlineStr"/>
    </row>
    <row r="23">
      <c r="A23" s="22" t="inlineStr">
        <is>
          <t>Industrial</t>
        </is>
      </c>
      <c r="B23" s="23" t="n">
        <v>16</v>
      </c>
      <c r="C23" s="24" t="inlineStr"/>
    </row>
    <row r="24">
      <c r="A24" s="22" t="inlineStr">
        <is>
          <t>Landscape irrigation</t>
        </is>
      </c>
      <c r="B24" s="23" t="n">
        <v>3</v>
      </c>
      <c r="C24" s="24" t="inlineStr"/>
    </row>
    <row r="25">
      <c r="A25" s="22" t="inlineStr">
        <is>
          <t>Agricultural</t>
        </is>
      </c>
      <c r="B25" s="23" t="n">
        <v>0</v>
      </c>
      <c r="C25" s="24" t="inlineStr"/>
    </row>
    <row r="26" ht="81" customHeight="1">
      <c r="A26"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9:G9"/>
    <mergeCell ref="A3:G3"/>
    <mergeCell ref="A26:G26"/>
    <mergeCell ref="A2:G2"/>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40" customWidth="1" min="3" max="3"/>
    <col width="40" customWidth="1" min="4" max="4"/>
    <col width="12" customWidth="1" min="5" max="5"/>
  </cols>
  <sheetData>
    <row r="1">
      <c r="A1" s="1" t="inlineStr">
        <is>
          <t>Montebello Land and Water Company</t>
        </is>
      </c>
    </row>
    <row r="2">
      <c r="A2" s="2" t="inlineStr">
        <is>
          <t>Governance evidence status - Ostrom's eight design principles</t>
        </is>
      </c>
    </row>
    <row r="3">
      <c r="A3" s="2" t="inlineStr">
        <is>
          <t>Entity ID: cawc_0031   |   Fiscal year ends June 30.</t>
        </is>
      </c>
    </row>
    <row r="5">
      <c r="A5" s="46" t="inlineStr">
        <is>
          <t>Evidence summary: 3 documented, 2 partial, 3 not documented of eight principles.</t>
        </is>
      </c>
      <c r="B5" s="7" t="n"/>
      <c r="C5" s="7" t="n"/>
      <c r="D5" s="7" t="n"/>
      <c r="E5" s="7" t="n"/>
    </row>
    <row r="6" ht="81" customHeight="1">
      <c r="A6" s="3" t="inlineStr">
        <is>
          <t>A count of how many of Elinor Ostrom's eight design principles have a supporting record on file, not a grade. NOT DOCUMENTED means the supporting record was not found, not that the company governs badly. It marks a gap in the documentary record, an evidence gap to close, never a governance failing.</t>
        </is>
      </c>
    </row>
    <row r="7" ht="201" customHeight="1">
      <c r="A7" s="3" t="inlineStr">
        <is>
          <t>Each mutual is read against Elinor Ostrom's eight design principles for institutions that govern a shared resource durably. Per principle: a one-line finding, the observable signal, a citation, and an evidence status stating whether the supporting record exists: DOCUMENTED (a cited record supports alignment), PARTIAL (some evidence exists but it is incomplete), or NOT DOCUMENTED (no supporting record was found). This is an evidence-status read, not a grade: the principles are never ranked, weighted, or given a letter, consistent with reporting as filed and not grading companies. NOT DOCUMENTED means the supporting record was not found, not that the company governs badly. It marks a gap in the documentary record, an evidence gap to close, never a governance failing.</t>
        </is>
      </c>
    </row>
    <row r="9">
      <c r="A9" s="5" t="inlineStr">
        <is>
          <t>Principle</t>
        </is>
      </c>
      <c r="B9" s="5" t="inlineStr">
        <is>
          <t>Evidence status</t>
        </is>
      </c>
      <c r="C9" s="5" t="inlineStr">
        <is>
          <t>Finding</t>
        </is>
      </c>
      <c r="D9" s="5" t="inlineStr">
        <is>
          <t>Signal</t>
        </is>
      </c>
      <c r="E9" s="5" t="inlineStr">
        <is>
          <t>Citation</t>
        </is>
      </c>
    </row>
    <row r="10" ht="46" customHeight="1">
      <c r="A10" s="8" t="inlineStr">
        <is>
          <t>Clearly defined boundaries</t>
        </is>
      </c>
      <c r="B10" s="26" t="inlineStr">
        <is>
          <t>DOCUMENTED</t>
        </is>
      </c>
      <c r="C10" s="25" t="inlineStr">
        <is>
          <t>The system is a defined public water system: 3,957 service connections over a State-published and field-verified service-area boundary of roughly 1,188.2 acres.</t>
        </is>
      </c>
      <c r="D10" s="25" t="inlineStr">
        <is>
          <t>SDWIS Community water system; SABL service-area boundary (Verified); connections defined.</t>
        </is>
      </c>
      <c r="E10" s="47" t="inlineStr">
        <is>
          <t>[C][G]</t>
        </is>
      </c>
    </row>
    <row r="11" ht="81" customHeight="1">
      <c r="A11" s="3" t="inlineStr">
        <is>
          <t>What the record shows: SDWIS defines the membership as a fixed set of service connections and the State Water Board publishes a SABL service-area polygon for it, so who is inside and outside the system is documented. The boundary is FIELD-VERIFIED by the Water Board rather than merely carried.</t>
        </is>
      </c>
    </row>
    <row r="12" ht="46" customHeight="1">
      <c r="A12" s="8" t="inlineStr">
        <is>
          <t>Rules fit local conditions</t>
        </is>
      </c>
      <c r="B12" s="26" t="inlineStr">
        <is>
          <t>NOT DOCUMENTED</t>
        </is>
      </c>
      <c r="C12" s="25" t="inlineStr">
        <is>
          <t>No filed rate schedule or metering statement was located for this company.</t>
        </is>
      </c>
      <c r="D12" s="25" t="inlineStr">
        <is>
          <t>No eAR Section 8a rate record held.</t>
        </is>
      </c>
      <c r="E12" s="47" t="inlineStr">
        <is>
          <t>not reported</t>
        </is>
      </c>
    </row>
    <row r="13" ht="96" customHeight="1">
      <c r="A13" s="3" t="inlineStr">
        <is>
          <t>What the record shows: This company files no eAR, so the filing that would document metering and rate structure does not exist for it. NOT DOCUMENTED means the supporting record was not found, not that the company governs badly. It marks a gap in the documentary record, an evidence gap to close, never a governance failing.</t>
        </is>
      </c>
    </row>
    <row r="14" ht="46" customHeight="1">
      <c r="A14" s="8" t="inlineStr">
        <is>
          <t>Collective-choice arrangements</t>
        </is>
      </c>
      <c r="B14" s="26" t="inlineStr">
        <is>
          <t>PARTIAL</t>
        </is>
      </c>
      <c r="C14" s="25" t="inlineStr">
        <is>
          <t>The company is owned by its customer-shareholders, but the specific board, the election procedure and any record of member votes are not in a source this project holds.</t>
        </is>
      </c>
      <c r="D14" s="25" t="inlineStr">
        <is>
          <t>Mutual ownership; Form 990 governance section.</t>
        </is>
      </c>
      <c r="E14" s="47" t="inlineStr">
        <is>
          <t>[990]</t>
        </is>
      </c>
    </row>
    <row r="15" ht="111" customHeight="1">
      <c r="A15" s="3" t="inlineStr">
        <is>
          <t>What the record shows: A collective-choice mechanism is documented in outline: the customers are the shareholders. It stays PARTIAL rather than met because the filed corporate record that would carry the director roster and the election procedure is NOT YET CHECKED for this company, the California Secretary of State being reachable only through a browser session that now answers a CAPTCHA. A stated board is not a filed roster.</t>
        </is>
      </c>
    </row>
    <row r="16" ht="46" customHeight="1">
      <c r="A16" s="8" t="inlineStr">
        <is>
          <t>Monitoring</t>
        </is>
      </c>
      <c r="B16" s="26" t="inlineStr">
        <is>
          <t>DOCUMENTED</t>
        </is>
      </c>
      <c r="C16" s="25" t="inlineStr">
        <is>
          <t>The system is monitored and reports on itself: it files an annual eAR, and a Consumer Confidence Report for 2024 was located at the State's own CCR portal, and it holds an emergency response plan dated 8/18/2022.</t>
        </is>
      </c>
      <c r="D16" s="25" t="inlineStr">
        <is>
          <t>Annual eAR reporting; located Consumer Confidence Report</t>
        </is>
      </c>
      <c r="E16" s="47" t="inlineStr">
        <is>
          <t>[E][CCR]</t>
        </is>
      </c>
    </row>
    <row r="17" ht="66" customHeight="1">
      <c r="A17" s="3" t="inlineStr">
        <is>
          <t>What the record shows: Operational monitoring is documented from more than one filing. What the federal violation check found is reported separately in the On the record block and is not folded into this tier.</t>
        </is>
      </c>
    </row>
    <row r="18" ht="46" customHeight="1">
      <c r="A18" s="8" t="inlineStr">
        <is>
          <t>Graduated sanctions</t>
        </is>
      </c>
      <c r="B18" s="26" t="inlineStr">
        <is>
          <t>NOT DOCUMENTED</t>
        </is>
      </c>
      <c r="C18" s="25" t="inlineStr">
        <is>
          <t>No published shut-off, penalty, or delinquency policy was found for this system.</t>
        </is>
      </c>
      <c r="D18" s="25" t="inlineStr">
        <is>
          <t>No sourced graduated sanctions record.</t>
        </is>
      </c>
      <c r="E18" s="47" t="inlineStr">
        <is>
          <t>not reported</t>
        </is>
      </c>
    </row>
    <row r="19" ht="81" customHeight="1">
      <c r="A19" s="3" t="inlineStr">
        <is>
          <t>What the record shows: No public record of a shut-off, penalty, or delinquency policy was located. NOT DOCUMENTED means the supporting record was not found, not that the company governs badly. It marks a gap in the documentary record, an evidence gap to close, never a governance failing.</t>
        </is>
      </c>
    </row>
    <row r="20" ht="46" customHeight="1">
      <c r="A20" s="8" t="inlineStr">
        <is>
          <t>Conflict-resolution mechanisms</t>
        </is>
      </c>
      <c r="B20" s="26" t="inlineStr">
        <is>
          <t>NOT DOCUMENTED</t>
        </is>
      </c>
      <c r="C20" s="25" t="inlineStr">
        <is>
          <t>No published bylaws, dispute procedure, or grievance mechanism was found for this system.</t>
        </is>
      </c>
      <c r="D20" s="25" t="inlineStr">
        <is>
          <t>No sourced conflict-resolution mechanisms record.</t>
        </is>
      </c>
      <c r="E20" s="47" t="inlineStr">
        <is>
          <t>not reported</t>
        </is>
      </c>
    </row>
    <row r="21" ht="81" customHeight="1">
      <c r="A21" s="3" t="inlineStr">
        <is>
          <t>What the record shows: No public record of a bylaws, dispute procedure, or grievance mechanism was located. NOT DOCUMENTED means the supporting record was not found, not that the company governs badly. It marks a gap in the documentary record, an evidence gap to close, never a governance failing.</t>
        </is>
      </c>
    </row>
    <row r="22" ht="46" customHeight="1">
      <c r="A22" s="8" t="inlineStr">
        <is>
          <t>Recognized right to organize</t>
        </is>
      </c>
      <c r="B22" s="26" t="inlineStr">
        <is>
          <t>DOCUMENTED</t>
        </is>
      </c>
      <c r="C22" s="25" t="inlineStr">
        <is>
          <t>An incorporated California mutual water company recognized by the IRS as a 501(c)(12) exempt filer and by the State Water Board as a Community public water system.</t>
        </is>
      </c>
      <c r="D22" s="25" t="inlineStr">
        <is>
          <t>IRS 501(c)(12) exempt filer (Form 990); SDWIS Community public water system; eAR ownership type 'Privately owned Mutual Water Company or Association'.</t>
        </is>
      </c>
      <c r="E22" s="47" t="inlineStr">
        <is>
          <t>[990][C][E]</t>
        </is>
      </c>
    </row>
    <row r="23" ht="96" customHeight="1">
      <c r="A23" s="3" t="inlineStr">
        <is>
          <t>What the record shows: Baseline legal standing is documented by two independent regulators: the IRS accepts it as a tax-exempt 501(c)(12) filer and the State Water Board holds it as a Community public water system with a mutual ownership type. This status does NOT rest on a filed corporate record, because the Secretary of State check has not been run for this company.</t>
        </is>
      </c>
    </row>
    <row r="24" ht="46" customHeight="1">
      <c r="A24" s="8" t="inlineStr">
        <is>
          <t>Nested enterprises</t>
        </is>
      </c>
      <c r="B24" s="26" t="inlineStr">
        <is>
          <t>PARTIAL</t>
        </is>
      </c>
      <c r="C24" s="25" t="inlineStr">
        <is>
          <t>The system sits inside larger water systems: it pumps from 1 groundwater basin(s) shared with neighbors, and it holds 9 approved emergency intertie(s) with other systems. Its role in governing any of them is not documented.</t>
        </is>
      </c>
      <c r="D24" s="25" t="inlineStr">
        <is>
          <t>it pumps from 1 groundwater basin(s) shared with neighbors; it holds 9 approved emergency intertie(s) with other systems</t>
        </is>
      </c>
      <c r="E24" s="47" t="inlineStr">
        <is>
          <t>[SG][E]</t>
        </is>
      </c>
    </row>
    <row r="25" ht="51" customHeight="1">
      <c r="A25" s="3" t="inlineStr">
        <is>
          <t>What the record shows: Physical nesting is documented. What is not documented is any governance role in a wholesaler or in a groundwater sustainability agency, so the tier is PARTIAL rather than met.</t>
        </is>
      </c>
    </row>
  </sheetData>
  <mergeCells count="13">
    <mergeCell ref="A21:E21"/>
    <mergeCell ref="A2:E2"/>
    <mergeCell ref="A15:E15"/>
    <mergeCell ref="A7:E7"/>
    <mergeCell ref="A25:E25"/>
    <mergeCell ref="A19:E19"/>
    <mergeCell ref="A11:E11"/>
    <mergeCell ref="A1:E1"/>
    <mergeCell ref="A23:E23"/>
    <mergeCell ref="A13:E13"/>
    <mergeCell ref="A6:E6"/>
    <mergeCell ref="A17:E17"/>
    <mergeCell ref="A3:E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Montebello Land and Water Company</t>
        </is>
      </c>
    </row>
    <row r="2">
      <c r="A2" s="2" t="inlineStr">
        <is>
          <t>Operational metrics - plant per acre, density, terrain</t>
        </is>
      </c>
    </row>
    <row r="3">
      <c r="A3" s="2" t="inlineStr">
        <is>
          <t>Entity ID: cawc_0031   |   Fiscal year ends June 30.</t>
        </is>
      </c>
    </row>
    <row r="5">
      <c r="A5" s="6" t="inlineStr">
        <is>
          <t>Plant assets per acre</t>
        </is>
      </c>
      <c r="B5" s="7" t="n"/>
      <c r="C5" s="7" t="n"/>
    </row>
    <row r="6">
      <c r="A6" s="22" t="inlineStr">
        <is>
          <t>Service-area acres</t>
        </is>
      </c>
      <c r="B6" s="48" t="n">
        <v>1190.8</v>
      </c>
      <c r="C6" s="24" t="inlineStr">
        <is>
          <t>Geodesic area (WGS84 spherical excess) of the SABL service-area polygon.</t>
        </is>
      </c>
    </row>
    <row r="7">
      <c r="A7" s="5" t="inlineStr">
        <is>
          <t>Fiscal year</t>
        </is>
      </c>
      <c r="B7" s="5" t="inlineStr">
        <is>
          <t>Gross plant per acre (primary)</t>
        </is>
      </c>
      <c r="C7" s="5" t="inlineStr">
        <is>
          <t>Net plant per acre</t>
        </is>
      </c>
    </row>
    <row r="8">
      <c r="A8" s="20" t="inlineStr">
        <is>
          <t>FY2020</t>
        </is>
      </c>
      <c r="B8" s="9" t="n"/>
      <c r="C8" s="9" t="n"/>
    </row>
    <row r="9">
      <c r="A9" s="20" t="inlineStr">
        <is>
          <t>FY2021</t>
        </is>
      </c>
      <c r="B9" s="9" t="n">
        <v>22600.1621</v>
      </c>
      <c r="C9" s="9" t="n">
        <v>11418.8226</v>
      </c>
    </row>
    <row r="10">
      <c r="A10" s="20" t="inlineStr">
        <is>
          <t>FY2022</t>
        </is>
      </c>
      <c r="B10" s="9" t="n">
        <v>22829.1795</v>
      </c>
      <c r="C10" s="9" t="n">
        <v>11086.976</v>
      </c>
    </row>
    <row r="11">
      <c r="A11" s="20" t="inlineStr">
        <is>
          <t>FY2023</t>
        </is>
      </c>
      <c r="B11" s="9" t="n">
        <v>23359.7859</v>
      </c>
      <c r="C11" s="9" t="n">
        <v>11028.3927</v>
      </c>
    </row>
    <row r="12">
      <c r="A12" s="20" t="inlineStr">
        <is>
          <t>FY2024</t>
        </is>
      </c>
      <c r="B12" s="9" t="n">
        <v>23960.7524</v>
      </c>
      <c r="C12" s="9" t="n">
        <v>11054.4222</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2" t="inlineStr">
        <is>
          <t>Connections per acre</t>
        </is>
      </c>
      <c r="B19" s="21" t="n">
        <v>3.32</v>
      </c>
      <c r="C19" s="24" t="inlineStr">
        <is>
          <t>3,959 connections / 1,190.8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Montebello Land and Water Company</t>
        </is>
      </c>
    </row>
    <row r="2">
      <c r="A2" s="2" t="inlineStr">
        <is>
          <t>Supply and weather indicators (DWR water year)</t>
        </is>
      </c>
    </row>
    <row r="3">
      <c r="A3" s="2" t="inlineStr">
        <is>
          <t>Entity ID: cawc_0031   |   Fiscal year ends June 30.</t>
        </is>
      </c>
    </row>
    <row r="5" ht="96" customHeight="1">
      <c r="A5" s="3" t="inlineStr">
        <is>
          <t>Reporting calendar: Different reporting periods. The DWR water year runs October 1 to September 30; this system's fiscal year ends June 30,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WY2022</t>
        </is>
      </c>
      <c r="E7" s="5" t="inlineStr">
        <is>
          <t>WY2023</t>
        </is>
      </c>
      <c r="F7" s="5" t="inlineStr">
        <is>
          <t>WY2024</t>
        </is>
      </c>
    </row>
    <row r="8">
      <c r="A8" s="8" t="inlineStr">
        <is>
          <t>Water-year type (Sacramento Valley)</t>
        </is>
      </c>
      <c r="B8" s="47" t="inlineStr">
        <is>
          <t>Dry</t>
        </is>
      </c>
      <c r="C8" s="47" t="inlineStr">
        <is>
          <t>Critical</t>
        </is>
      </c>
      <c r="D8" s="47" t="inlineStr">
        <is>
          <t>Critical</t>
        </is>
      </c>
      <c r="E8" s="47" t="inlineStr">
        <is>
          <t>Wet</t>
        </is>
      </c>
      <c r="F8" s="47" t="inlineStr">
        <is>
          <t>Above Normal</t>
        </is>
      </c>
    </row>
    <row r="9">
      <c r="A9" s="8" t="inlineStr">
        <is>
          <t>Peak drought, Los Angeles County</t>
        </is>
      </c>
      <c r="B9" s="47" t="inlineStr">
        <is>
          <t>D1</t>
        </is>
      </c>
      <c r="C9" s="47" t="inlineStr">
        <is>
          <t>D4</t>
        </is>
      </c>
      <c r="D9" s="47" t="inlineStr">
        <is>
          <t>D4</t>
        </is>
      </c>
      <c r="E9" s="47" t="inlineStr">
        <is>
          <t>D4</t>
        </is>
      </c>
      <c r="F9" s="47" t="inlineStr">
        <is>
          <t>None (no D0-D4 during the fiscal year)</t>
        </is>
      </c>
    </row>
    <row r="10">
      <c r="A10" s="8" t="inlineStr">
        <is>
          <t>Precip, percent of normal (8-Station Index)</t>
        </is>
      </c>
      <c r="B10" s="47" t="inlineStr">
        <is>
          <t>63</t>
        </is>
      </c>
      <c r="C10" s="47" t="inlineStr">
        <is>
          <t>48</t>
        </is>
      </c>
      <c r="D10" s="47" t="inlineStr">
        <is>
          <t>86</t>
        </is>
      </c>
      <c r="E10" s="47" t="inlineStr">
        <is>
          <t>133</t>
        </is>
      </c>
      <c r="F10" s="47" t="inlineStr">
        <is>
          <t>96</t>
        </is>
      </c>
    </row>
    <row r="11">
      <c r="A11" s="8" t="inlineStr">
        <is>
          <t>Snowpack, April 1 percent of average</t>
        </is>
      </c>
      <c r="B11" s="47" t="inlineStr">
        <is>
          <t>53%</t>
        </is>
      </c>
      <c r="C11" s="47" t="inlineStr">
        <is>
          <t>59%</t>
        </is>
      </c>
      <c r="D11" s="47" t="inlineStr">
        <is>
          <t>38%</t>
        </is>
      </c>
      <c r="E11" s="47" t="inlineStr">
        <is>
          <t>237%</t>
        </is>
      </c>
      <c r="F11" s="47" t="inlineStr">
        <is>
          <t>110%</t>
        </is>
      </c>
    </row>
    <row r="12">
      <c r="A12" s="8" t="inlineStr">
        <is>
          <t>State Water Project allocation</t>
        </is>
      </c>
      <c r="B12" s="47" t="inlineStr">
        <is>
          <t>20%</t>
        </is>
      </c>
      <c r="C12" s="47" t="inlineStr">
        <is>
          <t>5%</t>
        </is>
      </c>
      <c r="D12" s="47" t="inlineStr">
        <is>
          <t>5%</t>
        </is>
      </c>
      <c r="E12" s="47" t="inlineStr">
        <is>
          <t>100%</t>
        </is>
      </c>
      <c r="F12" s="47" t="inlineStr">
        <is>
          <t>40%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Montebello Land and Water Company</t>
        </is>
      </c>
    </row>
    <row r="2">
      <c r="A2" s="2" t="inlineStr">
        <is>
          <t>How this was built - forensic lineage</t>
        </is>
      </c>
    </row>
    <row r="3">
      <c r="A3" s="2" t="inlineStr">
        <is>
          <t>Entity ID: cawc_0031   |   Fiscal year ends June 30.</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DIRECT</t>
        </is>
      </c>
      <c r="B7" s="7" t="n"/>
    </row>
    <row r="8" ht="72" customHeight="1">
      <c r="A8" s="22" t="inlineStr">
        <is>
          <t>Sources checked</t>
        </is>
      </c>
      <c r="B8" s="24" t="inlineStr">
        <is>
          <t>State Water Board eAR Section 8b (water-rate revenue B1.1/B1.2); State Water Board eAR Section 4 (connection count, same reporting year); audited financial statement (secondary cross-check, where published)</t>
        </is>
      </c>
    </row>
    <row r="9" ht="72" customHeight="1">
      <c r="A9" s="22" t="inlineStr">
        <is>
          <t>What was found</t>
        </is>
      </c>
      <c r="B9" s="24" t="inlineStr">
        <is>
          <t>The eAR Section 8b reports water-rate revenue for reporting year 2024, so this is a DIRECT filed figure; per customer it is divided by the eAR Section 4 connection count for the same reporting year, so numerator and denominator share the year.</t>
        </is>
      </c>
    </row>
    <row r="11">
      <c r="A11" s="6" t="inlineStr">
        <is>
          <t>Assessment revenue (residual) - DERIVED</t>
        </is>
      </c>
      <c r="B11" s="7" t="n"/>
    </row>
    <row r="12" ht="72" customHeight="1">
      <c r="A12" s="22" t="inlineStr">
        <is>
          <t>Sources checked</t>
        </is>
      </c>
      <c r="B12" s="24" t="inlineStr">
        <is>
          <t>Form 990 Part VIII line 2 (program-service revenue); State Water Board eAR Section 8b (water-rate revenue B1.1/B1.2)</t>
        </is>
      </c>
    </row>
    <row r="13" ht="72" customHeight="1">
      <c r="A13" s="22" t="inlineStr">
        <is>
          <t>What was found</t>
        </is>
      </c>
      <c r="B13" s="24" t="inlineStr">
        <is>
          <t>No source separately reports a member assessment, so it is DERIVED as a residual: $6,786,362 (990 program-service revenue) minus $6,662,418 (eAR water-rate revenue) = $123,944. Period-aligned; medium confidence.</t>
        </is>
      </c>
    </row>
    <row r="14" ht="72" customHeight="1">
      <c r="A14" s="22" t="inlineStr">
        <is>
          <t>Caveat</t>
        </is>
      </c>
      <c r="B14" s="24" t="inlineStr">
        <is>
          <t>This residual is a difference between two sources for the same period; it is not a separately filed assessment line and may include other unmatched revenue.</t>
        </is>
      </c>
    </row>
    <row r="16">
      <c r="A16" s="6" t="inlineStr">
        <is>
          <t>Meter revenue - not reported</t>
        </is>
      </c>
      <c r="B16" s="7" t="n"/>
    </row>
    <row r="17" ht="72" customHeight="1">
      <c r="A17" s="22" t="inlineStr">
        <is>
          <t>Sources checked</t>
        </is>
      </c>
      <c r="B17" s="24" t="inlineStr">
        <is>
          <t>State Water Board eAR Section 8a (rate prices); State Water Board eAR Section 8b (revenue lines); audited financial statement</t>
        </is>
      </c>
    </row>
    <row r="18" ht="72" customHeight="1">
      <c r="A18" s="22" t="inlineStr">
        <is>
          <t>What was found</t>
        </is>
      </c>
      <c r="B18" s="24" t="inlineStr">
        <is>
          <t>The rate price exists in Section 8a but no revenue or tier volume is reported, and the base charge is already inside water sales.</t>
        </is>
      </c>
    </row>
    <row r="19" ht="72" customHeight="1">
      <c r="A19" s="22" t="inlineStr">
        <is>
          <t>Caveat</t>
        </is>
      </c>
      <c r="B19" s="24"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2" t="inlineStr">
        <is>
          <t>Sources checked</t>
        </is>
      </c>
      <c r="B22" s="24" t="inlineStr">
        <is>
          <t>State Water Board eAR Section 8a (rate prices); State Water Board eAR Section 8b (revenue lines); audited financial statement</t>
        </is>
      </c>
    </row>
    <row r="23" ht="72" customHeight="1">
      <c r="A23" s="22" t="inlineStr">
        <is>
          <t>What was found</t>
        </is>
      </c>
      <c r="B23" s="24" t="inlineStr">
        <is>
          <t>The rate price exists in Section 8a but no revenue or tier volume is reported, and the base charge is already inside water sales.</t>
        </is>
      </c>
    </row>
    <row r="24" ht="72" customHeight="1">
      <c r="A24" s="22" t="inlineStr">
        <is>
          <t>Caveat</t>
        </is>
      </c>
      <c r="B24" s="24"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2" t="inlineStr">
        <is>
          <t>Sources checked</t>
        </is>
      </c>
      <c r="B27" s="24" t="inlineStr">
        <is>
          <t>eAR Section 8b B0.1 (WRFinancialReportingPeriod); eAR Section 8b B0.2 (WRFiscalYearStartDate)</t>
        </is>
      </c>
    </row>
    <row r="28" ht="72" customHeight="1">
      <c r="A28" s="22" t="inlineStr">
        <is>
          <t>What was found</t>
        </is>
      </c>
      <c r="B28" s="24"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2" t="inlineStr">
        <is>
          <t>Sources checked</t>
        </is>
      </c>
      <c r="B31" s="24" t="inlineStr">
        <is>
          <t>Form 990 (no member count stated); company website</t>
        </is>
      </c>
    </row>
    <row r="32" ht="72" customHeight="1">
      <c r="A32" s="22" t="inlineStr">
        <is>
          <t>What was found</t>
        </is>
      </c>
      <c r="B32" s="24"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2" t="inlineStr">
        <is>
          <t>Sources checked</t>
        </is>
      </c>
      <c r="B35" s="24" t="inlineStr">
        <is>
          <t>Form 990 (not in the filing); Consumer Confidence Report; eAR Section 6 (PRA-gated)</t>
        </is>
      </c>
    </row>
    <row r="36" ht="72" customHeight="1">
      <c r="A36" s="22" t="inlineStr">
        <is>
          <t>What was found</t>
        </is>
      </c>
      <c r="B36" s="24"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204"/>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Montebello Land and Water Company</t>
        </is>
      </c>
    </row>
    <row r="2">
      <c r="A2" s="2" t="inlineStr">
        <is>
          <t>Sources &amp; audit - full provenance and tie-outs (kept off the statements so they read clean)</t>
        </is>
      </c>
    </row>
    <row r="3">
      <c r="A3" s="2" t="inlineStr">
        <is>
          <t>Entity ID: cawc_0031   |   Fiscal year ends June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6"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47" t="inlineStr">
        <is>
          <t>FY2021</t>
        </is>
      </c>
      <c r="B10" s="8" t="inlineStr">
        <is>
          <t>2021-06-30</t>
        </is>
      </c>
      <c r="C10" s="8" t="inlineStr">
        <is>
          <t>990</t>
        </is>
      </c>
      <c r="D10" s="8" t="inlineStr">
        <is>
          <t>high</t>
        </is>
      </c>
      <c r="E10" s="8" t="inlineStr">
        <is>
          <t>79364b52-4a38-4134-98ac-9ead29fb8bc3</t>
        </is>
      </c>
      <c r="F10" s="8" t="inlineStr">
        <is>
          <t>202142719349300909</t>
        </is>
      </c>
      <c r="G10" s="8" t="inlineStr">
        <is>
          <t>claude-opus-5</t>
        </is>
      </c>
      <c r="H10" s="8" t="inlineStr">
        <is>
          <t>2026-09-14T20:40:24+00:00</t>
        </is>
      </c>
      <c r="I10" s="8" t="inlineStr">
        <is>
          <t>https://apps.irs.gov/pub/epostcard/990/xml/2021/2021_TEOS_XML_01A.zip#202142719349300909_public.xml</t>
        </is>
      </c>
    </row>
    <row r="11">
      <c r="A11" s="47" t="inlineStr">
        <is>
          <t>FY2022</t>
        </is>
      </c>
      <c r="B11" s="8" t="inlineStr">
        <is>
          <t>2022-06-30</t>
        </is>
      </c>
      <c r="C11" s="8" t="inlineStr">
        <is>
          <t>990</t>
        </is>
      </c>
      <c r="D11" s="8" t="inlineStr">
        <is>
          <t>high</t>
        </is>
      </c>
      <c r="E11" s="8" t="inlineStr">
        <is>
          <t>9f127c14-4a0b-4f27-b924-846c3a7aa0dd</t>
        </is>
      </c>
      <c r="F11" s="8" t="inlineStr">
        <is>
          <t>202203129349305215</t>
        </is>
      </c>
      <c r="G11" s="8" t="inlineStr">
        <is>
          <t>claude-opus-5</t>
        </is>
      </c>
      <c r="H11" s="8" t="inlineStr">
        <is>
          <t>2026-09-14T20:40:24+00:00</t>
        </is>
      </c>
      <c r="I11" s="8" t="inlineStr">
        <is>
          <t>https://apps.irs.gov/pub/epostcard/990/xml/2022/2022_TEOS_XML_02A.zip#202203129349305215_public.xml</t>
        </is>
      </c>
    </row>
    <row r="12">
      <c r="A12" s="47" t="inlineStr">
        <is>
          <t>FY2023</t>
        </is>
      </c>
      <c r="B12" s="8" t="inlineStr">
        <is>
          <t>2023-06-30</t>
        </is>
      </c>
      <c r="C12" s="8" t="inlineStr">
        <is>
          <t>990</t>
        </is>
      </c>
      <c r="D12" s="8" t="inlineStr">
        <is>
          <t>high</t>
        </is>
      </c>
      <c r="E12" s="8" t="inlineStr">
        <is>
          <t>c8fae41c-af74-49f0-8a72-dbb4fd84ff36</t>
        </is>
      </c>
      <c r="F12" s="8" t="inlineStr">
        <is>
          <t>202332869349301668</t>
        </is>
      </c>
      <c r="G12" s="8" t="inlineStr">
        <is>
          <t>claude-opus-5</t>
        </is>
      </c>
      <c r="H12" s="8" t="inlineStr">
        <is>
          <t>2026-09-14T20:40:24+00:00</t>
        </is>
      </c>
      <c r="I12" s="8" t="inlineStr">
        <is>
          <t>https://apps.irs.gov/pub/epostcard/990/xml/2023/2023_TEOS_XML_10A.zip#202332869349301668_public.xml</t>
        </is>
      </c>
    </row>
    <row r="13">
      <c r="A13" s="47" t="inlineStr">
        <is>
          <t>FY2024</t>
        </is>
      </c>
      <c r="B13" s="8" t="inlineStr">
        <is>
          <t>2024-06-30</t>
        </is>
      </c>
      <c r="C13" s="8" t="inlineStr">
        <is>
          <t>990</t>
        </is>
      </c>
      <c r="D13" s="8" t="inlineStr">
        <is>
          <t>high</t>
        </is>
      </c>
      <c r="E13" s="8" t="inlineStr">
        <is>
          <t>43b75b41-9d5d-4973-8ad0-25d1b9c923a2</t>
        </is>
      </c>
      <c r="F13" s="8" t="inlineStr">
        <is>
          <t>202422969349301462</t>
        </is>
      </c>
      <c r="G13" s="8" t="inlineStr">
        <is>
          <t>claude-opus-5</t>
        </is>
      </c>
      <c r="H13" s="8" t="inlineStr">
        <is>
          <t>2026-09-14T20:40:24+00:00</t>
        </is>
      </c>
      <c r="I13" s="8" t="inlineStr">
        <is>
          <t>https://apps.irs.gov/pub/epostcard/990/xml/2024/2024_TEOS_XML_10A.zip#202422969349301462_public.xml</t>
        </is>
      </c>
    </row>
    <row r="15">
      <c r="A15" s="46" t="inlineStr">
        <is>
          <t>B. Figure citations (every figure on the statement tabs, keyed by cell)</t>
        </is>
      </c>
      <c r="B15" s="7" t="n"/>
      <c r="C15" s="7" t="n"/>
      <c r="D15" s="7" t="n"/>
      <c r="E15" s="7" t="n"/>
      <c r="F15" s="7" t="n"/>
      <c r="G15" s="7" t="n"/>
      <c r="H15" s="7" t="n"/>
      <c r="I15" s="7" t="n"/>
      <c r="J15" s="7" t="n"/>
      <c r="K15" s="7" t="n"/>
    </row>
    <row r="16">
      <c r="A16" s="5" t="inlineStr">
        <is>
          <t>Tab</t>
        </is>
      </c>
      <c r="B16" s="5" t="inlineStr">
        <is>
          <t>Cell</t>
        </is>
      </c>
      <c r="C16" s="5" t="inlineStr">
        <is>
          <t>Line item</t>
        </is>
      </c>
      <c r="D16" s="5" t="inlineStr">
        <is>
          <t>Form 990 line</t>
        </is>
      </c>
      <c r="E16" s="5" t="inlineStr">
        <is>
          <t>Key path</t>
        </is>
      </c>
      <c r="F16" s="5" t="inlineStr">
        <is>
          <t>Confidence</t>
        </is>
      </c>
      <c r="G16" s="5" t="inlineStr">
        <is>
          <t>As filed</t>
        </is>
      </c>
    </row>
    <row r="17">
      <c r="A17" s="8" t="inlineStr">
        <is>
          <t>Financial Statements</t>
        </is>
      </c>
      <c r="B17" s="8" t="inlineStr">
        <is>
          <t>B73</t>
        </is>
      </c>
      <c r="C17" s="8" t="inlineStr">
        <is>
          <t>11a. Gross income from members or shareholders</t>
        </is>
      </c>
      <c r="D17" s="8" t="inlineStr">
        <is>
          <t>11a</t>
        </is>
      </c>
      <c r="E17" s="8" t="inlineStr">
        <is>
          <t>part_v_other_irs_filings.members_and_shareholders_gross_income</t>
        </is>
      </c>
      <c r="F17" s="8" t="inlineStr">
        <is>
          <t>high</t>
        </is>
      </c>
      <c r="G17" s="9" t="n">
        <v>6001213</v>
      </c>
    </row>
    <row r="18">
      <c r="A18" s="8" t="inlineStr">
        <is>
          <t>Financial Statements</t>
        </is>
      </c>
      <c r="B18" s="8" t="inlineStr">
        <is>
          <t>C73</t>
        </is>
      </c>
      <c r="C18" s="8" t="inlineStr">
        <is>
          <t>11a. Gross income from members or shareholders</t>
        </is>
      </c>
      <c r="D18" s="8" t="inlineStr">
        <is>
          <t>11a</t>
        </is>
      </c>
      <c r="E18" s="8" t="inlineStr">
        <is>
          <t>part_v_other_irs_filings.members_and_shareholders_gross_income</t>
        </is>
      </c>
      <c r="F18" s="8" t="inlineStr">
        <is>
          <t>high</t>
        </is>
      </c>
      <c r="G18" s="9" t="n">
        <v>6537460</v>
      </c>
    </row>
    <row r="19">
      <c r="A19" s="8" t="inlineStr">
        <is>
          <t>Financial Statements</t>
        </is>
      </c>
      <c r="B19" s="8" t="inlineStr">
        <is>
          <t>D73</t>
        </is>
      </c>
      <c r="C19" s="8" t="inlineStr">
        <is>
          <t>11a. Gross income from members or shareholders</t>
        </is>
      </c>
      <c r="D19" s="8" t="inlineStr">
        <is>
          <t>11a</t>
        </is>
      </c>
      <c r="E19" s="8" t="inlineStr">
        <is>
          <t>part_v_other_irs_filings.members_and_shareholders_gross_income</t>
        </is>
      </c>
      <c r="F19" s="8" t="inlineStr">
        <is>
          <t>high</t>
        </is>
      </c>
      <c r="G19" s="9" t="n">
        <v>6548139</v>
      </c>
    </row>
    <row r="20">
      <c r="A20" s="8" t="inlineStr">
        <is>
          <t>Financial Statements</t>
        </is>
      </c>
      <c r="B20" s="8" t="inlineStr">
        <is>
          <t>E73</t>
        </is>
      </c>
      <c r="C20" s="8" t="inlineStr">
        <is>
          <t>11a. Gross income from members or shareholders</t>
        </is>
      </c>
      <c r="D20" s="8" t="inlineStr">
        <is>
          <t>11a</t>
        </is>
      </c>
      <c r="E20" s="8" t="inlineStr">
        <is>
          <t>part_v_other_irs_filings.members_and_shareholders_gross_income</t>
        </is>
      </c>
      <c r="F20" s="8" t="inlineStr">
        <is>
          <t>high</t>
        </is>
      </c>
      <c r="G20" s="9" t="n">
        <v>6786362</v>
      </c>
    </row>
    <row r="21">
      <c r="A21" s="8" t="inlineStr">
        <is>
          <t>Financial Statements</t>
        </is>
      </c>
      <c r="B21" s="8" t="inlineStr">
        <is>
          <t>B74</t>
        </is>
      </c>
      <c r="C21" s="8" t="inlineStr">
        <is>
          <t>11b. Gross income from other sources</t>
        </is>
      </c>
      <c r="D21" s="8" t="inlineStr">
        <is>
          <t>11b</t>
        </is>
      </c>
      <c r="E21" s="8" t="inlineStr">
        <is>
          <t>part_v_other_irs_filings.other_sources_gross_income</t>
        </is>
      </c>
      <c r="F21" s="8" t="inlineStr">
        <is>
          <t>high</t>
        </is>
      </c>
      <c r="G21" s="9" t="n">
        <v>118463</v>
      </c>
    </row>
    <row r="22">
      <c r="A22" s="8" t="inlineStr">
        <is>
          <t>Financial Statements</t>
        </is>
      </c>
      <c r="B22" s="8" t="inlineStr">
        <is>
          <t>C74</t>
        </is>
      </c>
      <c r="C22" s="8" t="inlineStr">
        <is>
          <t>11b. Gross income from other sources</t>
        </is>
      </c>
      <c r="D22" s="8" t="inlineStr">
        <is>
          <t>11b</t>
        </is>
      </c>
      <c r="E22" s="8" t="inlineStr">
        <is>
          <t>part_v_other_irs_filings.other_sources_gross_income</t>
        </is>
      </c>
      <c r="F22" s="8" t="inlineStr">
        <is>
          <t>high</t>
        </is>
      </c>
      <c r="G22" s="9" t="n">
        <v>233892</v>
      </c>
    </row>
    <row r="23">
      <c r="A23" s="8" t="inlineStr">
        <is>
          <t>Financial Statements</t>
        </is>
      </c>
      <c r="B23" s="8" t="inlineStr">
        <is>
          <t>D74</t>
        </is>
      </c>
      <c r="C23" s="8" t="inlineStr">
        <is>
          <t>11b. Gross income from other sources</t>
        </is>
      </c>
      <c r="D23" s="8" t="inlineStr">
        <is>
          <t>11b</t>
        </is>
      </c>
      <c r="E23" s="8" t="inlineStr">
        <is>
          <t>part_v_other_irs_filings.other_sources_gross_income</t>
        </is>
      </c>
      <c r="F23" s="8" t="inlineStr">
        <is>
          <t>high</t>
        </is>
      </c>
      <c r="G23" s="9" t="n">
        <v>3472684</v>
      </c>
    </row>
    <row r="24">
      <c r="A24" s="8" t="inlineStr">
        <is>
          <t>Financial Statements</t>
        </is>
      </c>
      <c r="B24" s="8" t="inlineStr">
        <is>
          <t>E74</t>
        </is>
      </c>
      <c r="C24" s="8" t="inlineStr">
        <is>
          <t>11b. Gross income from other sources</t>
        </is>
      </c>
      <c r="D24" s="8" t="inlineStr">
        <is>
          <t>11b</t>
        </is>
      </c>
      <c r="E24" s="8" t="inlineStr">
        <is>
          <t>part_v_other_irs_filings.other_sources_gross_income</t>
        </is>
      </c>
      <c r="F24" s="8" t="inlineStr">
        <is>
          <t>high</t>
        </is>
      </c>
      <c r="G24" s="9" t="n">
        <v>3623308</v>
      </c>
    </row>
    <row r="25">
      <c r="A25" s="8" t="inlineStr">
        <is>
          <t>Revenue (detail)</t>
        </is>
      </c>
      <c r="B25" s="8" t="inlineStr">
        <is>
          <t>C7</t>
        </is>
      </c>
      <c r="C25" s="8" t="inlineStr">
        <is>
          <t>1h. Total contributions, gifts, grants</t>
        </is>
      </c>
      <c r="D25" s="8" t="inlineStr">
        <is>
          <t>1h</t>
        </is>
      </c>
      <c r="E25" s="8" t="inlineStr">
        <is>
          <t>part_viii_revenue.total_contributions</t>
        </is>
      </c>
      <c r="F25" s="8" t="inlineStr">
        <is>
          <t>high</t>
        </is>
      </c>
      <c r="G25" s="9" t="n">
        <v>39871</v>
      </c>
    </row>
    <row r="26">
      <c r="A26" s="8" t="inlineStr">
        <is>
          <t>Revenue (detail)</t>
        </is>
      </c>
      <c r="B26" s="8" t="inlineStr">
        <is>
          <t>D7</t>
        </is>
      </c>
      <c r="C26" s="8" t="inlineStr">
        <is>
          <t>1h. Total contributions, gifts, grants</t>
        </is>
      </c>
      <c r="D26" s="8" t="inlineStr">
        <is>
          <t>1h</t>
        </is>
      </c>
      <c r="E26" s="8" t="inlineStr">
        <is>
          <t>part_viii_revenue.total_contributions</t>
        </is>
      </c>
      <c r="F26" s="8" t="inlineStr">
        <is>
          <t>high</t>
        </is>
      </c>
      <c r="G26" s="9" t="n">
        <v>2930468</v>
      </c>
    </row>
    <row r="27">
      <c r="A27" s="8" t="inlineStr">
        <is>
          <t>Revenue (detail)</t>
        </is>
      </c>
      <c r="B27" s="8" t="inlineStr">
        <is>
          <t>E7</t>
        </is>
      </c>
      <c r="C27" s="8" t="inlineStr">
        <is>
          <t>1h. Total contributions, gifts, grants</t>
        </is>
      </c>
      <c r="D27" s="8" t="inlineStr">
        <is>
          <t>1h</t>
        </is>
      </c>
      <c r="E27" s="8" t="inlineStr">
        <is>
          <t>part_viii_revenue.total_contributions</t>
        </is>
      </c>
      <c r="F27" s="8" t="inlineStr">
        <is>
          <t>high</t>
        </is>
      </c>
      <c r="G27" s="9" t="n">
        <v>2298148</v>
      </c>
    </row>
    <row r="28">
      <c r="A28" s="8" t="inlineStr">
        <is>
          <t>Revenue (detail)</t>
        </is>
      </c>
      <c r="B28" s="8" t="inlineStr">
        <is>
          <t>B8</t>
        </is>
      </c>
      <c r="C28" s="8" t="inlineStr">
        <is>
          <t>2g. Total program service revenue</t>
        </is>
      </c>
      <c r="D28" s="8" t="inlineStr">
        <is>
          <t>2g</t>
        </is>
      </c>
      <c r="E28" s="8" t="inlineStr">
        <is>
          <t>part_viii_revenue.total_program_service_revenue</t>
        </is>
      </c>
      <c r="F28" s="8" t="inlineStr">
        <is>
          <t>high</t>
        </is>
      </c>
      <c r="G28" s="9" t="n">
        <v>6001213</v>
      </c>
    </row>
    <row r="29">
      <c r="A29" s="8" t="inlineStr">
        <is>
          <t>Revenue (detail)</t>
        </is>
      </c>
      <c r="B29" s="8" t="inlineStr">
        <is>
          <t>C8</t>
        </is>
      </c>
      <c r="C29" s="8" t="inlineStr">
        <is>
          <t>2g. Total program service revenue</t>
        </is>
      </c>
      <c r="D29" s="8" t="inlineStr">
        <is>
          <t>2g</t>
        </is>
      </c>
      <c r="E29" s="8" t="inlineStr">
        <is>
          <t>part_viii_revenue.total_program_service_revenue</t>
        </is>
      </c>
      <c r="F29" s="8" t="inlineStr">
        <is>
          <t>high</t>
        </is>
      </c>
      <c r="G29" s="9" t="n">
        <v>6537460</v>
      </c>
    </row>
    <row r="30">
      <c r="A30" s="8" t="inlineStr">
        <is>
          <t>Revenue (detail)</t>
        </is>
      </c>
      <c r="B30" s="8" t="inlineStr">
        <is>
          <t>D8</t>
        </is>
      </c>
      <c r="C30" s="8" t="inlineStr">
        <is>
          <t>2g. Total program service revenue</t>
        </is>
      </c>
      <c r="D30" s="8" t="inlineStr">
        <is>
          <t>2g</t>
        </is>
      </c>
      <c r="E30" s="8" t="inlineStr">
        <is>
          <t>part_viii_revenue.total_program_service_revenue</t>
        </is>
      </c>
      <c r="F30" s="8" t="inlineStr">
        <is>
          <t>high</t>
        </is>
      </c>
      <c r="G30" s="9" t="n">
        <v>6548139</v>
      </c>
    </row>
    <row r="31">
      <c r="A31" s="8" t="inlineStr">
        <is>
          <t>Revenue (detail)</t>
        </is>
      </c>
      <c r="B31" s="8" t="inlineStr">
        <is>
          <t>E8</t>
        </is>
      </c>
      <c r="C31" s="8" t="inlineStr">
        <is>
          <t>2g. Total program service revenue</t>
        </is>
      </c>
      <c r="D31" s="8" t="inlineStr">
        <is>
          <t>2g</t>
        </is>
      </c>
      <c r="E31" s="8" t="inlineStr">
        <is>
          <t>part_viii_revenue.total_program_service_revenue</t>
        </is>
      </c>
      <c r="F31" s="8" t="inlineStr">
        <is>
          <t>high</t>
        </is>
      </c>
      <c r="G31" s="9" t="n">
        <v>6786362</v>
      </c>
    </row>
    <row r="32">
      <c r="A32" s="8" t="inlineStr">
        <is>
          <t>Revenue (detail)</t>
        </is>
      </c>
      <c r="B32" s="8" t="inlineStr">
        <is>
          <t>B9</t>
        </is>
      </c>
      <c r="C32" s="8" t="inlineStr">
        <is>
          <t>3. Investment income</t>
        </is>
      </c>
      <c r="D32" s="8" t="inlineStr">
        <is>
          <t>3</t>
        </is>
      </c>
      <c r="E32" s="8" t="inlineStr">
        <is>
          <t>part_viii_revenue.investment_income</t>
        </is>
      </c>
      <c r="F32" s="8" t="inlineStr">
        <is>
          <t>high</t>
        </is>
      </c>
      <c r="G32" s="9" t="n">
        <v>79468</v>
      </c>
    </row>
    <row r="33">
      <c r="A33" s="8" t="inlineStr">
        <is>
          <t>Revenue (detail)</t>
        </is>
      </c>
      <c r="B33" s="8" t="inlineStr">
        <is>
          <t>C9</t>
        </is>
      </c>
      <c r="C33" s="8" t="inlineStr">
        <is>
          <t>3. Investment income</t>
        </is>
      </c>
      <c r="D33" s="8" t="inlineStr">
        <is>
          <t>3</t>
        </is>
      </c>
      <c r="E33" s="8" t="inlineStr">
        <is>
          <t>part_viii_revenue.investment_income</t>
        </is>
      </c>
      <c r="F33" s="8" t="inlineStr">
        <is>
          <t>high</t>
        </is>
      </c>
      <c r="G33" s="9" t="n">
        <v>76951</v>
      </c>
    </row>
    <row r="34">
      <c r="A34" s="8" t="inlineStr">
        <is>
          <t>Revenue (detail)</t>
        </is>
      </c>
      <c r="B34" s="8" t="inlineStr">
        <is>
          <t>D9</t>
        </is>
      </c>
      <c r="C34" s="8" t="inlineStr">
        <is>
          <t>3. Investment income</t>
        </is>
      </c>
      <c r="D34" s="8" t="inlineStr">
        <is>
          <t>3</t>
        </is>
      </c>
      <c r="E34" s="8" t="inlineStr">
        <is>
          <t>part_viii_revenue.investment_income</t>
        </is>
      </c>
      <c r="F34" s="8" t="inlineStr">
        <is>
          <t>high</t>
        </is>
      </c>
      <c r="G34" s="9" t="n">
        <v>175461</v>
      </c>
    </row>
    <row r="35">
      <c r="A35" s="8" t="inlineStr">
        <is>
          <t>Revenue (detail)</t>
        </is>
      </c>
      <c r="B35" s="8" t="inlineStr">
        <is>
          <t>E9</t>
        </is>
      </c>
      <c r="C35" s="8" t="inlineStr">
        <is>
          <t>3. Investment income</t>
        </is>
      </c>
      <c r="D35" s="8" t="inlineStr">
        <is>
          <t>3</t>
        </is>
      </c>
      <c r="E35" s="8" t="inlineStr">
        <is>
          <t>part_viii_revenue.investment_income</t>
        </is>
      </c>
      <c r="F35" s="8" t="inlineStr">
        <is>
          <t>high</t>
        </is>
      </c>
      <c r="G35" s="9" t="n">
        <v>314633</v>
      </c>
    </row>
    <row r="36">
      <c r="A36" s="8" t="inlineStr">
        <is>
          <t>Revenue (detail)</t>
        </is>
      </c>
      <c r="B36" s="8" t="inlineStr">
        <is>
          <t>B11</t>
        </is>
      </c>
      <c r="C36" s="8" t="inlineStr">
        <is>
          <t>7d. Net gain/(loss) from investment sales</t>
        </is>
      </c>
      <c r="D36" s="8" t="inlineStr">
        <is>
          <t>7d</t>
        </is>
      </c>
      <c r="E36" s="8" t="inlineStr">
        <is>
          <t>part_viii_revenue.net_gain_or_loss_investments</t>
        </is>
      </c>
      <c r="F36" s="8" t="inlineStr">
        <is>
          <t>high</t>
        </is>
      </c>
      <c r="G36" s="9" t="n">
        <v>1500</v>
      </c>
    </row>
    <row r="37">
      <c r="A37" s="8" t="inlineStr">
        <is>
          <t>Revenue (detail)</t>
        </is>
      </c>
      <c r="B37" s="8" t="inlineStr">
        <is>
          <t>C11</t>
        </is>
      </c>
      <c r="C37" s="8" t="inlineStr">
        <is>
          <t>7d. Net gain/(loss) from investment sales</t>
        </is>
      </c>
      <c r="D37" s="8" t="inlineStr">
        <is>
          <t>7d</t>
        </is>
      </c>
      <c r="E37" s="8" t="inlineStr">
        <is>
          <t>part_viii_revenue.net_gain_or_loss_investments</t>
        </is>
      </c>
      <c r="F37" s="8" t="inlineStr">
        <is>
          <t>high</t>
        </is>
      </c>
      <c r="G37" s="9" t="n">
        <v>10000</v>
      </c>
    </row>
    <row r="38">
      <c r="A38" s="8" t="inlineStr">
        <is>
          <t>Revenue (detail)</t>
        </is>
      </c>
      <c r="B38" s="8" t="inlineStr">
        <is>
          <t>E11</t>
        </is>
      </c>
      <c r="C38" s="8" t="inlineStr">
        <is>
          <t>7d. Net gain/(loss) from investment sales</t>
        </is>
      </c>
      <c r="D38" s="8" t="inlineStr">
        <is>
          <t>7d</t>
        </is>
      </c>
      <c r="E38" s="8" t="inlineStr">
        <is>
          <t>part_viii_revenue.net_gain_or_loss_investments</t>
        </is>
      </c>
      <c r="F38" s="8" t="inlineStr">
        <is>
          <t>high</t>
        </is>
      </c>
      <c r="G38" s="9" t="n">
        <v>11000</v>
      </c>
    </row>
    <row r="39">
      <c r="A39" s="8" t="inlineStr">
        <is>
          <t>Revenue (detail)</t>
        </is>
      </c>
      <c r="B39" s="8" t="inlineStr">
        <is>
          <t>B12</t>
        </is>
      </c>
      <c r="C39" s="8" t="inlineStr">
        <is>
          <t>11e. Other revenue</t>
        </is>
      </c>
      <c r="D39" s="8" t="inlineStr">
        <is>
          <t>11e</t>
        </is>
      </c>
      <c r="E39" s="8" t="inlineStr">
        <is>
          <t>part_viii_revenue.other_revenue_total</t>
        </is>
      </c>
      <c r="F39" s="8" t="inlineStr">
        <is>
          <t>high</t>
        </is>
      </c>
      <c r="G39" s="9" t="n">
        <v>37495</v>
      </c>
    </row>
    <row r="40">
      <c r="A40" s="8" t="inlineStr">
        <is>
          <t>Revenue (detail)</t>
        </is>
      </c>
      <c r="B40" s="8" t="inlineStr">
        <is>
          <t>C12</t>
        </is>
      </c>
      <c r="C40" s="8" t="inlineStr">
        <is>
          <t>11e. Other revenue</t>
        </is>
      </c>
      <c r="D40" s="8" t="inlineStr">
        <is>
          <t>11e</t>
        </is>
      </c>
      <c r="E40" s="8" t="inlineStr">
        <is>
          <t>part_viii_revenue.other_revenue_total</t>
        </is>
      </c>
      <c r="F40" s="8" t="inlineStr">
        <is>
          <t>high</t>
        </is>
      </c>
      <c r="G40" s="9" t="n">
        <v>107070</v>
      </c>
    </row>
    <row r="41">
      <c r="A41" s="8" t="inlineStr">
        <is>
          <t>Revenue (detail)</t>
        </is>
      </c>
      <c r="B41" s="8" t="inlineStr">
        <is>
          <t>D12</t>
        </is>
      </c>
      <c r="C41" s="8" t="inlineStr">
        <is>
          <t>11e. Other revenue</t>
        </is>
      </c>
      <c r="D41" s="8" t="inlineStr">
        <is>
          <t>11e</t>
        </is>
      </c>
      <c r="E41" s="8" t="inlineStr">
        <is>
          <t>part_viii_revenue.other_revenue_total</t>
        </is>
      </c>
      <c r="F41" s="8" t="inlineStr">
        <is>
          <t>high</t>
        </is>
      </c>
      <c r="G41" s="9" t="n">
        <v>369379</v>
      </c>
    </row>
    <row r="42">
      <c r="A42" s="8" t="inlineStr">
        <is>
          <t>Revenue (detail)</t>
        </is>
      </c>
      <c r="B42" s="8" t="inlineStr">
        <is>
          <t>E12</t>
        </is>
      </c>
      <c r="C42" s="8" t="inlineStr">
        <is>
          <t>11e. Other revenue</t>
        </is>
      </c>
      <c r="D42" s="8" t="inlineStr">
        <is>
          <t>11e</t>
        </is>
      </c>
      <c r="E42" s="8" t="inlineStr">
        <is>
          <t>part_viii_revenue.other_revenue_total</t>
        </is>
      </c>
      <c r="F42" s="8" t="inlineStr">
        <is>
          <t>high</t>
        </is>
      </c>
      <c r="G42" s="9" t="n">
        <v>1001189</v>
      </c>
    </row>
    <row r="43">
      <c r="A43" s="8" t="inlineStr">
        <is>
          <t>Operating expenses (detail)</t>
        </is>
      </c>
      <c r="B43" s="8" t="inlineStr">
        <is>
          <t>B7</t>
        </is>
      </c>
      <c r="C43" s="8" t="inlineStr">
        <is>
          <t>5. Compensation of current officers, directors, trustees</t>
        </is>
      </c>
      <c r="D43" s="8" t="inlineStr">
        <is>
          <t>5</t>
        </is>
      </c>
      <c r="E43" s="8" t="inlineStr">
        <is>
          <t>part_ix_expenses.comp_current_officers</t>
        </is>
      </c>
      <c r="F43" s="8" t="inlineStr">
        <is>
          <t>high</t>
        </is>
      </c>
      <c r="G43" s="9" t="n">
        <v>234027</v>
      </c>
    </row>
    <row r="44">
      <c r="A44" s="8" t="inlineStr">
        <is>
          <t>Operating expenses (detail)</t>
        </is>
      </c>
      <c r="B44" s="8" t="inlineStr">
        <is>
          <t>C7</t>
        </is>
      </c>
      <c r="C44" s="8" t="inlineStr">
        <is>
          <t>5. Compensation of current officers, directors, trustees</t>
        </is>
      </c>
      <c r="D44" s="8" t="inlineStr">
        <is>
          <t>5</t>
        </is>
      </c>
      <c r="E44" s="8" t="inlineStr">
        <is>
          <t>part_ix_expenses.comp_current_officers</t>
        </is>
      </c>
      <c r="F44" s="8" t="inlineStr">
        <is>
          <t>high</t>
        </is>
      </c>
      <c r="G44" s="9" t="n">
        <v>339169</v>
      </c>
    </row>
    <row r="45">
      <c r="A45" s="8" t="inlineStr">
        <is>
          <t>Operating expenses (detail)</t>
        </is>
      </c>
      <c r="B45" s="8" t="inlineStr">
        <is>
          <t>D7</t>
        </is>
      </c>
      <c r="C45" s="8" t="inlineStr">
        <is>
          <t>5. Compensation of current officers, directors, trustees</t>
        </is>
      </c>
      <c r="D45" s="8" t="inlineStr">
        <is>
          <t>5</t>
        </is>
      </c>
      <c r="E45" s="8" t="inlineStr">
        <is>
          <t>part_ix_expenses.comp_current_officers</t>
        </is>
      </c>
      <c r="F45" s="8" t="inlineStr">
        <is>
          <t>high</t>
        </is>
      </c>
      <c r="G45" s="9" t="n">
        <v>249738</v>
      </c>
    </row>
    <row r="46">
      <c r="A46" s="8" t="inlineStr">
        <is>
          <t>Operating expenses (detail)</t>
        </is>
      </c>
      <c r="B46" s="8" t="inlineStr">
        <is>
          <t>E7</t>
        </is>
      </c>
      <c r="C46" s="8" t="inlineStr">
        <is>
          <t>5. Compensation of current officers, directors, trustees</t>
        </is>
      </c>
      <c r="D46" s="8" t="inlineStr">
        <is>
          <t>5</t>
        </is>
      </c>
      <c r="E46" s="8" t="inlineStr">
        <is>
          <t>part_ix_expenses.comp_current_officers</t>
        </is>
      </c>
      <c r="F46" s="8" t="inlineStr">
        <is>
          <t>high</t>
        </is>
      </c>
      <c r="G46" s="9" t="n">
        <v>277260</v>
      </c>
    </row>
    <row r="47">
      <c r="A47" s="8" t="inlineStr">
        <is>
          <t>Operating expenses (detail)</t>
        </is>
      </c>
      <c r="B47" s="8" t="inlineStr">
        <is>
          <t>B8</t>
        </is>
      </c>
      <c r="C47" s="8" t="inlineStr">
        <is>
          <t>7. Other salaries and wages</t>
        </is>
      </c>
      <c r="D47" s="8" t="inlineStr">
        <is>
          <t>7</t>
        </is>
      </c>
      <c r="E47" s="8" t="inlineStr">
        <is>
          <t>part_ix_expenses.other_salaries_and_wages</t>
        </is>
      </c>
      <c r="F47" s="8" t="inlineStr">
        <is>
          <t>high</t>
        </is>
      </c>
      <c r="G47" s="9" t="n">
        <v>790543</v>
      </c>
    </row>
    <row r="48">
      <c r="A48" s="8" t="inlineStr">
        <is>
          <t>Operating expenses (detail)</t>
        </is>
      </c>
      <c r="B48" s="8" t="inlineStr">
        <is>
          <t>C8</t>
        </is>
      </c>
      <c r="C48" s="8" t="inlineStr">
        <is>
          <t>7. Other salaries and wages</t>
        </is>
      </c>
      <c r="D48" s="8" t="inlineStr">
        <is>
          <t>7</t>
        </is>
      </c>
      <c r="E48" s="8" t="inlineStr">
        <is>
          <t>part_ix_expenses.other_salaries_and_wages</t>
        </is>
      </c>
      <c r="F48" s="8" t="inlineStr">
        <is>
          <t>high</t>
        </is>
      </c>
      <c r="G48" s="9" t="n">
        <v>774184</v>
      </c>
    </row>
    <row r="49">
      <c r="A49" s="8" t="inlineStr">
        <is>
          <t>Operating expenses (detail)</t>
        </is>
      </c>
      <c r="B49" s="8" t="inlineStr">
        <is>
          <t>D8</t>
        </is>
      </c>
      <c r="C49" s="8" t="inlineStr">
        <is>
          <t>7. Other salaries and wages</t>
        </is>
      </c>
      <c r="D49" s="8" t="inlineStr">
        <is>
          <t>7</t>
        </is>
      </c>
      <c r="E49" s="8" t="inlineStr">
        <is>
          <t>part_ix_expenses.other_salaries_and_wages</t>
        </is>
      </c>
      <c r="F49" s="8" t="inlineStr">
        <is>
          <t>high</t>
        </is>
      </c>
      <c r="G49" s="9" t="n">
        <v>693589</v>
      </c>
    </row>
    <row r="50">
      <c r="A50" s="8" t="inlineStr">
        <is>
          <t>Operating expenses (detail)</t>
        </is>
      </c>
      <c r="B50" s="8" t="inlineStr">
        <is>
          <t>E8</t>
        </is>
      </c>
      <c r="C50" s="8" t="inlineStr">
        <is>
          <t>7. Other salaries and wages</t>
        </is>
      </c>
      <c r="D50" s="8" t="inlineStr">
        <is>
          <t>7</t>
        </is>
      </c>
      <c r="E50" s="8" t="inlineStr">
        <is>
          <t>part_ix_expenses.other_salaries_and_wages</t>
        </is>
      </c>
      <c r="F50" s="8" t="inlineStr">
        <is>
          <t>high</t>
        </is>
      </c>
      <c r="G50" s="9" t="n">
        <v>717376</v>
      </c>
    </row>
    <row r="51">
      <c r="A51" s="8" t="inlineStr">
        <is>
          <t>Operating expenses (detail)</t>
        </is>
      </c>
      <c r="B51" s="8" t="inlineStr">
        <is>
          <t>B9</t>
        </is>
      </c>
      <c r="C51" s="8" t="inlineStr">
        <is>
          <t>8. Pension plan accruals and contributions</t>
        </is>
      </c>
      <c r="D51" s="8" t="inlineStr">
        <is>
          <t>8</t>
        </is>
      </c>
      <c r="E51" s="8" t="inlineStr">
        <is>
          <t>part_ix_expenses.pension_plan_contributions</t>
        </is>
      </c>
      <c r="F51" s="8" t="inlineStr">
        <is>
          <t>high</t>
        </is>
      </c>
      <c r="G51" s="9" t="n">
        <v>531864</v>
      </c>
    </row>
    <row r="52">
      <c r="A52" s="8" t="inlineStr">
        <is>
          <t>Operating expenses (detail)</t>
        </is>
      </c>
      <c r="B52" s="8" t="inlineStr">
        <is>
          <t>C9</t>
        </is>
      </c>
      <c r="C52" s="8" t="inlineStr">
        <is>
          <t>8. Pension plan accruals and contributions</t>
        </is>
      </c>
      <c r="D52" s="8" t="inlineStr">
        <is>
          <t>8</t>
        </is>
      </c>
      <c r="E52" s="8" t="inlineStr">
        <is>
          <t>part_ix_expenses.pension_plan_contributions</t>
        </is>
      </c>
      <c r="F52" s="8" t="inlineStr">
        <is>
          <t>high</t>
        </is>
      </c>
      <c r="G52" s="9" t="n">
        <v>146974</v>
      </c>
    </row>
    <row r="53">
      <c r="A53" s="8" t="inlineStr">
        <is>
          <t>Operating expenses (detail)</t>
        </is>
      </c>
      <c r="B53" s="8" t="inlineStr">
        <is>
          <t>D9</t>
        </is>
      </c>
      <c r="C53" s="8" t="inlineStr">
        <is>
          <t>8. Pension plan accruals and contributions</t>
        </is>
      </c>
      <c r="D53" s="8" t="inlineStr">
        <is>
          <t>8</t>
        </is>
      </c>
      <c r="E53" s="8" t="inlineStr">
        <is>
          <t>part_ix_expenses.pension_plan_contributions</t>
        </is>
      </c>
      <c r="F53" s="8" t="inlineStr">
        <is>
          <t>high</t>
        </is>
      </c>
      <c r="G53" s="9" t="n">
        <v>145502</v>
      </c>
    </row>
    <row r="54">
      <c r="A54" s="8" t="inlineStr">
        <is>
          <t>Operating expenses (detail)</t>
        </is>
      </c>
      <c r="B54" s="8" t="inlineStr">
        <is>
          <t>E9</t>
        </is>
      </c>
      <c r="C54" s="8" t="inlineStr">
        <is>
          <t>8. Pension plan accruals and contributions</t>
        </is>
      </c>
      <c r="D54" s="8" t="inlineStr">
        <is>
          <t>8</t>
        </is>
      </c>
      <c r="E54" s="8" t="inlineStr">
        <is>
          <t>part_ix_expenses.pension_plan_contributions</t>
        </is>
      </c>
      <c r="F54" s="8" t="inlineStr">
        <is>
          <t>high</t>
        </is>
      </c>
      <c r="G54" s="9" t="n">
        <v>111902</v>
      </c>
    </row>
    <row r="55">
      <c r="A55" s="8" t="inlineStr">
        <is>
          <t>Operating expenses (detail)</t>
        </is>
      </c>
      <c r="B55" s="8" t="inlineStr">
        <is>
          <t>B10</t>
        </is>
      </c>
      <c r="C55" s="8" t="inlineStr">
        <is>
          <t>9. Other employee benefits</t>
        </is>
      </c>
      <c r="D55" s="8" t="inlineStr">
        <is>
          <t>9</t>
        </is>
      </c>
      <c r="E55" s="8" t="inlineStr">
        <is>
          <t>part_ix_expenses.other_employee_benefits</t>
        </is>
      </c>
      <c r="F55" s="8" t="inlineStr">
        <is>
          <t>high</t>
        </is>
      </c>
      <c r="G55" s="9" t="n">
        <v>215494</v>
      </c>
    </row>
    <row r="56">
      <c r="A56" s="8" t="inlineStr">
        <is>
          <t>Operating expenses (detail)</t>
        </is>
      </c>
      <c r="B56" s="8" t="inlineStr">
        <is>
          <t>C10</t>
        </is>
      </c>
      <c r="C56" s="8" t="inlineStr">
        <is>
          <t>9. Other employee benefits</t>
        </is>
      </c>
      <c r="D56" s="8" t="inlineStr">
        <is>
          <t>9</t>
        </is>
      </c>
      <c r="E56" s="8" t="inlineStr">
        <is>
          <t>part_ix_expenses.other_employee_benefits</t>
        </is>
      </c>
      <c r="F56" s="8" t="inlineStr">
        <is>
          <t>high</t>
        </is>
      </c>
      <c r="G56" s="9" t="n">
        <v>195430</v>
      </c>
    </row>
    <row r="57">
      <c r="A57" s="8" t="inlineStr">
        <is>
          <t>Operating expenses (detail)</t>
        </is>
      </c>
      <c r="B57" s="8" t="inlineStr">
        <is>
          <t>D10</t>
        </is>
      </c>
      <c r="C57" s="8" t="inlineStr">
        <is>
          <t>9. Other employee benefits</t>
        </is>
      </c>
      <c r="D57" s="8" t="inlineStr">
        <is>
          <t>9</t>
        </is>
      </c>
      <c r="E57" s="8" t="inlineStr">
        <is>
          <t>part_ix_expenses.other_employee_benefits</t>
        </is>
      </c>
      <c r="F57" s="8" t="inlineStr">
        <is>
          <t>high</t>
        </is>
      </c>
      <c r="G57" s="9" t="n">
        <v>188176</v>
      </c>
    </row>
    <row r="58">
      <c r="A58" s="8" t="inlineStr">
        <is>
          <t>Operating expenses (detail)</t>
        </is>
      </c>
      <c r="B58" s="8" t="inlineStr">
        <is>
          <t>E10</t>
        </is>
      </c>
      <c r="C58" s="8" t="inlineStr">
        <is>
          <t>9. Other employee benefits</t>
        </is>
      </c>
      <c r="D58" s="8" t="inlineStr">
        <is>
          <t>9</t>
        </is>
      </c>
      <c r="E58" s="8" t="inlineStr">
        <is>
          <t>part_ix_expenses.other_employee_benefits</t>
        </is>
      </c>
      <c r="F58" s="8" t="inlineStr">
        <is>
          <t>high</t>
        </is>
      </c>
      <c r="G58" s="9" t="n">
        <v>193166</v>
      </c>
    </row>
    <row r="59">
      <c r="A59" s="8" t="inlineStr">
        <is>
          <t>Operating expenses (detail)</t>
        </is>
      </c>
      <c r="B59" s="8" t="inlineStr">
        <is>
          <t>B11</t>
        </is>
      </c>
      <c r="C59" s="8" t="inlineStr">
        <is>
          <t>10. Payroll taxes</t>
        </is>
      </c>
      <c r="D59" s="8" t="inlineStr">
        <is>
          <t>10</t>
        </is>
      </c>
      <c r="E59" s="8" t="inlineStr">
        <is>
          <t>part_ix_expenses.payroll_taxes</t>
        </is>
      </c>
      <c r="F59" s="8" t="inlineStr">
        <is>
          <t>high</t>
        </is>
      </c>
      <c r="G59" s="9" t="n">
        <v>86855</v>
      </c>
    </row>
    <row r="60">
      <c r="A60" s="8" t="inlineStr">
        <is>
          <t>Operating expenses (detail)</t>
        </is>
      </c>
      <c r="B60" s="8" t="inlineStr">
        <is>
          <t>C11</t>
        </is>
      </c>
      <c r="C60" s="8" t="inlineStr">
        <is>
          <t>10. Payroll taxes</t>
        </is>
      </c>
      <c r="D60" s="8" t="inlineStr">
        <is>
          <t>10</t>
        </is>
      </c>
      <c r="E60" s="8" t="inlineStr">
        <is>
          <t>part_ix_expenses.payroll_taxes</t>
        </is>
      </c>
      <c r="F60" s="8" t="inlineStr">
        <is>
          <t>high</t>
        </is>
      </c>
      <c r="G60" s="9" t="n">
        <v>83241</v>
      </c>
    </row>
    <row r="61">
      <c r="A61" s="8" t="inlineStr">
        <is>
          <t>Operating expenses (detail)</t>
        </is>
      </c>
      <c r="B61" s="8" t="inlineStr">
        <is>
          <t>D11</t>
        </is>
      </c>
      <c r="C61" s="8" t="inlineStr">
        <is>
          <t>10. Payroll taxes</t>
        </is>
      </c>
      <c r="D61" s="8" t="inlineStr">
        <is>
          <t>10</t>
        </is>
      </c>
      <c r="E61" s="8" t="inlineStr">
        <is>
          <t>part_ix_expenses.payroll_taxes</t>
        </is>
      </c>
      <c r="F61" s="8" t="inlineStr">
        <is>
          <t>high</t>
        </is>
      </c>
      <c r="G61" s="9" t="n">
        <v>77323</v>
      </c>
    </row>
    <row r="62">
      <c r="A62" s="8" t="inlineStr">
        <is>
          <t>Operating expenses (detail)</t>
        </is>
      </c>
      <c r="B62" s="8" t="inlineStr">
        <is>
          <t>E11</t>
        </is>
      </c>
      <c r="C62" s="8" t="inlineStr">
        <is>
          <t>10. Payroll taxes</t>
        </is>
      </c>
      <c r="D62" s="8" t="inlineStr">
        <is>
          <t>10</t>
        </is>
      </c>
      <c r="E62" s="8" t="inlineStr">
        <is>
          <t>part_ix_expenses.payroll_taxes</t>
        </is>
      </c>
      <c r="F62" s="8" t="inlineStr">
        <is>
          <t>high</t>
        </is>
      </c>
      <c r="G62" s="9" t="n">
        <v>87480</v>
      </c>
    </row>
    <row r="63">
      <c r="A63" s="8" t="inlineStr">
        <is>
          <t>Operating expenses (detail)</t>
        </is>
      </c>
      <c r="B63" s="8" t="inlineStr">
        <is>
          <t>B12</t>
        </is>
      </c>
      <c r="C63" s="8" t="inlineStr">
        <is>
          <t>11b. Fees for services: legal</t>
        </is>
      </c>
      <c r="D63" s="8" t="inlineStr">
        <is>
          <t>11b</t>
        </is>
      </c>
      <c r="E63" s="8" t="inlineStr">
        <is>
          <t>part_ix_expenses.fees_legal</t>
        </is>
      </c>
      <c r="F63" s="8" t="inlineStr">
        <is>
          <t>high</t>
        </is>
      </c>
      <c r="G63" s="9" t="n">
        <v>47975</v>
      </c>
    </row>
    <row r="64">
      <c r="A64" s="8" t="inlineStr">
        <is>
          <t>Operating expenses (detail)</t>
        </is>
      </c>
      <c r="B64" s="8" t="inlineStr">
        <is>
          <t>C12</t>
        </is>
      </c>
      <c r="C64" s="8" t="inlineStr">
        <is>
          <t>11b. Fees for services: legal</t>
        </is>
      </c>
      <c r="D64" s="8" t="inlineStr">
        <is>
          <t>11b</t>
        </is>
      </c>
      <c r="E64" s="8" t="inlineStr">
        <is>
          <t>part_ix_expenses.fees_legal</t>
        </is>
      </c>
      <c r="F64" s="8" t="inlineStr">
        <is>
          <t>high</t>
        </is>
      </c>
      <c r="G64" s="9" t="n">
        <v>33287</v>
      </c>
    </row>
    <row r="65">
      <c r="A65" s="8" t="inlineStr">
        <is>
          <t>Operating expenses (detail)</t>
        </is>
      </c>
      <c r="B65" s="8" t="inlineStr">
        <is>
          <t>D12</t>
        </is>
      </c>
      <c r="C65" s="8" t="inlineStr">
        <is>
          <t>11b. Fees for services: legal</t>
        </is>
      </c>
      <c r="D65" s="8" t="inlineStr">
        <is>
          <t>11b</t>
        </is>
      </c>
      <c r="E65" s="8" t="inlineStr">
        <is>
          <t>part_ix_expenses.fees_legal</t>
        </is>
      </c>
      <c r="F65" s="8" t="inlineStr">
        <is>
          <t>high</t>
        </is>
      </c>
      <c r="G65" s="9" t="n">
        <v>44035</v>
      </c>
    </row>
    <row r="66">
      <c r="A66" s="8" t="inlineStr">
        <is>
          <t>Operating expenses (detail)</t>
        </is>
      </c>
      <c r="B66" s="8" t="inlineStr">
        <is>
          <t>E12</t>
        </is>
      </c>
      <c r="C66" s="8" t="inlineStr">
        <is>
          <t>11b. Fees for services: legal</t>
        </is>
      </c>
      <c r="D66" s="8" t="inlineStr">
        <is>
          <t>11b</t>
        </is>
      </c>
      <c r="E66" s="8" t="inlineStr">
        <is>
          <t>part_ix_expenses.fees_legal</t>
        </is>
      </c>
      <c r="F66" s="8" t="inlineStr">
        <is>
          <t>high</t>
        </is>
      </c>
      <c r="G66" s="9" t="n">
        <v>31995</v>
      </c>
    </row>
    <row r="67">
      <c r="A67" s="8" t="inlineStr">
        <is>
          <t>Operating expenses (detail)</t>
        </is>
      </c>
      <c r="B67" s="8" t="inlineStr">
        <is>
          <t>B13</t>
        </is>
      </c>
      <c r="C67" s="8" t="inlineStr">
        <is>
          <t>11c. Fees for services: accounting</t>
        </is>
      </c>
      <c r="D67" s="8" t="inlineStr">
        <is>
          <t>11c</t>
        </is>
      </c>
      <c r="E67" s="8" t="inlineStr">
        <is>
          <t>part_ix_expenses.fees_accounting</t>
        </is>
      </c>
      <c r="F67" s="8" t="inlineStr">
        <is>
          <t>high</t>
        </is>
      </c>
      <c r="G67" s="9" t="n">
        <v>34625</v>
      </c>
    </row>
    <row r="68">
      <c r="A68" s="8" t="inlineStr">
        <is>
          <t>Operating expenses (detail)</t>
        </is>
      </c>
      <c r="B68" s="8" t="inlineStr">
        <is>
          <t>C13</t>
        </is>
      </c>
      <c r="C68" s="8" t="inlineStr">
        <is>
          <t>11c. Fees for services: accounting</t>
        </is>
      </c>
      <c r="D68" s="8" t="inlineStr">
        <is>
          <t>11c</t>
        </is>
      </c>
      <c r="E68" s="8" t="inlineStr">
        <is>
          <t>part_ix_expenses.fees_accounting</t>
        </is>
      </c>
      <c r="F68" s="8" t="inlineStr">
        <is>
          <t>high</t>
        </is>
      </c>
      <c r="G68" s="9" t="n">
        <v>36875</v>
      </c>
    </row>
    <row r="69">
      <c r="A69" s="8" t="inlineStr">
        <is>
          <t>Operating expenses (detail)</t>
        </is>
      </c>
      <c r="B69" s="8" t="inlineStr">
        <is>
          <t>D13</t>
        </is>
      </c>
      <c r="C69" s="8" t="inlineStr">
        <is>
          <t>11c. Fees for services: accounting</t>
        </is>
      </c>
      <c r="D69" s="8" t="inlineStr">
        <is>
          <t>11c</t>
        </is>
      </c>
      <c r="E69" s="8" t="inlineStr">
        <is>
          <t>part_ix_expenses.fees_accounting</t>
        </is>
      </c>
      <c r="F69" s="8" t="inlineStr">
        <is>
          <t>high</t>
        </is>
      </c>
      <c r="G69" s="9" t="n">
        <v>36822</v>
      </c>
    </row>
    <row r="70">
      <c r="A70" s="8" t="inlineStr">
        <is>
          <t>Operating expenses (detail)</t>
        </is>
      </c>
      <c r="B70" s="8" t="inlineStr">
        <is>
          <t>E13</t>
        </is>
      </c>
      <c r="C70" s="8" t="inlineStr">
        <is>
          <t>11c. Fees for services: accounting</t>
        </is>
      </c>
      <c r="D70" s="8" t="inlineStr">
        <is>
          <t>11c</t>
        </is>
      </c>
      <c r="E70" s="8" t="inlineStr">
        <is>
          <t>part_ix_expenses.fees_accounting</t>
        </is>
      </c>
      <c r="F70" s="8" t="inlineStr">
        <is>
          <t>high</t>
        </is>
      </c>
      <c r="G70" s="9" t="n">
        <v>38150</v>
      </c>
    </row>
    <row r="71">
      <c r="A71" s="8" t="inlineStr">
        <is>
          <t>Operating expenses (detail)</t>
        </is>
      </c>
      <c r="B71" s="8" t="inlineStr">
        <is>
          <t>B14</t>
        </is>
      </c>
      <c r="C71" s="8" t="inlineStr">
        <is>
          <t>11g. Fees for services: other</t>
        </is>
      </c>
      <c r="D71" s="8" t="inlineStr">
        <is>
          <t>11g</t>
        </is>
      </c>
      <c r="E71" s="8" t="inlineStr">
        <is>
          <t>part_ix_expenses.fees_other</t>
        </is>
      </c>
      <c r="F71" s="8" t="inlineStr">
        <is>
          <t>high</t>
        </is>
      </c>
      <c r="G71" s="9" t="n">
        <v>172935</v>
      </c>
    </row>
    <row r="72">
      <c r="A72" s="8" t="inlineStr">
        <is>
          <t>Operating expenses (detail)</t>
        </is>
      </c>
      <c r="B72" s="8" t="inlineStr">
        <is>
          <t>C14</t>
        </is>
      </c>
      <c r="C72" s="8" t="inlineStr">
        <is>
          <t>11g. Fees for services: other</t>
        </is>
      </c>
      <c r="D72" s="8" t="inlineStr">
        <is>
          <t>11g</t>
        </is>
      </c>
      <c r="E72" s="8" t="inlineStr">
        <is>
          <t>part_ix_expenses.fees_other</t>
        </is>
      </c>
      <c r="F72" s="8" t="inlineStr">
        <is>
          <t>high</t>
        </is>
      </c>
      <c r="G72" s="9" t="n">
        <v>216845</v>
      </c>
    </row>
    <row r="73">
      <c r="A73" s="8" t="inlineStr">
        <is>
          <t>Operating expenses (detail)</t>
        </is>
      </c>
      <c r="B73" s="8" t="inlineStr">
        <is>
          <t>D14</t>
        </is>
      </c>
      <c r="C73" s="8" t="inlineStr">
        <is>
          <t>11g. Fees for services: other</t>
        </is>
      </c>
      <c r="D73" s="8" t="inlineStr">
        <is>
          <t>11g</t>
        </is>
      </c>
      <c r="E73" s="8" t="inlineStr">
        <is>
          <t>part_ix_expenses.fees_other</t>
        </is>
      </c>
      <c r="F73" s="8" t="inlineStr">
        <is>
          <t>high</t>
        </is>
      </c>
      <c r="G73" s="9" t="n">
        <v>161754</v>
      </c>
    </row>
    <row r="74">
      <c r="A74" s="8" t="inlineStr">
        <is>
          <t>Operating expenses (detail)</t>
        </is>
      </c>
      <c r="B74" s="8" t="inlineStr">
        <is>
          <t>E14</t>
        </is>
      </c>
      <c r="C74" s="8" t="inlineStr">
        <is>
          <t>11g. Fees for services: other</t>
        </is>
      </c>
      <c r="D74" s="8" t="inlineStr">
        <is>
          <t>11g</t>
        </is>
      </c>
      <c r="E74" s="8" t="inlineStr">
        <is>
          <t>part_ix_expenses.fees_other</t>
        </is>
      </c>
      <c r="F74" s="8" t="inlineStr">
        <is>
          <t>high</t>
        </is>
      </c>
      <c r="G74" s="9" t="n">
        <v>176077</v>
      </c>
    </row>
    <row r="75">
      <c r="A75" s="8" t="inlineStr">
        <is>
          <t>Operating expenses (detail)</t>
        </is>
      </c>
      <c r="B75" s="8" t="inlineStr">
        <is>
          <t>B15</t>
        </is>
      </c>
      <c r="C75" s="8" t="inlineStr">
        <is>
          <t>13. Office expenses</t>
        </is>
      </c>
      <c r="D75" s="8" t="inlineStr">
        <is>
          <t>13</t>
        </is>
      </c>
      <c r="E75" s="8" t="inlineStr">
        <is>
          <t>part_ix_expenses.office_expenses</t>
        </is>
      </c>
      <c r="F75" s="8" t="inlineStr">
        <is>
          <t>high</t>
        </is>
      </c>
      <c r="G75" s="9" t="n">
        <v>103493</v>
      </c>
    </row>
    <row r="76">
      <c r="A76" s="8" t="inlineStr">
        <is>
          <t>Operating expenses (detail)</t>
        </is>
      </c>
      <c r="B76" s="8" t="inlineStr">
        <is>
          <t>C15</t>
        </is>
      </c>
      <c r="C76" s="8" t="inlineStr">
        <is>
          <t>13. Office expenses</t>
        </is>
      </c>
      <c r="D76" s="8" t="inlineStr">
        <is>
          <t>13</t>
        </is>
      </c>
      <c r="E76" s="8" t="inlineStr">
        <is>
          <t>part_ix_expenses.office_expenses</t>
        </is>
      </c>
      <c r="F76" s="8" t="inlineStr">
        <is>
          <t>high</t>
        </is>
      </c>
      <c r="G76" s="9" t="n">
        <v>100386</v>
      </c>
    </row>
    <row r="77">
      <c r="A77" s="8" t="inlineStr">
        <is>
          <t>Operating expenses (detail)</t>
        </is>
      </c>
      <c r="B77" s="8" t="inlineStr">
        <is>
          <t>D15</t>
        </is>
      </c>
      <c r="C77" s="8" t="inlineStr">
        <is>
          <t>13. Office expenses</t>
        </is>
      </c>
      <c r="D77" s="8" t="inlineStr">
        <is>
          <t>13</t>
        </is>
      </c>
      <c r="E77" s="8" t="inlineStr">
        <is>
          <t>part_ix_expenses.office_expenses</t>
        </is>
      </c>
      <c r="F77" s="8" t="inlineStr">
        <is>
          <t>high</t>
        </is>
      </c>
      <c r="G77" s="9" t="n">
        <v>110246</v>
      </c>
    </row>
    <row r="78">
      <c r="A78" s="8" t="inlineStr">
        <is>
          <t>Operating expenses (detail)</t>
        </is>
      </c>
      <c r="B78" s="8" t="inlineStr">
        <is>
          <t>E15</t>
        </is>
      </c>
      <c r="C78" s="8" t="inlineStr">
        <is>
          <t>13. Office expenses</t>
        </is>
      </c>
      <c r="D78" s="8" t="inlineStr">
        <is>
          <t>13</t>
        </is>
      </c>
      <c r="E78" s="8" t="inlineStr">
        <is>
          <t>part_ix_expenses.office_expenses</t>
        </is>
      </c>
      <c r="F78" s="8" t="inlineStr">
        <is>
          <t>high</t>
        </is>
      </c>
      <c r="G78" s="9" t="n">
        <v>116548</v>
      </c>
    </row>
    <row r="79">
      <c r="A79" s="8" t="inlineStr">
        <is>
          <t>Operating expenses (detail)</t>
        </is>
      </c>
      <c r="B79" s="8" t="inlineStr">
        <is>
          <t>B16</t>
        </is>
      </c>
      <c r="C79" s="8" t="inlineStr">
        <is>
          <t>16. Occupancy</t>
        </is>
      </c>
      <c r="D79" s="8" t="inlineStr">
        <is>
          <t>16</t>
        </is>
      </c>
      <c r="E79" s="8" t="inlineStr">
        <is>
          <t>part_ix_expenses.occupancy</t>
        </is>
      </c>
      <c r="F79" s="8" t="inlineStr">
        <is>
          <t>high</t>
        </is>
      </c>
      <c r="G79" s="9" t="n">
        <v>18316</v>
      </c>
    </row>
    <row r="80">
      <c r="A80" s="8" t="inlineStr">
        <is>
          <t>Operating expenses (detail)</t>
        </is>
      </c>
      <c r="B80" s="8" t="inlineStr">
        <is>
          <t>C16</t>
        </is>
      </c>
      <c r="C80" s="8" t="inlineStr">
        <is>
          <t>16. Occupancy</t>
        </is>
      </c>
      <c r="D80" s="8" t="inlineStr">
        <is>
          <t>16</t>
        </is>
      </c>
      <c r="E80" s="8" t="inlineStr">
        <is>
          <t>part_ix_expenses.occupancy</t>
        </is>
      </c>
      <c r="F80" s="8" t="inlineStr">
        <is>
          <t>high</t>
        </is>
      </c>
      <c r="G80" s="9" t="n">
        <v>16171</v>
      </c>
    </row>
    <row r="81">
      <c r="A81" s="8" t="inlineStr">
        <is>
          <t>Operating expenses (detail)</t>
        </is>
      </c>
      <c r="B81" s="8" t="inlineStr">
        <is>
          <t>D16</t>
        </is>
      </c>
      <c r="C81" s="8" t="inlineStr">
        <is>
          <t>16. Occupancy</t>
        </is>
      </c>
      <c r="D81" s="8" t="inlineStr">
        <is>
          <t>16</t>
        </is>
      </c>
      <c r="E81" s="8" t="inlineStr">
        <is>
          <t>part_ix_expenses.occupancy</t>
        </is>
      </c>
      <c r="F81" s="8" t="inlineStr">
        <is>
          <t>high</t>
        </is>
      </c>
      <c r="G81" s="9" t="n">
        <v>18850</v>
      </c>
    </row>
    <row r="82">
      <c r="A82" s="8" t="inlineStr">
        <is>
          <t>Operating expenses (detail)</t>
        </is>
      </c>
      <c r="B82" s="8" t="inlineStr">
        <is>
          <t>E16</t>
        </is>
      </c>
      <c r="C82" s="8" t="inlineStr">
        <is>
          <t>16. Occupancy</t>
        </is>
      </c>
      <c r="D82" s="8" t="inlineStr">
        <is>
          <t>16</t>
        </is>
      </c>
      <c r="E82" s="8" t="inlineStr">
        <is>
          <t>part_ix_expenses.occupancy</t>
        </is>
      </c>
      <c r="F82" s="8" t="inlineStr">
        <is>
          <t>high</t>
        </is>
      </c>
      <c r="G82" s="9" t="n">
        <v>18575</v>
      </c>
    </row>
    <row r="83">
      <c r="A83" s="8" t="inlineStr">
        <is>
          <t>Operating expenses (detail)</t>
        </is>
      </c>
      <c r="B83" s="8" t="inlineStr">
        <is>
          <t>B17</t>
        </is>
      </c>
      <c r="C83" s="8" t="inlineStr">
        <is>
          <t>22. Depreciation, depletion, and amortization</t>
        </is>
      </c>
      <c r="D83" s="8" t="inlineStr">
        <is>
          <t>22</t>
        </is>
      </c>
      <c r="E83" s="8" t="inlineStr">
        <is>
          <t>part_ix_expenses.depreciation</t>
        </is>
      </c>
      <c r="F83" s="8" t="inlineStr">
        <is>
          <t>high</t>
        </is>
      </c>
      <c r="G83" s="9" t="n">
        <v>700696</v>
      </c>
    </row>
    <row r="84">
      <c r="A84" s="8" t="inlineStr">
        <is>
          <t>Operating expenses (detail)</t>
        </is>
      </c>
      <c r="B84" s="8" t="inlineStr">
        <is>
          <t>C17</t>
        </is>
      </c>
      <c r="C84" s="8" t="inlineStr">
        <is>
          <t>22. Depreciation, depletion, and amortization</t>
        </is>
      </c>
      <c r="D84" s="8" t="inlineStr">
        <is>
          <t>22</t>
        </is>
      </c>
      <c r="E84" s="8" t="inlineStr">
        <is>
          <t>part_ix_expenses.depreciation</t>
        </is>
      </c>
      <c r="F84" s="8" t="inlineStr">
        <is>
          <t>high</t>
        </is>
      </c>
      <c r="G84" s="9" t="n">
        <v>705040</v>
      </c>
    </row>
    <row r="85">
      <c r="A85" s="8" t="inlineStr">
        <is>
          <t>Operating expenses (detail)</t>
        </is>
      </c>
      <c r="B85" s="8" t="inlineStr">
        <is>
          <t>D17</t>
        </is>
      </c>
      <c r="C85" s="8" t="inlineStr">
        <is>
          <t>22. Depreciation, depletion, and amortization</t>
        </is>
      </c>
      <c r="D85" s="8" t="inlineStr">
        <is>
          <t>22</t>
        </is>
      </c>
      <c r="E85" s="8" t="inlineStr">
        <is>
          <t>part_ix_expenses.depreciation</t>
        </is>
      </c>
      <c r="F85" s="8" t="inlineStr">
        <is>
          <t>high</t>
        </is>
      </c>
      <c r="G85" s="9" t="n">
        <v>701606</v>
      </c>
    </row>
    <row r="86">
      <c r="A86" s="8" t="inlineStr">
        <is>
          <t>Operating expenses (detail)</t>
        </is>
      </c>
      <c r="B86" s="8" t="inlineStr">
        <is>
          <t>E17</t>
        </is>
      </c>
      <c r="C86" s="8" t="inlineStr">
        <is>
          <t>22. Depreciation, depletion, and amortization</t>
        </is>
      </c>
      <c r="D86" s="8" t="inlineStr">
        <is>
          <t>22</t>
        </is>
      </c>
      <c r="E86" s="8" t="inlineStr">
        <is>
          <t>part_ix_expenses.depreciation</t>
        </is>
      </c>
      <c r="F86" s="8" t="inlineStr">
        <is>
          <t>high</t>
        </is>
      </c>
      <c r="G86" s="9" t="n">
        <v>719217</v>
      </c>
    </row>
    <row r="87">
      <c r="A87" s="8" t="inlineStr">
        <is>
          <t>Operating expenses (detail)</t>
        </is>
      </c>
      <c r="B87" s="8" t="inlineStr">
        <is>
          <t>B18</t>
        </is>
      </c>
      <c r="C87" s="8" t="inlineStr">
        <is>
          <t>23. Insurance</t>
        </is>
      </c>
      <c r="D87" s="8" t="inlineStr">
        <is>
          <t>23</t>
        </is>
      </c>
      <c r="E87" s="8" t="inlineStr">
        <is>
          <t>part_ix_expenses.insurance</t>
        </is>
      </c>
      <c r="F87" s="8" t="inlineStr">
        <is>
          <t>high</t>
        </is>
      </c>
      <c r="G87" s="9" t="n">
        <v>135260</v>
      </c>
    </row>
    <row r="88">
      <c r="A88" s="8" t="inlineStr">
        <is>
          <t>Operating expenses (detail)</t>
        </is>
      </c>
      <c r="B88" s="8" t="inlineStr">
        <is>
          <t>C18</t>
        </is>
      </c>
      <c r="C88" s="8" t="inlineStr">
        <is>
          <t>23. Insurance</t>
        </is>
      </c>
      <c r="D88" s="8" t="inlineStr">
        <is>
          <t>23</t>
        </is>
      </c>
      <c r="E88" s="8" t="inlineStr">
        <is>
          <t>part_ix_expenses.insurance</t>
        </is>
      </c>
      <c r="F88" s="8" t="inlineStr">
        <is>
          <t>high</t>
        </is>
      </c>
      <c r="G88" s="9" t="n">
        <v>145697</v>
      </c>
    </row>
    <row r="89">
      <c r="A89" s="8" t="inlineStr">
        <is>
          <t>Operating expenses (detail)</t>
        </is>
      </c>
      <c r="B89" s="8" t="inlineStr">
        <is>
          <t>D18</t>
        </is>
      </c>
      <c r="C89" s="8" t="inlineStr">
        <is>
          <t>23. Insurance</t>
        </is>
      </c>
      <c r="D89" s="8" t="inlineStr">
        <is>
          <t>23</t>
        </is>
      </c>
      <c r="E89" s="8" t="inlineStr">
        <is>
          <t>part_ix_expenses.insurance</t>
        </is>
      </c>
      <c r="F89" s="8" t="inlineStr">
        <is>
          <t>high</t>
        </is>
      </c>
      <c r="G89" s="9" t="n">
        <v>167126</v>
      </c>
    </row>
    <row r="90">
      <c r="A90" s="8" t="inlineStr">
        <is>
          <t>Operating expenses (detail)</t>
        </is>
      </c>
      <c r="B90" s="8" t="inlineStr">
        <is>
          <t>E18</t>
        </is>
      </c>
      <c r="C90" s="8" t="inlineStr">
        <is>
          <t>23. Insurance</t>
        </is>
      </c>
      <c r="D90" s="8" t="inlineStr">
        <is>
          <t>23</t>
        </is>
      </c>
      <c r="E90" s="8" t="inlineStr">
        <is>
          <t>part_ix_expenses.insurance</t>
        </is>
      </c>
      <c r="F90" s="8" t="inlineStr">
        <is>
          <t>high</t>
        </is>
      </c>
      <c r="G90" s="9" t="n">
        <v>186289</v>
      </c>
    </row>
    <row r="91">
      <c r="A91" s="8" t="inlineStr">
        <is>
          <t>Operating expenses (detail)</t>
        </is>
      </c>
      <c r="B91" s="8" t="inlineStr">
        <is>
          <t>B24</t>
        </is>
      </c>
      <c r="C91" s="8" t="inlineStr">
        <is>
          <t>24e. All other expenses</t>
        </is>
      </c>
      <c r="D91" s="8" t="inlineStr">
        <is>
          <t>24e</t>
        </is>
      </c>
      <c r="E91" s="8" t="inlineStr">
        <is>
          <t>part_ix_expenses.all_other_expenses</t>
        </is>
      </c>
      <c r="F91" s="8" t="inlineStr">
        <is>
          <t>high</t>
        </is>
      </c>
      <c r="G91" s="9" t="n">
        <v>59064</v>
      </c>
    </row>
    <row r="92">
      <c r="A92" s="8" t="inlineStr">
        <is>
          <t>Operating expenses (detail)</t>
        </is>
      </c>
      <c r="B92" s="8" t="inlineStr">
        <is>
          <t>C24</t>
        </is>
      </c>
      <c r="C92" s="8" t="inlineStr">
        <is>
          <t>24e. All other expenses</t>
        </is>
      </c>
      <c r="D92" s="8" t="inlineStr">
        <is>
          <t>24e</t>
        </is>
      </c>
      <c r="E92" s="8" t="inlineStr">
        <is>
          <t>part_ix_expenses.all_other_expenses</t>
        </is>
      </c>
      <c r="F92" s="8" t="inlineStr">
        <is>
          <t>high</t>
        </is>
      </c>
      <c r="G92" s="9" t="n">
        <v>73514</v>
      </c>
    </row>
    <row r="93">
      <c r="A93" s="8" t="inlineStr">
        <is>
          <t>Operating expenses (detail)</t>
        </is>
      </c>
      <c r="B93" s="8" t="inlineStr">
        <is>
          <t>D24</t>
        </is>
      </c>
      <c r="C93" s="8" t="inlineStr">
        <is>
          <t>24e. All other expenses</t>
        </is>
      </c>
      <c r="D93" s="8" t="inlineStr">
        <is>
          <t>24e</t>
        </is>
      </c>
      <c r="E93" s="8" t="inlineStr">
        <is>
          <t>part_ix_expenses.all_other_expenses</t>
        </is>
      </c>
      <c r="F93" s="8" t="inlineStr">
        <is>
          <t>high</t>
        </is>
      </c>
      <c r="G93" s="9" t="n">
        <v>96100</v>
      </c>
    </row>
    <row r="94">
      <c r="A94" s="8" t="inlineStr">
        <is>
          <t>Operating expenses (detail)</t>
        </is>
      </c>
      <c r="B94" s="8" t="inlineStr">
        <is>
          <t>E24</t>
        </is>
      </c>
      <c r="C94" s="8" t="inlineStr">
        <is>
          <t>24e. All other expenses</t>
        </is>
      </c>
      <c r="D94" s="8" t="inlineStr">
        <is>
          <t>24e</t>
        </is>
      </c>
      <c r="E94" s="8" t="inlineStr">
        <is>
          <t>part_ix_expenses.all_other_expenses</t>
        </is>
      </c>
      <c r="F94" s="8" t="inlineStr">
        <is>
          <t>high</t>
        </is>
      </c>
      <c r="G94" s="9" t="n">
        <v>79601</v>
      </c>
    </row>
    <row r="95">
      <c r="A95" s="8" t="inlineStr">
        <is>
          <t>Balance sheet (detail)</t>
        </is>
      </c>
      <c r="B95" s="8" t="inlineStr">
        <is>
          <t>B7</t>
        </is>
      </c>
      <c r="C95" s="8" t="inlineStr">
        <is>
          <t>1. Cash - non-interest-bearing</t>
        </is>
      </c>
      <c r="D95" s="8" t="inlineStr">
        <is>
          <t>1E</t>
        </is>
      </c>
      <c r="E95" s="8" t="inlineStr">
        <is>
          <t>part_x_balance_sheet.cash_noninterest_eoy</t>
        </is>
      </c>
      <c r="F95" s="8" t="inlineStr">
        <is>
          <t>high</t>
        </is>
      </c>
      <c r="G95" s="9" t="n">
        <v>57818</v>
      </c>
    </row>
    <row r="96">
      <c r="A96" s="8" t="inlineStr">
        <is>
          <t>Balance sheet (detail)</t>
        </is>
      </c>
      <c r="B96" s="8" t="inlineStr">
        <is>
          <t>C7</t>
        </is>
      </c>
      <c r="C96" s="8" t="inlineStr">
        <is>
          <t>1. Cash - non-interest-bearing</t>
        </is>
      </c>
      <c r="D96" s="8" t="inlineStr">
        <is>
          <t>1E</t>
        </is>
      </c>
      <c r="E96" s="8" t="inlineStr">
        <is>
          <t>part_x_balance_sheet.cash_noninterest_eoy</t>
        </is>
      </c>
      <c r="F96" s="8" t="inlineStr">
        <is>
          <t>high</t>
        </is>
      </c>
      <c r="G96" s="9" t="n">
        <v>517176</v>
      </c>
    </row>
    <row r="97">
      <c r="A97" s="8" t="inlineStr">
        <is>
          <t>Balance sheet (detail)</t>
        </is>
      </c>
      <c r="B97" s="8" t="inlineStr">
        <is>
          <t>D7</t>
        </is>
      </c>
      <c r="C97" s="8" t="inlineStr">
        <is>
          <t>1. Cash - non-interest-bearing</t>
        </is>
      </c>
      <c r="D97" s="8" t="inlineStr">
        <is>
          <t>1E</t>
        </is>
      </c>
      <c r="E97" s="8" t="inlineStr">
        <is>
          <t>part_x_balance_sheet.cash_noninterest_eoy</t>
        </is>
      </c>
      <c r="F97" s="8" t="inlineStr">
        <is>
          <t>high</t>
        </is>
      </c>
      <c r="G97" s="9" t="n">
        <v>543443</v>
      </c>
    </row>
    <row r="98">
      <c r="A98" s="8" t="inlineStr">
        <is>
          <t>Balance sheet (detail)</t>
        </is>
      </c>
      <c r="B98" s="8" t="inlineStr">
        <is>
          <t>E7</t>
        </is>
      </c>
      <c r="C98" s="8" t="inlineStr">
        <is>
          <t>1. Cash - non-interest-bearing</t>
        </is>
      </c>
      <c r="D98" s="8" t="inlineStr">
        <is>
          <t>1E</t>
        </is>
      </c>
      <c r="E98" s="8" t="inlineStr">
        <is>
          <t>part_x_balance_sheet.cash_noninterest_eoy</t>
        </is>
      </c>
      <c r="F98" s="8" t="inlineStr">
        <is>
          <t>high</t>
        </is>
      </c>
      <c r="G98" s="9" t="n">
        <v>217947</v>
      </c>
    </row>
    <row r="99">
      <c r="A99" s="8" t="inlineStr">
        <is>
          <t>Balance sheet (detail)</t>
        </is>
      </c>
      <c r="B99" s="8" t="inlineStr">
        <is>
          <t>B8</t>
        </is>
      </c>
      <c r="C99" s="8" t="inlineStr">
        <is>
          <t>2. Savings and temporary cash investments</t>
        </is>
      </c>
      <c r="D99" s="8" t="inlineStr">
        <is>
          <t>2E</t>
        </is>
      </c>
      <c r="E99" s="8" t="inlineStr">
        <is>
          <t>part_x_balance_sheet.savings_temp_invest_eoy</t>
        </is>
      </c>
      <c r="F99" s="8" t="inlineStr">
        <is>
          <t>high</t>
        </is>
      </c>
      <c r="G99" s="9" t="n">
        <v>4428799</v>
      </c>
    </row>
    <row r="100">
      <c r="A100" s="8" t="inlineStr">
        <is>
          <t>Balance sheet (detail)</t>
        </is>
      </c>
      <c r="B100" s="8" t="inlineStr">
        <is>
          <t>C8</t>
        </is>
      </c>
      <c r="C100" s="8" t="inlineStr">
        <is>
          <t>2. Savings and temporary cash investments</t>
        </is>
      </c>
      <c r="D100" s="8" t="inlineStr">
        <is>
          <t>2E</t>
        </is>
      </c>
      <c r="E100" s="8" t="inlineStr">
        <is>
          <t>part_x_balance_sheet.savings_temp_invest_eoy</t>
        </is>
      </c>
      <c r="F100" s="8" t="inlineStr">
        <is>
          <t>high</t>
        </is>
      </c>
      <c r="G100" s="9" t="n">
        <v>3142076</v>
      </c>
    </row>
    <row r="101">
      <c r="A101" s="8" t="inlineStr">
        <is>
          <t>Balance sheet (detail)</t>
        </is>
      </c>
      <c r="B101" s="8" t="inlineStr">
        <is>
          <t>D8</t>
        </is>
      </c>
      <c r="C101" s="8" t="inlineStr">
        <is>
          <t>2. Savings and temporary cash investments</t>
        </is>
      </c>
      <c r="D101" s="8" t="inlineStr">
        <is>
          <t>2E</t>
        </is>
      </c>
      <c r="E101" s="8" t="inlineStr">
        <is>
          <t>part_x_balance_sheet.savings_temp_invest_eoy</t>
        </is>
      </c>
      <c r="F101" s="8" t="inlineStr">
        <is>
          <t>high</t>
        </is>
      </c>
      <c r="G101" s="9" t="n">
        <v>6967537</v>
      </c>
    </row>
    <row r="102">
      <c r="A102" s="8" t="inlineStr">
        <is>
          <t>Balance sheet (detail)</t>
        </is>
      </c>
      <c r="B102" s="8" t="inlineStr">
        <is>
          <t>E8</t>
        </is>
      </c>
      <c r="C102" s="8" t="inlineStr">
        <is>
          <t>2. Savings and temporary cash investments</t>
        </is>
      </c>
      <c r="D102" s="8" t="inlineStr">
        <is>
          <t>2E</t>
        </is>
      </c>
      <c r="E102" s="8" t="inlineStr">
        <is>
          <t>part_x_balance_sheet.savings_temp_invest_eoy</t>
        </is>
      </c>
      <c r="F102" s="8" t="inlineStr">
        <is>
          <t>high</t>
        </is>
      </c>
      <c r="G102" s="9" t="n">
        <v>6250170</v>
      </c>
    </row>
    <row r="103">
      <c r="A103" s="8" t="inlineStr">
        <is>
          <t>Balance sheet (detail)</t>
        </is>
      </c>
      <c r="B103" s="8" t="inlineStr">
        <is>
          <t>B9</t>
        </is>
      </c>
      <c r="C103" s="8" t="inlineStr">
        <is>
          <t>4. Accounts receivable, net</t>
        </is>
      </c>
      <c r="D103" s="8" t="inlineStr">
        <is>
          <t>4E</t>
        </is>
      </c>
      <c r="E103" s="8" t="inlineStr">
        <is>
          <t>part_x_balance_sheet.accounts_receivable_eoy</t>
        </is>
      </c>
      <c r="F103" s="8" t="inlineStr">
        <is>
          <t>high</t>
        </is>
      </c>
      <c r="G103" s="9" t="n">
        <v>751576</v>
      </c>
    </row>
    <row r="104">
      <c r="A104" s="8" t="inlineStr">
        <is>
          <t>Balance sheet (detail)</t>
        </is>
      </c>
      <c r="B104" s="8" t="inlineStr">
        <is>
          <t>C9</t>
        </is>
      </c>
      <c r="C104" s="8" t="inlineStr">
        <is>
          <t>4. Accounts receivable, net</t>
        </is>
      </c>
      <c r="D104" s="8" t="inlineStr">
        <is>
          <t>4E</t>
        </is>
      </c>
      <c r="E104" s="8" t="inlineStr">
        <is>
          <t>part_x_balance_sheet.accounts_receivable_eoy</t>
        </is>
      </c>
      <c r="F104" s="8" t="inlineStr">
        <is>
          <t>high</t>
        </is>
      </c>
      <c r="G104" s="9" t="n">
        <v>845963</v>
      </c>
    </row>
    <row r="105">
      <c r="A105" s="8" t="inlineStr">
        <is>
          <t>Balance sheet (detail)</t>
        </is>
      </c>
      <c r="B105" s="8" t="inlineStr">
        <is>
          <t>D9</t>
        </is>
      </c>
      <c r="C105" s="8" t="inlineStr">
        <is>
          <t>4. Accounts receivable, net</t>
        </is>
      </c>
      <c r="D105" s="8" t="inlineStr">
        <is>
          <t>4E</t>
        </is>
      </c>
      <c r="E105" s="8" t="inlineStr">
        <is>
          <t>part_x_balance_sheet.accounts_receivable_eoy</t>
        </is>
      </c>
      <c r="F105" s="8" t="inlineStr">
        <is>
          <t>high</t>
        </is>
      </c>
      <c r="G105" s="9" t="n">
        <v>1373920</v>
      </c>
    </row>
    <row r="106">
      <c r="A106" s="8" t="inlineStr">
        <is>
          <t>Balance sheet (detail)</t>
        </is>
      </c>
      <c r="B106" s="8" t="inlineStr">
        <is>
          <t>E9</t>
        </is>
      </c>
      <c r="C106" s="8" t="inlineStr">
        <is>
          <t>4. Accounts receivable, net</t>
        </is>
      </c>
      <c r="D106" s="8" t="inlineStr">
        <is>
          <t>4E</t>
        </is>
      </c>
      <c r="E106" s="8" t="inlineStr">
        <is>
          <t>part_x_balance_sheet.accounts_receivable_eoy</t>
        </is>
      </c>
      <c r="F106" s="8" t="inlineStr">
        <is>
          <t>high</t>
        </is>
      </c>
      <c r="G106" s="9" t="n">
        <v>2474145</v>
      </c>
    </row>
    <row r="107">
      <c r="A107" s="8" t="inlineStr">
        <is>
          <t>Balance sheet (detail)</t>
        </is>
      </c>
      <c r="B107" s="8" t="inlineStr">
        <is>
          <t>B10</t>
        </is>
      </c>
      <c r="C107" s="8" t="inlineStr">
        <is>
          <t>8. Inventories for sale or use</t>
        </is>
      </c>
      <c r="D107" s="8" t="inlineStr">
        <is>
          <t>8E</t>
        </is>
      </c>
      <c r="E107" s="8" t="inlineStr">
        <is>
          <t>part_x_balance_sheet.inventories_eoy</t>
        </is>
      </c>
      <c r="F107" s="8" t="inlineStr">
        <is>
          <t>high</t>
        </is>
      </c>
      <c r="G107" s="9" t="n">
        <v>257880</v>
      </c>
    </row>
    <row r="108">
      <c r="A108" s="8" t="inlineStr">
        <is>
          <t>Balance sheet (detail)</t>
        </is>
      </c>
      <c r="B108" s="8" t="inlineStr">
        <is>
          <t>C10</t>
        </is>
      </c>
      <c r="C108" s="8" t="inlineStr">
        <is>
          <t>8. Inventories for sale or use</t>
        </is>
      </c>
      <c r="D108" s="8" t="inlineStr">
        <is>
          <t>8E</t>
        </is>
      </c>
      <c r="E108" s="8" t="inlineStr">
        <is>
          <t>part_x_balance_sheet.inventories_eoy</t>
        </is>
      </c>
      <c r="F108" s="8" t="inlineStr">
        <is>
          <t>high</t>
        </is>
      </c>
      <c r="G108" s="9" t="n">
        <v>484939</v>
      </c>
    </row>
    <row r="109">
      <c r="A109" s="8" t="inlineStr">
        <is>
          <t>Balance sheet (detail)</t>
        </is>
      </c>
      <c r="B109" s="8" t="inlineStr">
        <is>
          <t>D10</t>
        </is>
      </c>
      <c r="C109" s="8" t="inlineStr">
        <is>
          <t>8. Inventories for sale or use</t>
        </is>
      </c>
      <c r="D109" s="8" t="inlineStr">
        <is>
          <t>8E</t>
        </is>
      </c>
      <c r="E109" s="8" t="inlineStr">
        <is>
          <t>part_x_balance_sheet.inventories_eoy</t>
        </is>
      </c>
      <c r="F109" s="8" t="inlineStr">
        <is>
          <t>high</t>
        </is>
      </c>
      <c r="G109" s="9" t="n">
        <v>410183</v>
      </c>
    </row>
    <row r="110">
      <c r="A110" s="8" t="inlineStr">
        <is>
          <t>Balance sheet (detail)</t>
        </is>
      </c>
      <c r="B110" s="8" t="inlineStr">
        <is>
          <t>E10</t>
        </is>
      </c>
      <c r="C110" s="8" t="inlineStr">
        <is>
          <t>8. Inventories for sale or use</t>
        </is>
      </c>
      <c r="D110" s="8" t="inlineStr">
        <is>
          <t>8E</t>
        </is>
      </c>
      <c r="E110" s="8" t="inlineStr">
        <is>
          <t>part_x_balance_sheet.inventories_eoy</t>
        </is>
      </c>
      <c r="F110" s="8" t="inlineStr">
        <is>
          <t>high</t>
        </is>
      </c>
      <c r="G110" s="9" t="n">
        <v>369901</v>
      </c>
    </row>
    <row r="111">
      <c r="A111" s="8" t="inlineStr">
        <is>
          <t>Balance sheet (detail)</t>
        </is>
      </c>
      <c r="B111" s="8" t="inlineStr">
        <is>
          <t>B11</t>
        </is>
      </c>
      <c r="C111" s="8" t="inlineStr">
        <is>
          <t>9. Prepaid expenses and deferred charges</t>
        </is>
      </c>
      <c r="D111" s="8" t="inlineStr">
        <is>
          <t>9E</t>
        </is>
      </c>
      <c r="E111" s="8" t="inlineStr">
        <is>
          <t>part_x_balance_sheet.prepaid_expenses_eoy</t>
        </is>
      </c>
      <c r="F111" s="8" t="inlineStr">
        <is>
          <t>high</t>
        </is>
      </c>
      <c r="G111" s="9" t="n">
        <v>115546</v>
      </c>
    </row>
    <row r="112">
      <c r="A112" s="8" t="inlineStr">
        <is>
          <t>Balance sheet (detail)</t>
        </is>
      </c>
      <c r="B112" s="8" t="inlineStr">
        <is>
          <t>C11</t>
        </is>
      </c>
      <c r="C112" s="8" t="inlineStr">
        <is>
          <t>9. Prepaid expenses and deferred charges</t>
        </is>
      </c>
      <c r="D112" s="8" t="inlineStr">
        <is>
          <t>9E</t>
        </is>
      </c>
      <c r="E112" s="8" t="inlineStr">
        <is>
          <t>part_x_balance_sheet.prepaid_expenses_eoy</t>
        </is>
      </c>
      <c r="F112" s="8" t="inlineStr">
        <is>
          <t>high</t>
        </is>
      </c>
      <c r="G112" s="9" t="n">
        <v>132648</v>
      </c>
    </row>
    <row r="113">
      <c r="A113" s="8" t="inlineStr">
        <is>
          <t>Balance sheet (detail)</t>
        </is>
      </c>
      <c r="B113" s="8" t="inlineStr">
        <is>
          <t>D11</t>
        </is>
      </c>
      <c r="C113" s="8" t="inlineStr">
        <is>
          <t>9. Prepaid expenses and deferred charges</t>
        </is>
      </c>
      <c r="D113" s="8" t="inlineStr">
        <is>
          <t>9E</t>
        </is>
      </c>
      <c r="E113" s="8" t="inlineStr">
        <is>
          <t>part_x_balance_sheet.prepaid_expenses_eoy</t>
        </is>
      </c>
      <c r="F113" s="8" t="inlineStr">
        <is>
          <t>high</t>
        </is>
      </c>
      <c r="G113" s="9" t="n">
        <v>135542</v>
      </c>
    </row>
    <row r="114">
      <c r="A114" s="8" t="inlineStr">
        <is>
          <t>Balance sheet (detail)</t>
        </is>
      </c>
      <c r="B114" s="8" t="inlineStr">
        <is>
          <t>E11</t>
        </is>
      </c>
      <c r="C114" s="8" t="inlineStr">
        <is>
          <t>9. Prepaid expenses and deferred charges</t>
        </is>
      </c>
      <c r="D114" s="8" t="inlineStr">
        <is>
          <t>9E</t>
        </is>
      </c>
      <c r="E114" s="8" t="inlineStr">
        <is>
          <t>part_x_balance_sheet.prepaid_expenses_eoy</t>
        </is>
      </c>
      <c r="F114" s="8" t="inlineStr">
        <is>
          <t>high</t>
        </is>
      </c>
      <c r="G114" s="9" t="n">
        <v>158416</v>
      </c>
    </row>
    <row r="115">
      <c r="A115" s="8" t="inlineStr">
        <is>
          <t>Balance sheet (detail)</t>
        </is>
      </c>
      <c r="B115" s="8" t="inlineStr">
        <is>
          <t>B12</t>
        </is>
      </c>
      <c r="C115" s="8" t="inlineStr">
        <is>
          <t>10c. Land, buildings, and equipment, net</t>
        </is>
      </c>
      <c r="D115" s="8" t="inlineStr">
        <is>
          <t>10cE</t>
        </is>
      </c>
      <c r="E115" s="8" t="inlineStr">
        <is>
          <t>part_x_balance_sheet.land_bldg_equip_net_eoy</t>
        </is>
      </c>
      <c r="F115" s="8" t="inlineStr">
        <is>
          <t>high</t>
        </is>
      </c>
      <c r="G115" s="9" t="n">
        <v>13597534</v>
      </c>
    </row>
    <row r="116">
      <c r="A116" s="8" t="inlineStr">
        <is>
          <t>Balance sheet (detail)</t>
        </is>
      </c>
      <c r="B116" s="8" t="inlineStr">
        <is>
          <t>C12</t>
        </is>
      </c>
      <c r="C116" s="8" t="inlineStr">
        <is>
          <t>10c. Land, buildings, and equipment, net</t>
        </is>
      </c>
      <c r="D116" s="8" t="inlineStr">
        <is>
          <t>10cE</t>
        </is>
      </c>
      <c r="E116" s="8" t="inlineStr">
        <is>
          <t>part_x_balance_sheet.land_bldg_equip_net_eoy</t>
        </is>
      </c>
      <c r="F116" s="8" t="inlineStr">
        <is>
          <t>high</t>
        </is>
      </c>
      <c r="G116" s="9" t="n">
        <v>13202371</v>
      </c>
    </row>
    <row r="117">
      <c r="A117" s="8" t="inlineStr">
        <is>
          <t>Balance sheet (detail)</t>
        </is>
      </c>
      <c r="B117" s="8" t="inlineStr">
        <is>
          <t>D12</t>
        </is>
      </c>
      <c r="C117" s="8" t="inlineStr">
        <is>
          <t>10c. Land, buildings, and equipment, net</t>
        </is>
      </c>
      <c r="D117" s="8" t="inlineStr">
        <is>
          <t>10cE</t>
        </is>
      </c>
      <c r="E117" s="8" t="inlineStr">
        <is>
          <t>part_x_balance_sheet.land_bldg_equip_net_eoy</t>
        </is>
      </c>
      <c r="F117" s="8" t="inlineStr">
        <is>
          <t>high</t>
        </is>
      </c>
      <c r="G117" s="9" t="n">
        <v>13132610</v>
      </c>
    </row>
    <row r="118">
      <c r="A118" s="8" t="inlineStr">
        <is>
          <t>Balance sheet (detail)</t>
        </is>
      </c>
      <c r="B118" s="8" t="inlineStr">
        <is>
          <t>E12</t>
        </is>
      </c>
      <c r="C118" s="8" t="inlineStr">
        <is>
          <t>10c. Land, buildings, and equipment, net</t>
        </is>
      </c>
      <c r="D118" s="8" t="inlineStr">
        <is>
          <t>10cE</t>
        </is>
      </c>
      <c r="E118" s="8" t="inlineStr">
        <is>
          <t>part_x_balance_sheet.land_bldg_equip_net_eoy</t>
        </is>
      </c>
      <c r="F118" s="8" t="inlineStr">
        <is>
          <t>high</t>
        </is>
      </c>
      <c r="G118" s="9" t="n">
        <v>13163606</v>
      </c>
    </row>
    <row r="119">
      <c r="A119" s="8" t="inlineStr">
        <is>
          <t>Balance sheet (detail)</t>
        </is>
      </c>
      <c r="B119" s="8" t="inlineStr">
        <is>
          <t>B13</t>
        </is>
      </c>
      <c r="C119" s="8" t="inlineStr">
        <is>
          <t>12. Investments - other securities</t>
        </is>
      </c>
      <c r="D119" s="8" t="inlineStr">
        <is>
          <t>12E</t>
        </is>
      </c>
      <c r="E119" s="8" t="inlineStr">
        <is>
          <t>part_x_balance_sheet.investments_other_securities_eoy</t>
        </is>
      </c>
      <c r="F119" s="8" t="inlineStr">
        <is>
          <t>high</t>
        </is>
      </c>
      <c r="G119" s="9" t="n">
        <v>1928709</v>
      </c>
    </row>
    <row r="120">
      <c r="A120" s="8" t="inlineStr">
        <is>
          <t>Balance sheet (detail)</t>
        </is>
      </c>
      <c r="B120" s="8" t="inlineStr">
        <is>
          <t>C13</t>
        </is>
      </c>
      <c r="C120" s="8" t="inlineStr">
        <is>
          <t>12. Investments - other securities</t>
        </is>
      </c>
      <c r="D120" s="8" t="inlineStr">
        <is>
          <t>12E</t>
        </is>
      </c>
      <c r="E120" s="8" t="inlineStr">
        <is>
          <t>part_x_balance_sheet.investments_other_securities_eoy</t>
        </is>
      </c>
      <c r="F120" s="8" t="inlineStr">
        <is>
          <t>high</t>
        </is>
      </c>
      <c r="G120" s="9" t="n">
        <v>1749065</v>
      </c>
    </row>
    <row r="121">
      <c r="A121" s="8" t="inlineStr">
        <is>
          <t>Balance sheet (detail)</t>
        </is>
      </c>
      <c r="B121" s="8" t="inlineStr">
        <is>
          <t>D13</t>
        </is>
      </c>
      <c r="C121" s="8" t="inlineStr">
        <is>
          <t>12. Investments - other securities</t>
        </is>
      </c>
      <c r="D121" s="8" t="inlineStr">
        <is>
          <t>12E</t>
        </is>
      </c>
      <c r="E121" s="8" t="inlineStr">
        <is>
          <t>part_x_balance_sheet.investments_other_securities_eoy</t>
        </is>
      </c>
      <c r="F121" s="8" t="inlineStr">
        <is>
          <t>high</t>
        </is>
      </c>
      <c r="G121" s="9" t="n">
        <v>1793863</v>
      </c>
    </row>
    <row r="122">
      <c r="A122" s="8" t="inlineStr">
        <is>
          <t>Balance sheet (detail)</t>
        </is>
      </c>
      <c r="B122" s="8" t="inlineStr">
        <is>
          <t>E13</t>
        </is>
      </c>
      <c r="C122" s="8" t="inlineStr">
        <is>
          <t>12. Investments - other securities</t>
        </is>
      </c>
      <c r="D122" s="8" t="inlineStr">
        <is>
          <t>12E</t>
        </is>
      </c>
      <c r="E122" s="8" t="inlineStr">
        <is>
          <t>part_x_balance_sheet.investments_other_securities_eoy</t>
        </is>
      </c>
      <c r="F122" s="8" t="inlineStr">
        <is>
          <t>high</t>
        </is>
      </c>
      <c r="G122" s="9" t="n">
        <v>1819321</v>
      </c>
    </row>
    <row r="123">
      <c r="A123" s="8" t="inlineStr">
        <is>
          <t>Balance sheet (detail)</t>
        </is>
      </c>
      <c r="B123" s="8" t="inlineStr">
        <is>
          <t>B14</t>
        </is>
      </c>
      <c r="C123" s="8" t="inlineStr">
        <is>
          <t>15. Other assets</t>
        </is>
      </c>
      <c r="D123" s="8" t="inlineStr">
        <is>
          <t>15E</t>
        </is>
      </c>
      <c r="E123" s="8" t="inlineStr">
        <is>
          <t>part_x_balance_sheet.other_assets_eoy</t>
        </is>
      </c>
      <c r="F123" s="8" t="inlineStr">
        <is>
          <t>high</t>
        </is>
      </c>
      <c r="G123" s="9" t="n">
        <v>4164381</v>
      </c>
    </row>
    <row r="124">
      <c r="A124" s="8" t="inlineStr">
        <is>
          <t>Balance sheet (detail)</t>
        </is>
      </c>
      <c r="B124" s="8" t="inlineStr">
        <is>
          <t>C14</t>
        </is>
      </c>
      <c r="C124" s="8" t="inlineStr">
        <is>
          <t>15. Other assets</t>
        </is>
      </c>
      <c r="D124" s="8" t="inlineStr">
        <is>
          <t>15E</t>
        </is>
      </c>
      <c r="E124" s="8" t="inlineStr">
        <is>
          <t>part_x_balance_sheet.other_assets_eoy</t>
        </is>
      </c>
      <c r="F124" s="8" t="inlineStr">
        <is>
          <t>high</t>
        </is>
      </c>
      <c r="G124" s="9" t="n">
        <v>7528426</v>
      </c>
    </row>
    <row r="125">
      <c r="A125" s="8" t="inlineStr">
        <is>
          <t>Balance sheet (detail)</t>
        </is>
      </c>
      <c r="B125" s="8" t="inlineStr">
        <is>
          <t>D14</t>
        </is>
      </c>
      <c r="C125" s="8" t="inlineStr">
        <is>
          <t>15. Other assets</t>
        </is>
      </c>
      <c r="D125" s="8" t="inlineStr">
        <is>
          <t>15E</t>
        </is>
      </c>
      <c r="E125" s="8" t="inlineStr">
        <is>
          <t>part_x_balance_sheet.other_assets_eoy</t>
        </is>
      </c>
      <c r="F125" s="8" t="inlineStr">
        <is>
          <t>high</t>
        </is>
      </c>
      <c r="G125" s="9" t="n">
        <v>8555498</v>
      </c>
    </row>
    <row r="126">
      <c r="A126" s="8" t="inlineStr">
        <is>
          <t>Balance sheet (detail)</t>
        </is>
      </c>
      <c r="B126" s="8" t="inlineStr">
        <is>
          <t>E14</t>
        </is>
      </c>
      <c r="C126" s="8" t="inlineStr">
        <is>
          <t>15. Other assets</t>
        </is>
      </c>
      <c r="D126" s="8" t="inlineStr">
        <is>
          <t>15E</t>
        </is>
      </c>
      <c r="E126" s="8" t="inlineStr">
        <is>
          <t>part_x_balance_sheet.other_assets_eoy</t>
        </is>
      </c>
      <c r="F126" s="8" t="inlineStr">
        <is>
          <t>high</t>
        </is>
      </c>
      <c r="G126" s="9" t="n">
        <v>13514050</v>
      </c>
    </row>
    <row r="127">
      <c r="A127" s="8" t="inlineStr">
        <is>
          <t>Balance sheet (detail)</t>
        </is>
      </c>
      <c r="B127" s="8" t="inlineStr">
        <is>
          <t>B18</t>
        </is>
      </c>
      <c r="C127" s="8" t="inlineStr">
        <is>
          <t>17. Accounts payable and accrued expenses</t>
        </is>
      </c>
      <c r="D127" s="8" t="inlineStr">
        <is>
          <t>17E</t>
        </is>
      </c>
      <c r="E127" s="8" t="inlineStr">
        <is>
          <t>part_x_balance_sheet.accounts_payable_eoy</t>
        </is>
      </c>
      <c r="F127" s="8" t="inlineStr">
        <is>
          <t>high</t>
        </is>
      </c>
      <c r="G127" s="9" t="n">
        <v>42845</v>
      </c>
    </row>
    <row r="128">
      <c r="A128" s="8" t="inlineStr">
        <is>
          <t>Balance sheet (detail)</t>
        </is>
      </c>
      <c r="B128" s="8" t="inlineStr">
        <is>
          <t>C18</t>
        </is>
      </c>
      <c r="C128" s="8" t="inlineStr">
        <is>
          <t>17. Accounts payable and accrued expenses</t>
        </is>
      </c>
      <c r="D128" s="8" t="inlineStr">
        <is>
          <t>17E</t>
        </is>
      </c>
      <c r="E128" s="8" t="inlineStr">
        <is>
          <t>part_x_balance_sheet.accounts_payable_eoy</t>
        </is>
      </c>
      <c r="F128" s="8" t="inlineStr">
        <is>
          <t>high</t>
        </is>
      </c>
      <c r="G128" s="9" t="n">
        <v>53260</v>
      </c>
    </row>
    <row r="129">
      <c r="A129" s="8" t="inlineStr">
        <is>
          <t>Balance sheet (detail)</t>
        </is>
      </c>
      <c r="B129" s="8" t="inlineStr">
        <is>
          <t>D18</t>
        </is>
      </c>
      <c r="C129" s="8" t="inlineStr">
        <is>
          <t>17. Accounts payable and accrued expenses</t>
        </is>
      </c>
      <c r="D129" s="8" t="inlineStr">
        <is>
          <t>17E</t>
        </is>
      </c>
      <c r="E129" s="8" t="inlineStr">
        <is>
          <t>part_x_balance_sheet.accounts_payable_eoy</t>
        </is>
      </c>
      <c r="F129" s="8" t="inlineStr">
        <is>
          <t>high</t>
        </is>
      </c>
      <c r="G129" s="9" t="n">
        <v>209524</v>
      </c>
    </row>
    <row r="130">
      <c r="A130" s="8" t="inlineStr">
        <is>
          <t>Balance sheet (detail)</t>
        </is>
      </c>
      <c r="B130" s="8" t="inlineStr">
        <is>
          <t>E18</t>
        </is>
      </c>
      <c r="C130" s="8" t="inlineStr">
        <is>
          <t>17. Accounts payable and accrued expenses</t>
        </is>
      </c>
      <c r="D130" s="8" t="inlineStr">
        <is>
          <t>17E</t>
        </is>
      </c>
      <c r="E130" s="8" t="inlineStr">
        <is>
          <t>part_x_balance_sheet.accounts_payable_eoy</t>
        </is>
      </c>
      <c r="F130" s="8" t="inlineStr">
        <is>
          <t>high</t>
        </is>
      </c>
      <c r="G130" s="9" t="n">
        <v>482643</v>
      </c>
    </row>
    <row r="131">
      <c r="A131" s="8" t="inlineStr">
        <is>
          <t>Balance sheet (detail)</t>
        </is>
      </c>
      <c r="B131" s="8" t="inlineStr">
        <is>
          <t>B19</t>
        </is>
      </c>
      <c r="C131" s="8" t="inlineStr">
        <is>
          <t>19. Deferred revenue</t>
        </is>
      </c>
      <c r="D131" s="8" t="inlineStr">
        <is>
          <t>19E</t>
        </is>
      </c>
      <c r="E131" s="8" t="inlineStr">
        <is>
          <t>part_x_balance_sheet.deferred_revenue_eoy</t>
        </is>
      </c>
      <c r="F131" s="8" t="inlineStr">
        <is>
          <t>high</t>
        </is>
      </c>
      <c r="G131" s="9" t="n">
        <v>35111</v>
      </c>
    </row>
    <row r="132">
      <c r="A132" s="8" t="inlineStr">
        <is>
          <t>Balance sheet (detail)</t>
        </is>
      </c>
      <c r="B132" s="8" t="inlineStr">
        <is>
          <t>C19</t>
        </is>
      </c>
      <c r="C132" s="8" t="inlineStr">
        <is>
          <t>19. Deferred revenue</t>
        </is>
      </c>
      <c r="D132" s="8" t="inlineStr">
        <is>
          <t>19E</t>
        </is>
      </c>
      <c r="E132" s="8" t="inlineStr">
        <is>
          <t>part_x_balance_sheet.deferred_revenue_eoy</t>
        </is>
      </c>
      <c r="F132" s="8" t="inlineStr">
        <is>
          <t>high</t>
        </is>
      </c>
      <c r="G132" s="9" t="n">
        <v>57501</v>
      </c>
    </row>
    <row r="133">
      <c r="A133" s="8" t="inlineStr">
        <is>
          <t>Balance sheet (detail)</t>
        </is>
      </c>
      <c r="B133" s="8" t="inlineStr">
        <is>
          <t>D19</t>
        </is>
      </c>
      <c r="C133" s="8" t="inlineStr">
        <is>
          <t>19. Deferred revenue</t>
        </is>
      </c>
      <c r="D133" s="8" t="inlineStr">
        <is>
          <t>19E</t>
        </is>
      </c>
      <c r="E133" s="8" t="inlineStr">
        <is>
          <t>part_x_balance_sheet.deferred_revenue_eoy</t>
        </is>
      </c>
      <c r="F133" s="8" t="inlineStr">
        <is>
          <t>high</t>
        </is>
      </c>
      <c r="G133" s="9" t="n">
        <v>58326</v>
      </c>
    </row>
    <row r="134">
      <c r="A134" s="8" t="inlineStr">
        <is>
          <t>Balance sheet (detail)</t>
        </is>
      </c>
      <c r="B134" s="8" t="inlineStr">
        <is>
          <t>E19</t>
        </is>
      </c>
      <c r="C134" s="8" t="inlineStr">
        <is>
          <t>19. Deferred revenue</t>
        </is>
      </c>
      <c r="D134" s="8" t="inlineStr">
        <is>
          <t>19E</t>
        </is>
      </c>
      <c r="E134" s="8" t="inlineStr">
        <is>
          <t>part_x_balance_sheet.deferred_revenue_eoy</t>
        </is>
      </c>
      <c r="F134" s="8" t="inlineStr">
        <is>
          <t>high</t>
        </is>
      </c>
      <c r="G134" s="9" t="n">
        <v>64413</v>
      </c>
    </row>
    <row r="135">
      <c r="A135" s="8" t="inlineStr">
        <is>
          <t>Balance sheet (detail)</t>
        </is>
      </c>
      <c r="B135" s="8" t="inlineStr">
        <is>
          <t>B20</t>
        </is>
      </c>
      <c r="C135" s="8" t="inlineStr">
        <is>
          <t>25. Other liabilities</t>
        </is>
      </c>
      <c r="D135" s="8" t="inlineStr">
        <is>
          <t>25E</t>
        </is>
      </c>
      <c r="E135" s="8" t="inlineStr">
        <is>
          <t>part_x_balance_sheet.other_liabilities_eoy</t>
        </is>
      </c>
      <c r="F135" s="8" t="inlineStr">
        <is>
          <t>high</t>
        </is>
      </c>
      <c r="G135" s="9" t="n">
        <v>339124</v>
      </c>
    </row>
    <row r="136">
      <c r="A136" s="8" t="inlineStr">
        <is>
          <t>Balance sheet (detail)</t>
        </is>
      </c>
      <c r="B136" s="8" t="inlineStr">
        <is>
          <t>C20</t>
        </is>
      </c>
      <c r="C136" s="8" t="inlineStr">
        <is>
          <t>25. Other liabilities</t>
        </is>
      </c>
      <c r="D136" s="8" t="inlineStr">
        <is>
          <t>25E</t>
        </is>
      </c>
      <c r="E136" s="8" t="inlineStr">
        <is>
          <t>part_x_balance_sheet.other_liabilities_eoy</t>
        </is>
      </c>
      <c r="F136" s="8" t="inlineStr">
        <is>
          <t>high</t>
        </is>
      </c>
      <c r="G136" s="9" t="n">
        <v>825897</v>
      </c>
    </row>
    <row r="137">
      <c r="A137" s="8" t="inlineStr">
        <is>
          <t>Balance sheet (detail)</t>
        </is>
      </c>
      <c r="B137" s="8" t="inlineStr">
        <is>
          <t>D20</t>
        </is>
      </c>
      <c r="C137" s="8" t="inlineStr">
        <is>
          <t>25. Other liabilities</t>
        </is>
      </c>
      <c r="D137" s="8" t="inlineStr">
        <is>
          <t>25E</t>
        </is>
      </c>
      <c r="E137" s="8" t="inlineStr">
        <is>
          <t>part_x_balance_sheet.other_liabilities_eoy</t>
        </is>
      </c>
      <c r="F137" s="8" t="inlineStr">
        <is>
          <t>high</t>
        </is>
      </c>
      <c r="G137" s="9" t="n">
        <v>1123358</v>
      </c>
    </row>
    <row r="138">
      <c r="A138" s="8" t="inlineStr">
        <is>
          <t>Balance sheet (detail)</t>
        </is>
      </c>
      <c r="B138" s="8" t="inlineStr">
        <is>
          <t>E20</t>
        </is>
      </c>
      <c r="C138" s="8" t="inlineStr">
        <is>
          <t>25. Other liabilities</t>
        </is>
      </c>
      <c r="D138" s="8" t="inlineStr">
        <is>
          <t>25E</t>
        </is>
      </c>
      <c r="E138" s="8" t="inlineStr">
        <is>
          <t>part_x_balance_sheet.other_liabilities_eoy</t>
        </is>
      </c>
      <c r="F138" s="8" t="inlineStr">
        <is>
          <t>high</t>
        </is>
      </c>
      <c r="G138" s="9" t="n">
        <v>223297</v>
      </c>
    </row>
    <row r="139">
      <c r="A139" s="8" t="inlineStr">
        <is>
          <t>Balance sheet (detail)</t>
        </is>
      </c>
      <c r="B139" s="8" t="inlineStr">
        <is>
          <t>B24</t>
        </is>
      </c>
      <c r="C139" s="8" t="inlineStr">
        <is>
          <t>29. Capital stock or trust principal</t>
        </is>
      </c>
      <c r="D139" s="8" t="inlineStr">
        <is>
          <t>29E</t>
        </is>
      </c>
      <c r="E139" s="8" t="inlineStr">
        <is>
          <t>part_x_balance_sheet.cap_stock_eoy</t>
        </is>
      </c>
      <c r="F139" s="8" t="inlineStr">
        <is>
          <t>high</t>
        </is>
      </c>
      <c r="G139" s="9" t="n">
        <v>77813</v>
      </c>
    </row>
    <row r="140">
      <c r="A140" s="8" t="inlineStr">
        <is>
          <t>Balance sheet (detail)</t>
        </is>
      </c>
      <c r="B140" s="8" t="inlineStr">
        <is>
          <t>C24</t>
        </is>
      </c>
      <c r="C140" s="8" t="inlineStr">
        <is>
          <t>29. Capital stock or trust principal</t>
        </is>
      </c>
      <c r="D140" s="8" t="inlineStr">
        <is>
          <t>29E</t>
        </is>
      </c>
      <c r="E140" s="8" t="inlineStr">
        <is>
          <t>part_x_balance_sheet.cap_stock_eoy</t>
        </is>
      </c>
      <c r="F140" s="8" t="inlineStr">
        <is>
          <t>high</t>
        </is>
      </c>
      <c r="G140" s="9" t="n">
        <v>77813</v>
      </c>
    </row>
    <row r="141">
      <c r="A141" s="8" t="inlineStr">
        <is>
          <t>Balance sheet (detail)</t>
        </is>
      </c>
      <c r="B141" s="8" t="inlineStr">
        <is>
          <t>D24</t>
        </is>
      </c>
      <c r="C141" s="8" t="inlineStr">
        <is>
          <t>29. Capital stock or trust principal</t>
        </is>
      </c>
      <c r="D141" s="8" t="inlineStr">
        <is>
          <t>29E</t>
        </is>
      </c>
      <c r="E141" s="8" t="inlineStr">
        <is>
          <t>part_x_balance_sheet.cap_stock_eoy</t>
        </is>
      </c>
      <c r="F141" s="8" t="inlineStr">
        <is>
          <t>high</t>
        </is>
      </c>
      <c r="G141" s="9" t="n">
        <v>77813</v>
      </c>
    </row>
    <row r="142">
      <c r="A142" s="8" t="inlineStr">
        <is>
          <t>Balance sheet (detail)</t>
        </is>
      </c>
      <c r="B142" s="8" t="inlineStr">
        <is>
          <t>E24</t>
        </is>
      </c>
      <c r="C142" s="8" t="inlineStr">
        <is>
          <t>29. Capital stock or trust principal</t>
        </is>
      </c>
      <c r="D142" s="8" t="inlineStr">
        <is>
          <t>29E</t>
        </is>
      </c>
      <c r="E142" s="8" t="inlineStr">
        <is>
          <t>part_x_balance_sheet.cap_stock_eoy</t>
        </is>
      </c>
      <c r="F142" s="8" t="inlineStr">
        <is>
          <t>high</t>
        </is>
      </c>
      <c r="G142" s="9" t="n">
        <v>77813</v>
      </c>
    </row>
    <row r="143">
      <c r="A143" s="8" t="inlineStr">
        <is>
          <t>Balance sheet (detail)</t>
        </is>
      </c>
      <c r="B143" s="8" t="inlineStr">
        <is>
          <t>B25</t>
        </is>
      </c>
      <c r="C143" s="8" t="inlineStr">
        <is>
          <t>30. Paid-in or capital surplus</t>
        </is>
      </c>
      <c r="D143" s="8" t="inlineStr">
        <is>
          <t>30E</t>
        </is>
      </c>
      <c r="E143" s="8" t="inlineStr">
        <is>
          <t>part_x_balance_sheet.paid_in_capital_eoy</t>
        </is>
      </c>
      <c r="F143" s="8" t="inlineStr">
        <is>
          <t>high</t>
        </is>
      </c>
      <c r="G143" s="9" t="n">
        <v>3512</v>
      </c>
    </row>
    <row r="144">
      <c r="A144" s="8" t="inlineStr">
        <is>
          <t>Balance sheet (detail)</t>
        </is>
      </c>
      <c r="B144" s="8" t="inlineStr">
        <is>
          <t>C25</t>
        </is>
      </c>
      <c r="C144" s="8" t="inlineStr">
        <is>
          <t>30. Paid-in or capital surplus</t>
        </is>
      </c>
      <c r="D144" s="8" t="inlineStr">
        <is>
          <t>30E</t>
        </is>
      </c>
      <c r="E144" s="8" t="inlineStr">
        <is>
          <t>part_x_balance_sheet.paid_in_capital_eoy</t>
        </is>
      </c>
      <c r="F144" s="8" t="inlineStr">
        <is>
          <t>high</t>
        </is>
      </c>
      <c r="G144" s="9" t="n">
        <v>3512</v>
      </c>
    </row>
    <row r="145">
      <c r="A145" s="8" t="inlineStr">
        <is>
          <t>Balance sheet (detail)</t>
        </is>
      </c>
      <c r="B145" s="8" t="inlineStr">
        <is>
          <t>D25</t>
        </is>
      </c>
      <c r="C145" s="8" t="inlineStr">
        <is>
          <t>30. Paid-in or capital surplus</t>
        </is>
      </c>
      <c r="D145" s="8" t="inlineStr">
        <is>
          <t>30E</t>
        </is>
      </c>
      <c r="E145" s="8" t="inlineStr">
        <is>
          <t>part_x_balance_sheet.paid_in_capital_eoy</t>
        </is>
      </c>
      <c r="F145" s="8" t="inlineStr">
        <is>
          <t>high</t>
        </is>
      </c>
      <c r="G145" s="9" t="n">
        <v>3512</v>
      </c>
    </row>
    <row r="146">
      <c r="A146" s="8" t="inlineStr">
        <is>
          <t>Balance sheet (detail)</t>
        </is>
      </c>
      <c r="B146" s="8" t="inlineStr">
        <is>
          <t>E25</t>
        </is>
      </c>
      <c r="C146" s="8" t="inlineStr">
        <is>
          <t>30. Paid-in or capital surplus</t>
        </is>
      </c>
      <c r="D146" s="8" t="inlineStr">
        <is>
          <t>30E</t>
        </is>
      </c>
      <c r="E146" s="8" t="inlineStr">
        <is>
          <t>part_x_balance_sheet.paid_in_capital_eoy</t>
        </is>
      </c>
      <c r="F146" s="8" t="inlineStr">
        <is>
          <t>high</t>
        </is>
      </c>
      <c r="G146" s="9" t="n">
        <v>3512</v>
      </c>
    </row>
    <row r="147">
      <c r="A147" s="8" t="inlineStr">
        <is>
          <t>Balance sheet (detail)</t>
        </is>
      </c>
      <c r="B147" s="8" t="inlineStr">
        <is>
          <t>B26</t>
        </is>
      </c>
      <c r="C147" s="8" t="inlineStr">
        <is>
          <t>31. Retained earnings / accumulated funds</t>
        </is>
      </c>
      <c r="D147" s="8" t="inlineStr">
        <is>
          <t>31E</t>
        </is>
      </c>
      <c r="E147" s="8" t="inlineStr">
        <is>
          <t>part_x_balance_sheet.retained_earnings_eoy</t>
        </is>
      </c>
      <c r="F147" s="8" t="inlineStr">
        <is>
          <t>high</t>
        </is>
      </c>
      <c r="G147" s="9" t="n">
        <v>24803838</v>
      </c>
    </row>
    <row r="148">
      <c r="A148" s="8" t="inlineStr">
        <is>
          <t>Balance sheet (detail)</t>
        </is>
      </c>
      <c r="B148" s="8" t="inlineStr">
        <is>
          <t>C26</t>
        </is>
      </c>
      <c r="C148" s="8" t="inlineStr">
        <is>
          <t>31. Retained earnings / accumulated funds</t>
        </is>
      </c>
      <c r="D148" s="8" t="inlineStr">
        <is>
          <t>31E</t>
        </is>
      </c>
      <c r="E148" s="8" t="inlineStr">
        <is>
          <t>part_x_balance_sheet.retained_earnings_eoy</t>
        </is>
      </c>
      <c r="F148" s="8" t="inlineStr">
        <is>
          <t>high</t>
        </is>
      </c>
      <c r="G148" s="9" t="n">
        <v>26584681</v>
      </c>
    </row>
    <row r="149">
      <c r="A149" s="8" t="inlineStr">
        <is>
          <t>Balance sheet (detail)</t>
        </is>
      </c>
      <c r="B149" s="8" t="inlineStr">
        <is>
          <t>D26</t>
        </is>
      </c>
      <c r="C149" s="8" t="inlineStr">
        <is>
          <t>31. Retained earnings / accumulated funds</t>
        </is>
      </c>
      <c r="D149" s="8" t="inlineStr">
        <is>
          <t>31E</t>
        </is>
      </c>
      <c r="E149" s="8" t="inlineStr">
        <is>
          <t>part_x_balance_sheet.retained_earnings_eoy</t>
        </is>
      </c>
      <c r="F149" s="8" t="inlineStr">
        <is>
          <t>high</t>
        </is>
      </c>
      <c r="G149" s="9" t="n">
        <v>31440063</v>
      </c>
    </row>
    <row r="150">
      <c r="A150" s="8" t="inlineStr">
        <is>
          <t>Balance sheet (detail)</t>
        </is>
      </c>
      <c r="B150" s="8" t="inlineStr">
        <is>
          <t>E26</t>
        </is>
      </c>
      <c r="C150" s="8" t="inlineStr">
        <is>
          <t>31. Retained earnings / accumulated funds</t>
        </is>
      </c>
      <c r="D150" s="8" t="inlineStr">
        <is>
          <t>31E</t>
        </is>
      </c>
      <c r="E150" s="8" t="inlineStr">
        <is>
          <t>part_x_balance_sheet.retained_earnings_eoy</t>
        </is>
      </c>
      <c r="F150" s="8" t="inlineStr">
        <is>
          <t>high</t>
        </is>
      </c>
      <c r="G150" s="9" t="n">
        <v>37115878</v>
      </c>
    </row>
    <row r="151">
      <c r="A151" s="8" t="inlineStr">
        <is>
          <t>Net-assets reconciliation</t>
        </is>
      </c>
      <c r="B151" s="8" t="inlineStr">
        <is>
          <t>B7</t>
        </is>
      </c>
      <c r="C151" s="8" t="inlineStr">
        <is>
          <t>4. Net assets, beginning of year</t>
        </is>
      </c>
      <c r="D151" s="8" t="inlineStr">
        <is>
          <t>Part XI line 4</t>
        </is>
      </c>
      <c r="E151" s="8" t="inlineStr">
        <is>
          <t>part_xi_reconciliation.net_assets_boy</t>
        </is>
      </c>
      <c r="F151" s="8" t="inlineStr">
        <is>
          <t>high</t>
        </is>
      </c>
      <c r="G151" s="9" t="n">
        <v>22825870</v>
      </c>
    </row>
    <row r="152">
      <c r="A152" s="8" t="inlineStr">
        <is>
          <t>Net-assets reconciliation</t>
        </is>
      </c>
      <c r="B152" s="8" t="inlineStr">
        <is>
          <t>C7</t>
        </is>
      </c>
      <c r="C152" s="8" t="inlineStr">
        <is>
          <t>4. Net assets, beginning of year</t>
        </is>
      </c>
      <c r="D152" s="8" t="inlineStr">
        <is>
          <t>Part XI line 4</t>
        </is>
      </c>
      <c r="E152" s="8" t="inlineStr">
        <is>
          <t>part_xi_reconciliation.net_assets_boy</t>
        </is>
      </c>
      <c r="F152" s="8" t="inlineStr">
        <is>
          <t>high</t>
        </is>
      </c>
      <c r="G152" s="9" t="n">
        <v>24885163</v>
      </c>
    </row>
    <row r="153">
      <c r="A153" s="8" t="inlineStr">
        <is>
          <t>Net-assets reconciliation</t>
        </is>
      </c>
      <c r="B153" s="8" t="inlineStr">
        <is>
          <t>D7</t>
        </is>
      </c>
      <c r="C153" s="8" t="inlineStr">
        <is>
          <t>4. Net assets, beginning of year</t>
        </is>
      </c>
      <c r="D153" s="8" t="inlineStr">
        <is>
          <t>Part XI line 4</t>
        </is>
      </c>
      <c r="E153" s="8" t="inlineStr">
        <is>
          <t>part_xi_reconciliation.net_assets_boy</t>
        </is>
      </c>
      <c r="F153" s="8" t="inlineStr">
        <is>
          <t>high</t>
        </is>
      </c>
      <c r="G153" s="9" t="n">
        <v>26666006</v>
      </c>
    </row>
    <row r="154">
      <c r="A154" s="8" t="inlineStr">
        <is>
          <t>Net-assets reconciliation</t>
        </is>
      </c>
      <c r="B154" s="8" t="inlineStr">
        <is>
          <t>E7</t>
        </is>
      </c>
      <c r="C154" s="8" t="inlineStr">
        <is>
          <t>4. Net assets, beginning of year</t>
        </is>
      </c>
      <c r="D154" s="8" t="inlineStr">
        <is>
          <t>Part XI line 4</t>
        </is>
      </c>
      <c r="E154" s="8" t="inlineStr">
        <is>
          <t>part_xi_reconciliation.net_assets_boy</t>
        </is>
      </c>
      <c r="F154" s="8" t="inlineStr">
        <is>
          <t>high</t>
        </is>
      </c>
      <c r="G154" s="9" t="n">
        <v>31521388</v>
      </c>
    </row>
    <row r="155">
      <c r="A155" s="8" t="inlineStr">
        <is>
          <t>Net-assets reconciliation</t>
        </is>
      </c>
      <c r="B155" s="8" t="inlineStr">
        <is>
          <t>B8</t>
        </is>
      </c>
      <c r="C155" s="8" t="inlineStr">
        <is>
          <t>3. Revenue less expenses</t>
        </is>
      </c>
      <c r="D155" s="8" t="inlineStr">
        <is>
          <t>Part XI line 3</t>
        </is>
      </c>
      <c r="E155" s="8" t="inlineStr">
        <is>
          <t>part_xi_reconciliation.reconciliation_revenue_expenses</t>
        </is>
      </c>
      <c r="F155" s="8" t="inlineStr">
        <is>
          <t>high</t>
        </is>
      </c>
      <c r="G155" s="9" t="n">
        <v>1136104</v>
      </c>
    </row>
    <row r="156">
      <c r="A156" s="8" t="inlineStr">
        <is>
          <t>Net-assets reconciliation</t>
        </is>
      </c>
      <c r="B156" s="8" t="inlineStr">
        <is>
          <t>C8</t>
        </is>
      </c>
      <c r="C156" s="8" t="inlineStr">
        <is>
          <t>3. Revenue less expenses</t>
        </is>
      </c>
      <c r="D156" s="8" t="inlineStr">
        <is>
          <t>Part XI line 3</t>
        </is>
      </c>
      <c r="E156" s="8" t="inlineStr">
        <is>
          <t>part_xi_reconciliation.reconciliation_revenue_expenses</t>
        </is>
      </c>
      <c r="F156" s="8" t="inlineStr">
        <is>
          <t>high</t>
        </is>
      </c>
      <c r="G156" s="9" t="n">
        <v>1960432</v>
      </c>
    </row>
    <row r="157">
      <c r="A157" s="8" t="inlineStr">
        <is>
          <t>Net-assets reconciliation</t>
        </is>
      </c>
      <c r="B157" s="8" t="inlineStr">
        <is>
          <t>D8</t>
        </is>
      </c>
      <c r="C157" s="8" t="inlineStr">
        <is>
          <t>3. Revenue less expenses</t>
        </is>
      </c>
      <c r="D157" s="8" t="inlineStr">
        <is>
          <t>Part XI line 3</t>
        </is>
      </c>
      <c r="E157" s="8" t="inlineStr">
        <is>
          <t>part_xi_reconciliation.reconciliation_revenue_expenses</t>
        </is>
      </c>
      <c r="F157" s="8" t="inlineStr">
        <is>
          <t>high</t>
        </is>
      </c>
      <c r="G157" s="9" t="n">
        <v>5237123</v>
      </c>
    </row>
    <row r="158">
      <c r="A158" s="8" t="inlineStr">
        <is>
          <t>Net-assets reconciliation</t>
        </is>
      </c>
      <c r="B158" s="8" t="inlineStr">
        <is>
          <t>E8</t>
        </is>
      </c>
      <c r="C158" s="8" t="inlineStr">
        <is>
          <t>3. Revenue less expenses</t>
        </is>
      </c>
      <c r="D158" s="8" t="inlineStr">
        <is>
          <t>Part XI line 3</t>
        </is>
      </c>
      <c r="E158" s="8" t="inlineStr">
        <is>
          <t>part_xi_reconciliation.reconciliation_revenue_expenses</t>
        </is>
      </c>
      <c r="F158" s="8" t="inlineStr">
        <is>
          <t>high</t>
        </is>
      </c>
      <c r="G158" s="9" t="n">
        <v>5650358</v>
      </c>
    </row>
    <row r="159">
      <c r="A159" s="8" t="inlineStr">
        <is>
          <t>Net-assets reconciliation</t>
        </is>
      </c>
      <c r="B159" s="8" t="inlineStr">
        <is>
          <t>B10</t>
        </is>
      </c>
      <c r="C159" s="8" t="inlineStr">
        <is>
          <t>9. Other changes in net assets</t>
        </is>
      </c>
      <c r="D159" s="8" t="inlineStr">
        <is>
          <t>Part XI line 9</t>
        </is>
      </c>
      <c r="E159" s="8" t="inlineStr">
        <is>
          <t>part_xi_reconciliation.other_changes_net_assets</t>
        </is>
      </c>
      <c r="F159" s="8" t="inlineStr">
        <is>
          <t>high</t>
        </is>
      </c>
      <c r="G159" s="9" t="n">
        <v>775988</v>
      </c>
    </row>
    <row r="160">
      <c r="A160" s="8" t="inlineStr">
        <is>
          <t>Net-assets reconciliation</t>
        </is>
      </c>
      <c r="B160" s="8" t="inlineStr">
        <is>
          <t>C10</t>
        </is>
      </c>
      <c r="C160" s="8" t="inlineStr">
        <is>
          <t>9. Other changes in net assets</t>
        </is>
      </c>
      <c r="D160" s="8" t="inlineStr">
        <is>
          <t>Part XI line 9</t>
        </is>
      </c>
      <c r="E160" s="8" t="inlineStr">
        <is>
          <t>part_xi_reconciliation.other_changes_net_assets</t>
        </is>
      </c>
      <c r="F160" s="8" t="inlineStr">
        <is>
          <t>high</t>
        </is>
      </c>
      <c r="G160" s="9" t="n">
        <v>55</v>
      </c>
    </row>
    <row r="161">
      <c r="A161" s="8" t="inlineStr">
        <is>
          <t>Net-assets reconciliation</t>
        </is>
      </c>
      <c r="B161" s="8" t="inlineStr">
        <is>
          <t>D10</t>
        </is>
      </c>
      <c r="C161" s="8" t="inlineStr">
        <is>
          <t>9. Other changes in net assets</t>
        </is>
      </c>
      <c r="D161" s="8" t="inlineStr">
        <is>
          <t>Part XI line 9</t>
        </is>
      </c>
      <c r="E161" s="8" t="inlineStr">
        <is>
          <t>part_xi_reconciliation.other_changes_net_assets</t>
        </is>
      </c>
      <c r="F161" s="8" t="inlineStr">
        <is>
          <t>high</t>
        </is>
      </c>
      <c r="G161" s="9" t="n">
        <v>-426539</v>
      </c>
    </row>
    <row r="162">
      <c r="A162" s="8" t="inlineStr">
        <is>
          <t>Net-assets reconciliation</t>
        </is>
      </c>
      <c r="B162" s="8" t="inlineStr">
        <is>
          <t>E10</t>
        </is>
      </c>
      <c r="C162" s="8" t="inlineStr">
        <is>
          <t>9. Other changes in net assets</t>
        </is>
      </c>
      <c r="D162" s="8" t="inlineStr">
        <is>
          <t>Part XI line 9</t>
        </is>
      </c>
      <c r="E162" s="8" t="inlineStr">
        <is>
          <t>part_xi_reconciliation.other_changes_net_assets</t>
        </is>
      </c>
      <c r="F162" s="8" t="inlineStr">
        <is>
          <t>high</t>
        </is>
      </c>
      <c r="G162" s="9" t="n">
        <v>0</v>
      </c>
    </row>
    <row r="164">
      <c r="A164" s="46" t="inlineStr">
        <is>
          <t>C. Tie-out checks (filed vs computed; any nonzero variance is flagged red)</t>
        </is>
      </c>
      <c r="B164" s="7" t="n"/>
      <c r="C164" s="7" t="n"/>
      <c r="D164" s="7" t="n"/>
      <c r="E164" s="7" t="n"/>
      <c r="F164" s="7" t="n"/>
      <c r="G164" s="7" t="n"/>
      <c r="H164" s="7" t="n"/>
      <c r="I164" s="7" t="n"/>
      <c r="J164" s="7" t="n"/>
      <c r="K164" s="7" t="n"/>
    </row>
    <row r="165">
      <c r="A165" s="5" t="inlineStr">
        <is>
          <t>Tab</t>
        </is>
      </c>
      <c r="B165" s="5" t="inlineStr">
        <is>
          <t>Check</t>
        </is>
      </c>
      <c r="C165" s="5" t="inlineStr">
        <is>
          <t>Fiscal year</t>
        </is>
      </c>
      <c r="D165" s="5" t="inlineStr">
        <is>
          <t>Filed</t>
        </is>
      </c>
      <c r="E165" s="5" t="inlineStr">
        <is>
          <t>Computed</t>
        </is>
      </c>
      <c r="F165" s="5" t="inlineStr">
        <is>
          <t>Variance (computed - filed)</t>
        </is>
      </c>
    </row>
    <row r="166">
      <c r="A166" s="20" t="inlineStr">
        <is>
          <t>Revenue (detail)</t>
        </is>
      </c>
      <c r="B166" s="20" t="inlineStr">
        <is>
          <t>12. Total revenue</t>
        </is>
      </c>
      <c r="C166" s="20" t="inlineStr">
        <is>
          <t>FY2021</t>
        </is>
      </c>
      <c r="D166" s="9" t="n">
        <v>6119676</v>
      </c>
      <c r="E166" s="9">
        <f>'Revenue (detail)'!B13</f>
        <v/>
      </c>
      <c r="F166" s="9">
        <f>E166-D166</f>
        <v/>
      </c>
    </row>
    <row r="167">
      <c r="A167" s="20" t="inlineStr">
        <is>
          <t>Revenue (detail)</t>
        </is>
      </c>
      <c r="B167" s="20" t="inlineStr">
        <is>
          <t>12. Total revenue</t>
        </is>
      </c>
      <c r="C167" s="20" t="inlineStr">
        <is>
          <t>FY2022</t>
        </is>
      </c>
      <c r="D167" s="9" t="n">
        <v>6771352</v>
      </c>
      <c r="E167" s="9">
        <f>'Revenue (detail)'!C13</f>
        <v/>
      </c>
      <c r="F167" s="9">
        <f>E167-D167</f>
        <v/>
      </c>
    </row>
    <row r="168">
      <c r="A168" s="20" t="inlineStr">
        <is>
          <t>Revenue (detail)</t>
        </is>
      </c>
      <c r="B168" s="20" t="inlineStr">
        <is>
          <t>12. Total revenue</t>
        </is>
      </c>
      <c r="C168" s="20" t="inlineStr">
        <is>
          <t>FY2023</t>
        </is>
      </c>
      <c r="D168" s="9" t="n">
        <v>10023447</v>
      </c>
      <c r="E168" s="9">
        <f>'Revenue (detail)'!D13</f>
        <v/>
      </c>
      <c r="F168" s="9">
        <f>E168-D168</f>
        <v/>
      </c>
    </row>
    <row r="169">
      <c r="A169" s="20" t="inlineStr">
        <is>
          <t>Revenue (detail)</t>
        </is>
      </c>
      <c r="B169" s="20" t="inlineStr">
        <is>
          <t>12. Total revenue</t>
        </is>
      </c>
      <c r="C169" s="20" t="inlineStr">
        <is>
          <t>FY2024</t>
        </is>
      </c>
      <c r="D169" s="9" t="n">
        <v>10411332</v>
      </c>
      <c r="E169" s="9">
        <f>'Revenue (detail)'!E13</f>
        <v/>
      </c>
      <c r="F169" s="9">
        <f>E169-D169</f>
        <v/>
      </c>
    </row>
    <row r="170">
      <c r="A170" s="20" t="inlineStr">
        <is>
          <t>Revenue (detail)</t>
        </is>
      </c>
      <c r="B170" s="20" t="inlineStr">
        <is>
          <t>2g program service revenue = sum of lines 2a-2f (FY2024)</t>
        </is>
      </c>
      <c r="C170" s="20" t="inlineStr">
        <is>
          <t>FY2024</t>
        </is>
      </c>
      <c r="D170" s="9" t="n">
        <v>6786362</v>
      </c>
      <c r="E170" s="9">
        <f>SUM('Revenue (detail)'!C17:C20)</f>
        <v/>
      </c>
      <c r="F170" s="9">
        <f>E170-D170</f>
        <v/>
      </c>
    </row>
    <row r="171">
      <c r="A171" s="20" t="inlineStr">
        <is>
          <t>Operating expenses (detail)</t>
        </is>
      </c>
      <c r="B171" s="20" t="inlineStr">
        <is>
          <t>25. Total functional expenses</t>
        </is>
      </c>
      <c r="C171" s="20" t="inlineStr">
        <is>
          <t>FY2021</t>
        </is>
      </c>
      <c r="D171" s="9" t="n">
        <v>4983572</v>
      </c>
      <c r="E171" s="9">
        <f>'Operating expenses (detail)'!B25</f>
        <v/>
      </c>
      <c r="F171" s="9">
        <f>E171-D171</f>
        <v/>
      </c>
    </row>
    <row r="172">
      <c r="A172" s="20" t="inlineStr">
        <is>
          <t>Operating expenses (detail)</t>
        </is>
      </c>
      <c r="B172" s="20" t="inlineStr">
        <is>
          <t>25. Total functional expenses</t>
        </is>
      </c>
      <c r="C172" s="20" t="inlineStr">
        <is>
          <t>FY2022</t>
        </is>
      </c>
      <c r="D172" s="9" t="n">
        <v>4810920</v>
      </c>
      <c r="E172" s="9">
        <f>'Operating expenses (detail)'!C25</f>
        <v/>
      </c>
      <c r="F172" s="9">
        <f>E172-D172</f>
        <v/>
      </c>
    </row>
    <row r="173">
      <c r="A173" s="20" t="inlineStr">
        <is>
          <t>Operating expenses (detail)</t>
        </is>
      </c>
      <c r="B173" s="20" t="inlineStr">
        <is>
          <t>25. Total functional expenses</t>
        </is>
      </c>
      <c r="C173" s="20" t="inlineStr">
        <is>
          <t>FY2023</t>
        </is>
      </c>
      <c r="D173" s="9" t="n">
        <v>4786324</v>
      </c>
      <c r="E173" s="9">
        <f>'Operating expenses (detail)'!D25</f>
        <v/>
      </c>
      <c r="F173" s="9">
        <f>E173-D173</f>
        <v/>
      </c>
    </row>
    <row r="174">
      <c r="A174" s="20" t="inlineStr">
        <is>
          <t>Operating expenses (detail)</t>
        </is>
      </c>
      <c r="B174" s="20" t="inlineStr">
        <is>
          <t>25. Total functional expenses</t>
        </is>
      </c>
      <c r="C174" s="20" t="inlineStr">
        <is>
          <t>FY2024</t>
        </is>
      </c>
      <c r="D174" s="9" t="n">
        <v>4760974</v>
      </c>
      <c r="E174" s="9">
        <f>'Operating expenses (detail)'!E25</f>
        <v/>
      </c>
      <c r="F174" s="9">
        <f>E174-D174</f>
        <v/>
      </c>
    </row>
    <row r="175">
      <c r="A175" s="20" t="inlineStr">
        <is>
          <t>Operating expenses (detail)</t>
        </is>
      </c>
      <c r="B175" s="20" t="inlineStr">
        <is>
          <t>Part IX column split: col A = B + C + D (FY2024)</t>
        </is>
      </c>
      <c r="C175" s="20" t="inlineStr">
        <is>
          <t>FY2024</t>
        </is>
      </c>
      <c r="D175" s="9">
        <f>'Operating expenses (detail)'!B41</f>
        <v/>
      </c>
      <c r="E175" s="9">
        <f>'Operating expenses (detail)'!C41+'Operating expenses (detail)'!D41+'Operating expenses (detail)'!E41</f>
        <v/>
      </c>
      <c r="F175" s="9">
        <f>E175-D175</f>
        <v/>
      </c>
    </row>
    <row r="176">
      <c r="A176" s="20" t="inlineStr">
        <is>
          <t>Balance sheet (detail)</t>
        </is>
      </c>
      <c r="B176" s="20" t="inlineStr">
        <is>
          <t>16. Total assets</t>
        </is>
      </c>
      <c r="C176" s="20" t="inlineStr">
        <is>
          <t>FY2021</t>
        </is>
      </c>
      <c r="D176" s="9" t="n">
        <v>25302243</v>
      </c>
      <c r="E176" s="9">
        <f>'Balance sheet (detail)'!B15</f>
        <v/>
      </c>
      <c r="F176" s="9">
        <f>E176-D176</f>
        <v/>
      </c>
    </row>
    <row r="177">
      <c r="A177" s="20" t="inlineStr">
        <is>
          <t>Balance sheet (detail)</t>
        </is>
      </c>
      <c r="B177" s="20" t="inlineStr">
        <is>
          <t>16. Total assets</t>
        </is>
      </c>
      <c r="C177" s="20" t="inlineStr">
        <is>
          <t>FY2022</t>
        </is>
      </c>
      <c r="D177" s="9" t="n">
        <v>27602664</v>
      </c>
      <c r="E177" s="9">
        <f>'Balance sheet (detail)'!C15</f>
        <v/>
      </c>
      <c r="F177" s="9">
        <f>E177-D177</f>
        <v/>
      </c>
    </row>
    <row r="178">
      <c r="A178" s="20" t="inlineStr">
        <is>
          <t>Balance sheet (detail)</t>
        </is>
      </c>
      <c r="B178" s="20" t="inlineStr">
        <is>
          <t>16. Total assets</t>
        </is>
      </c>
      <c r="C178" s="20" t="inlineStr">
        <is>
          <t>FY2023</t>
        </is>
      </c>
      <c r="D178" s="9" t="n">
        <v>32912596</v>
      </c>
      <c r="E178" s="9">
        <f>'Balance sheet (detail)'!D15</f>
        <v/>
      </c>
      <c r="F178" s="9">
        <f>E178-D178</f>
        <v/>
      </c>
    </row>
    <row r="179">
      <c r="A179" s="20" t="inlineStr">
        <is>
          <t>Balance sheet (detail)</t>
        </is>
      </c>
      <c r="B179" s="20" t="inlineStr">
        <is>
          <t>16. Total assets</t>
        </is>
      </c>
      <c r="C179" s="20" t="inlineStr">
        <is>
          <t>FY2024</t>
        </is>
      </c>
      <c r="D179" s="9" t="n">
        <v>37967556</v>
      </c>
      <c r="E179" s="9">
        <f>'Balance sheet (detail)'!E15</f>
        <v/>
      </c>
      <c r="F179" s="9">
        <f>E179-D179</f>
        <v/>
      </c>
    </row>
    <row r="180">
      <c r="A180" s="20" t="inlineStr">
        <is>
          <t>Balance sheet (detail)</t>
        </is>
      </c>
      <c r="B180" s="20" t="inlineStr">
        <is>
          <t>26. Total liabilities</t>
        </is>
      </c>
      <c r="C180" s="20" t="inlineStr">
        <is>
          <t>FY2021</t>
        </is>
      </c>
      <c r="D180" s="9" t="n">
        <v>417080</v>
      </c>
      <c r="E180" s="9">
        <f>'Balance sheet (detail)'!B21</f>
        <v/>
      </c>
      <c r="F180" s="9">
        <f>E180-D180</f>
        <v/>
      </c>
    </row>
    <row r="181">
      <c r="A181" s="20" t="inlineStr">
        <is>
          <t>Balance sheet (detail)</t>
        </is>
      </c>
      <c r="B181" s="20" t="inlineStr">
        <is>
          <t>26. Total liabilities</t>
        </is>
      </c>
      <c r="C181" s="20" t="inlineStr">
        <is>
          <t>FY2022</t>
        </is>
      </c>
      <c r="D181" s="9" t="n">
        <v>936658</v>
      </c>
      <c r="E181" s="9">
        <f>'Balance sheet (detail)'!C21</f>
        <v/>
      </c>
      <c r="F181" s="9">
        <f>E181-D181</f>
        <v/>
      </c>
    </row>
    <row r="182">
      <c r="A182" s="20" t="inlineStr">
        <is>
          <t>Balance sheet (detail)</t>
        </is>
      </c>
      <c r="B182" s="20" t="inlineStr">
        <is>
          <t>26. Total liabilities</t>
        </is>
      </c>
      <c r="C182" s="20" t="inlineStr">
        <is>
          <t>FY2023</t>
        </is>
      </c>
      <c r="D182" s="9" t="n">
        <v>1391208</v>
      </c>
      <c r="E182" s="9">
        <f>'Balance sheet (detail)'!D21</f>
        <v/>
      </c>
      <c r="F182" s="9">
        <f>E182-D182</f>
        <v/>
      </c>
    </row>
    <row r="183">
      <c r="A183" s="20" t="inlineStr">
        <is>
          <t>Balance sheet (detail)</t>
        </is>
      </c>
      <c r="B183" s="20" t="inlineStr">
        <is>
          <t>26. Total liabilities</t>
        </is>
      </c>
      <c r="C183" s="20" t="inlineStr">
        <is>
          <t>FY2024</t>
        </is>
      </c>
      <c r="D183" s="9" t="n">
        <v>770353</v>
      </c>
      <c r="E183" s="9">
        <f>'Balance sheet (detail)'!E21</f>
        <v/>
      </c>
      <c r="F183" s="9">
        <f>E183-D183</f>
        <v/>
      </c>
    </row>
    <row r="184">
      <c r="A184" s="20" t="inlineStr">
        <is>
          <t>Balance sheet (detail)</t>
        </is>
      </c>
      <c r="B184" s="20" t="inlineStr">
        <is>
          <t>32. Total net assets / fund balances</t>
        </is>
      </c>
      <c r="C184" s="20" t="inlineStr">
        <is>
          <t>FY2021</t>
        </is>
      </c>
      <c r="D184" s="9" t="n">
        <v>24885163</v>
      </c>
      <c r="E184" s="9">
        <f>'Balance sheet (detail)'!B27</f>
        <v/>
      </c>
      <c r="F184" s="9">
        <f>E184-D184</f>
        <v/>
      </c>
    </row>
    <row r="185">
      <c r="A185" s="20" t="inlineStr">
        <is>
          <t>Balance sheet (detail)</t>
        </is>
      </c>
      <c r="B185" s="20" t="inlineStr">
        <is>
          <t>32. Total net assets / fund balances</t>
        </is>
      </c>
      <c r="C185" s="20" t="inlineStr">
        <is>
          <t>FY2022</t>
        </is>
      </c>
      <c r="D185" s="9" t="n">
        <v>26666006</v>
      </c>
      <c r="E185" s="9">
        <f>'Balance sheet (detail)'!C27</f>
        <v/>
      </c>
      <c r="F185" s="9">
        <f>E185-D185</f>
        <v/>
      </c>
    </row>
    <row r="186">
      <c r="A186" s="20" t="inlineStr">
        <is>
          <t>Balance sheet (detail)</t>
        </is>
      </c>
      <c r="B186" s="20" t="inlineStr">
        <is>
          <t>32. Total net assets / fund balances</t>
        </is>
      </c>
      <c r="C186" s="20" t="inlineStr">
        <is>
          <t>FY2023</t>
        </is>
      </c>
      <c r="D186" s="9" t="n">
        <v>31521388</v>
      </c>
      <c r="E186" s="9">
        <f>'Balance sheet (detail)'!D27</f>
        <v/>
      </c>
      <c r="F186" s="9">
        <f>E186-D186</f>
        <v/>
      </c>
    </row>
    <row r="187">
      <c r="A187" s="20" t="inlineStr">
        <is>
          <t>Balance sheet (detail)</t>
        </is>
      </c>
      <c r="B187" s="20" t="inlineStr">
        <is>
          <t>32. Total net assets / fund balances</t>
        </is>
      </c>
      <c r="C187" s="20" t="inlineStr">
        <is>
          <t>FY2024</t>
        </is>
      </c>
      <c r="D187" s="9" t="n">
        <v>37197203</v>
      </c>
      <c r="E187" s="9">
        <f>'Balance sheet (detail)'!E27</f>
        <v/>
      </c>
      <c r="F187" s="9">
        <f>E187-D187</f>
        <v/>
      </c>
    </row>
    <row r="188">
      <c r="A188" s="20" t="inlineStr">
        <is>
          <t>Balance sheet (detail)</t>
        </is>
      </c>
      <c r="B188" s="20" t="inlineStr">
        <is>
          <t>Balance sheet identity: line 16 = line 26 + line 32 (EOY)</t>
        </is>
      </c>
      <c r="C188" s="20" t="inlineStr">
        <is>
          <t>FY2021</t>
        </is>
      </c>
      <c r="D188" s="9">
        <f>'Balance sheet (detail)'!B15</f>
        <v/>
      </c>
      <c r="E188" s="9">
        <f>SUM('Balance sheet (detail)'!B21,'Balance sheet (detail)'!B27)</f>
        <v/>
      </c>
      <c r="F188" s="9">
        <f>E188-D188</f>
        <v/>
      </c>
    </row>
    <row r="189">
      <c r="A189" s="20" t="inlineStr">
        <is>
          <t>Balance sheet (detail)</t>
        </is>
      </c>
      <c r="B189" s="20" t="inlineStr">
        <is>
          <t>Balance sheet identity: line 16 = line 26 + line 32 (EOY)</t>
        </is>
      </c>
      <c r="C189" s="20" t="inlineStr">
        <is>
          <t>FY2022</t>
        </is>
      </c>
      <c r="D189" s="9">
        <f>'Balance sheet (detail)'!C15</f>
        <v/>
      </c>
      <c r="E189" s="9">
        <f>SUM('Balance sheet (detail)'!C21,'Balance sheet (detail)'!C27)</f>
        <v/>
      </c>
      <c r="F189" s="9">
        <f>E189-D189</f>
        <v/>
      </c>
    </row>
    <row r="190">
      <c r="A190" s="20" t="inlineStr">
        <is>
          <t>Balance sheet (detail)</t>
        </is>
      </c>
      <c r="B190" s="20" t="inlineStr">
        <is>
          <t>Balance sheet identity: line 16 = line 26 + line 32 (EOY)</t>
        </is>
      </c>
      <c r="C190" s="20" t="inlineStr">
        <is>
          <t>FY2023</t>
        </is>
      </c>
      <c r="D190" s="9">
        <f>'Balance sheet (detail)'!D15</f>
        <v/>
      </c>
      <c r="E190" s="9">
        <f>SUM('Balance sheet (detail)'!D21,'Balance sheet (detail)'!D27)</f>
        <v/>
      </c>
      <c r="F190" s="9">
        <f>E190-D190</f>
        <v/>
      </c>
    </row>
    <row r="191">
      <c r="A191" s="20" t="inlineStr">
        <is>
          <t>Balance sheet (detail)</t>
        </is>
      </c>
      <c r="B191" s="20" t="inlineStr">
        <is>
          <t>Balance sheet identity: line 16 = line 26 + line 32 (EOY)</t>
        </is>
      </c>
      <c r="C191" s="20" t="inlineStr">
        <is>
          <t>FY2024</t>
        </is>
      </c>
      <c r="D191" s="9">
        <f>'Balance sheet (detail)'!E15</f>
        <v/>
      </c>
      <c r="E191" s="9">
        <f>SUM('Balance sheet (detail)'!E21,'Balance sheet (detail)'!E27)</f>
        <v/>
      </c>
      <c r="F191" s="9">
        <f>E191-D191</f>
        <v/>
      </c>
    </row>
    <row r="192">
      <c r="A192" s="20" t="inlineStr">
        <is>
          <t>Net-assets reconciliation</t>
        </is>
      </c>
      <c r="B192" s="20" t="inlineStr">
        <is>
          <t>10. Net assets, end of year</t>
        </is>
      </c>
      <c r="C192" s="20" t="inlineStr">
        <is>
          <t>FY2021</t>
        </is>
      </c>
      <c r="D192" s="9" t="n">
        <v>24885163</v>
      </c>
      <c r="E192" s="9">
        <f>'Net-assets reconciliation'!B11</f>
        <v/>
      </c>
      <c r="F192" s="9">
        <f>E192-D192</f>
        <v/>
      </c>
    </row>
    <row r="193">
      <c r="A193" s="20" t="inlineStr">
        <is>
          <t>Net-assets reconciliation</t>
        </is>
      </c>
      <c r="B193" s="20" t="inlineStr">
        <is>
          <t>10. Net assets, end of year</t>
        </is>
      </c>
      <c r="C193" s="20" t="inlineStr">
        <is>
          <t>FY2022</t>
        </is>
      </c>
      <c r="D193" s="9" t="n">
        <v>26666006</v>
      </c>
      <c r="E193" s="9">
        <f>'Net-assets reconciliation'!C11</f>
        <v/>
      </c>
      <c r="F193" s="9">
        <f>E193-D193</f>
        <v/>
      </c>
    </row>
    <row r="194">
      <c r="A194" s="20" t="inlineStr">
        <is>
          <t>Net-assets reconciliation</t>
        </is>
      </c>
      <c r="B194" s="20" t="inlineStr">
        <is>
          <t>10. Net assets, end of year</t>
        </is>
      </c>
      <c r="C194" s="20" t="inlineStr">
        <is>
          <t>FY2023</t>
        </is>
      </c>
      <c r="D194" s="9" t="n">
        <v>31521388</v>
      </c>
      <c r="E194" s="9">
        <f>'Net-assets reconciliation'!D11</f>
        <v/>
      </c>
      <c r="F194" s="9">
        <f>E194-D194</f>
        <v/>
      </c>
    </row>
    <row r="195">
      <c r="A195" s="20" t="inlineStr">
        <is>
          <t>Net-assets reconciliation</t>
        </is>
      </c>
      <c r="B195" s="20" t="inlineStr">
        <is>
          <t>10. Net assets, end of year</t>
        </is>
      </c>
      <c r="C195" s="20" t="inlineStr">
        <is>
          <t>FY2024</t>
        </is>
      </c>
      <c r="D195" s="9" t="n">
        <v>37197203</v>
      </c>
      <c r="E195" s="9">
        <f>'Net-assets reconciliation'!E11</f>
        <v/>
      </c>
      <c r="F195" s="9">
        <f>E195-D195</f>
        <v/>
      </c>
    </row>
    <row r="197">
      <c r="A197" s="46" t="inlineStr">
        <is>
          <t>D. Preparer / auditor trail (one row per fiscal year, as filed)</t>
        </is>
      </c>
      <c r="B197" s="7" t="n"/>
      <c r="C197" s="7" t="n"/>
      <c r="D197" s="7" t="n"/>
      <c r="E197" s="7" t="n"/>
      <c r="F197" s="7" t="n"/>
      <c r="G197" s="7" t="n"/>
      <c r="H197" s="7" t="n"/>
      <c r="I197" s="7" t="n"/>
      <c r="J197" s="7" t="n"/>
      <c r="K197" s="7" t="n"/>
    </row>
    <row r="198">
      <c r="A198" s="5" t="inlineStr">
        <is>
          <t>Fiscal year</t>
        </is>
      </c>
      <c r="B198" s="5" t="inlineStr">
        <is>
          <t>Paid preparer</t>
        </is>
      </c>
      <c r="C198" s="5" t="inlineStr">
        <is>
          <t>Preparer firm</t>
        </is>
      </c>
      <c r="D198" s="5" t="inlineStr">
        <is>
          <t>Independent auditor</t>
        </is>
      </c>
      <c r="E198" s="5" t="inlineStr">
        <is>
          <t>Citation</t>
        </is>
      </c>
    </row>
    <row r="199" ht="42" customHeight="1">
      <c r="A199" s="47" t="inlineStr">
        <is>
          <t>FY2021</t>
        </is>
      </c>
      <c r="B199" s="8" t="inlineStr">
        <is>
          <t>TRITIA FOSTER</t>
        </is>
      </c>
      <c r="C199" s="8" t="inlineStr">
        <is>
          <t>DAVIS FARR LLP</t>
        </is>
      </c>
      <c r="D199" s="49" t="inlineStr">
        <is>
          <t>not reported</t>
        </is>
      </c>
      <c r="E199" s="25" t="inlineStr">
        <is>
          <t>Form 990 Return Header, Paid Preparer block (return_header.preparer_person_name / preparer_firm_name); auditor: Part XII line 2 reports audited financial statements but does not name the firm.</t>
        </is>
      </c>
    </row>
    <row r="200" ht="42" customHeight="1">
      <c r="A200" s="47" t="inlineStr">
        <is>
          <t>FY2022</t>
        </is>
      </c>
      <c r="B200" s="8" t="inlineStr">
        <is>
          <t>TRITIA FOSTER</t>
        </is>
      </c>
      <c r="C200" s="8" t="inlineStr">
        <is>
          <t>DAVIS FARR LLP</t>
        </is>
      </c>
      <c r="D200" s="49" t="inlineStr">
        <is>
          <t>not reported</t>
        </is>
      </c>
      <c r="E200" s="25" t="inlineStr">
        <is>
          <t>Form 990 Return Header, Paid Preparer block (return_header.preparer_person_name / preparer_firm_name); auditor: Part XII line 2 reports audited financial statements but does not name the firm.</t>
        </is>
      </c>
    </row>
    <row r="201" ht="42" customHeight="1">
      <c r="A201" s="47" t="inlineStr">
        <is>
          <t>FY2023</t>
        </is>
      </c>
      <c r="B201" s="8" t="inlineStr">
        <is>
          <t>TRITIA FOSTER</t>
        </is>
      </c>
      <c r="C201" s="8" t="inlineStr">
        <is>
          <t>DAVIS FARR LLP</t>
        </is>
      </c>
      <c r="D201" s="49" t="inlineStr">
        <is>
          <t>not reported</t>
        </is>
      </c>
      <c r="E201" s="25" t="inlineStr">
        <is>
          <t>Form 990 Return Header, Paid Preparer block (return_header.preparer_person_name / preparer_firm_name); auditor: Part XII line 2 reports audited financial statements but does not name the firm.</t>
        </is>
      </c>
    </row>
    <row r="202" ht="42" customHeight="1">
      <c r="A202" s="47" t="inlineStr">
        <is>
          <t>FY2024</t>
        </is>
      </c>
      <c r="B202" s="8" t="inlineStr">
        <is>
          <t>TRITIA FOSTER</t>
        </is>
      </c>
      <c r="C202" s="8" t="inlineStr">
        <is>
          <t>DAVIS FARR LLP</t>
        </is>
      </c>
      <c r="D202" s="49" t="inlineStr">
        <is>
          <t>not reported</t>
        </is>
      </c>
      <c r="E202" s="25" t="inlineStr">
        <is>
          <t>Form 990 Return Header, Paid Preparer block (return_header.preparer_person_name / preparer_firm_name); auditor: Part XII line 2 reports audited financial statements but does not name the firm.</t>
        </is>
      </c>
    </row>
    <row r="204" ht="42" customHeight="1">
      <c r="A204"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204:K204"/>
    <mergeCell ref="A5:K5"/>
    <mergeCell ref="A1:K1"/>
  </mergeCells>
  <conditionalFormatting sqref="F166:F195">
    <cfRule type="cellIs" priority="1" operator="notEqual" dxfId="0">
      <formula>0</formula>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