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Sources &amp; audit" sheetId="13" state="visible" r:id="rId13"/>
    <sheet name="Provenance" sheetId="14" state="visible" r:id="rId1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5">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s>
  <sheetData>
    <row r="1">
      <c r="A1" s="1" t="inlineStr">
        <is>
          <t>Green River Mutual Water Company</t>
        </is>
      </c>
    </row>
    <row r="2">
      <c r="A2" s="2" t="inlineStr">
        <is>
          <t>Financial Summary - multi-year overview (USD)</t>
        </is>
      </c>
    </row>
    <row r="3">
      <c r="A3" s="2" t="inlineStr">
        <is>
          <t>Entity ID: cawc_0089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row>
    <row r="9">
      <c r="A9" s="6" t="inlineStr">
        <is>
          <t>Operating results (USD)</t>
        </is>
      </c>
      <c r="B9" s="7" t="n"/>
      <c r="C9" s="7" t="n"/>
      <c r="D9" s="7" t="n"/>
      <c r="E9" s="7" t="n"/>
    </row>
    <row r="10">
      <c r="A10" s="8" t="inlineStr">
        <is>
          <t xml:space="preserve">    Total revenue</t>
        </is>
      </c>
      <c r="B10" s="9" t="n">
        <v>135065</v>
      </c>
      <c r="C10" s="9" t="n">
        <v>137356</v>
      </c>
      <c r="D10" s="9" t="n">
        <v>141888</v>
      </c>
      <c r="E10" s="9" t="n">
        <v>180823</v>
      </c>
    </row>
    <row r="11">
      <c r="A11" s="8" t="inlineStr">
        <is>
          <t xml:space="preserve">    Total expenses</t>
        </is>
      </c>
      <c r="B11" s="9" t="n">
        <v>144216</v>
      </c>
      <c r="C11" s="9" t="n">
        <v>137206</v>
      </c>
      <c r="D11" s="9" t="n">
        <v>147353</v>
      </c>
      <c r="E11" s="9" t="n">
        <v>141204</v>
      </c>
    </row>
    <row r="12">
      <c r="A12" s="10" t="inlineStr">
        <is>
          <t xml:space="preserve">    Net income</t>
        </is>
      </c>
      <c r="B12" s="11" t="n">
        <v>-9151</v>
      </c>
      <c r="C12" s="11" t="n">
        <v>150</v>
      </c>
      <c r="D12" s="11" t="n">
        <v>-5465</v>
      </c>
      <c r="E12" s="11" t="n">
        <v>39619</v>
      </c>
    </row>
    <row r="14">
      <c r="A14" s="6" t="inlineStr">
        <is>
          <t>Financial position (USD, end of year)</t>
        </is>
      </c>
      <c r="B14" s="7" t="n"/>
      <c r="C14" s="7" t="n"/>
      <c r="D14" s="7" t="n"/>
      <c r="E14" s="7" t="n"/>
    </row>
    <row r="15">
      <c r="A15" s="8" t="inlineStr">
        <is>
          <t xml:space="preserve">    Total assets</t>
        </is>
      </c>
      <c r="B15" s="9" t="n">
        <v>120478</v>
      </c>
      <c r="C15" s="9" t="n">
        <v>116969</v>
      </c>
      <c r="D15" s="9" t="n">
        <v>111504</v>
      </c>
      <c r="E15" s="9" t="n">
        <v>151123</v>
      </c>
    </row>
    <row r="16">
      <c r="A16" s="8" t="inlineStr">
        <is>
          <t xml:space="preserve">    Total liabilities</t>
        </is>
      </c>
      <c r="B16" s="9" t="n">
        <v>0</v>
      </c>
      <c r="C16" s="9" t="n">
        <v>0</v>
      </c>
      <c r="D16" s="9" t="n"/>
      <c r="E16" s="9" t="n"/>
    </row>
    <row r="17">
      <c r="A17" s="10" t="inlineStr">
        <is>
          <t xml:space="preserve">    Net assets</t>
        </is>
      </c>
      <c r="B17" s="11" t="n">
        <v>120478</v>
      </c>
      <c r="C17" s="11" t="n">
        <v>116969</v>
      </c>
      <c r="D17" s="11" t="n">
        <v>111504</v>
      </c>
      <c r="E17" s="11" t="n">
        <v>151123</v>
      </c>
    </row>
    <row r="19">
      <c r="A19" s="6" t="inlineStr">
        <is>
          <t>Headline ratios</t>
        </is>
      </c>
      <c r="B19" s="7" t="n"/>
      <c r="C19" s="7" t="n"/>
      <c r="D19" s="7" t="n"/>
      <c r="E19" s="7" t="n"/>
    </row>
    <row r="20">
      <c r="A20" s="8" t="inlineStr">
        <is>
          <t xml:space="preserve">    Operating margin</t>
        </is>
      </c>
      <c r="B20" s="12" t="n">
        <v>-0.06775256358049828</v>
      </c>
      <c r="C20" s="12" t="n">
        <v>0.001092052767989749</v>
      </c>
      <c r="D20" s="12" t="n">
        <v>-0.03851629454217411</v>
      </c>
      <c r="E20" s="12" t="n">
        <v>0.219103764454743</v>
      </c>
    </row>
    <row r="21">
      <c r="A21" s="8" t="inlineStr">
        <is>
          <t xml:space="preserve">    Revenue growth (YoY)</t>
        </is>
      </c>
      <c r="B21" s="12" t="n"/>
      <c r="C21" s="12" t="n"/>
      <c r="D21" s="12" t="n"/>
      <c r="E21" s="12" t="n"/>
    </row>
    <row r="22">
      <c r="A22" s="8" t="inlineStr">
        <is>
          <t xml:space="preserve">    Return on assets</t>
        </is>
      </c>
      <c r="B22" s="12" t="n">
        <v>-0.07595577615830276</v>
      </c>
      <c r="C22" s="12" t="n">
        <v>0.001282391060879378</v>
      </c>
      <c r="D22" s="12" t="n">
        <v>-0.04901169464772565</v>
      </c>
      <c r="E22" s="12" t="n">
        <v>0.2621639326905898</v>
      </c>
    </row>
    <row r="24" ht="42" customHeight="1">
      <c r="A24" s="3" t="inlineStr">
        <is>
          <t>Figures as reported in source filings (full provenance on the Sources &amp; audit tab). Parentheses denote negatives; ratios are computed upstream in financials_annual.</t>
        </is>
      </c>
    </row>
  </sheetData>
  <mergeCells count="6">
    <mergeCell ref="A24:E24"/>
    <mergeCell ref="A2:E2"/>
    <mergeCell ref="A1:E1"/>
    <mergeCell ref="A5:E5"/>
    <mergeCell ref="A6:E6"/>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Green River Mutual Water Company</t>
        </is>
      </c>
    </row>
    <row r="2">
      <c r="A2" s="2" t="inlineStr">
        <is>
          <t>Financial Statements - income statement, balance sheet, cash flow, member income test (USD)</t>
        </is>
      </c>
    </row>
    <row r="3">
      <c r="A3" s="2" t="inlineStr">
        <is>
          <t>Entity ID: cawc_0089   |   Fiscal year ends December 31.</t>
        </is>
      </c>
    </row>
    <row r="5">
      <c r="A5" s="6" t="inlineStr">
        <is>
          <t>INCOME STATEMENT - as reported (USD)</t>
        </is>
      </c>
      <c r="B5" s="7" t="n"/>
      <c r="C5" s="7" t="n"/>
      <c r="D5" s="7" t="n"/>
      <c r="E5" s="7" t="n"/>
    </row>
    <row r="6">
      <c r="A6" s="4" t="inlineStr">
        <is>
          <t>Line item</t>
        </is>
      </c>
      <c r="B6" s="5" t="inlineStr">
        <is>
          <t>FY2020</t>
        </is>
      </c>
      <c r="C6" s="5" t="inlineStr">
        <is>
          <t>FY2021</t>
        </is>
      </c>
      <c r="D6" s="5" t="inlineStr">
        <is>
          <t>FY2022</t>
        </is>
      </c>
      <c r="E6" s="5" t="inlineStr">
        <is>
          <t>FY2023</t>
        </is>
      </c>
    </row>
    <row r="7">
      <c r="A7" s="6" t="inlineStr">
        <is>
          <t>Revenue</t>
        </is>
      </c>
      <c r="B7" s="7" t="n"/>
      <c r="C7" s="7" t="n"/>
      <c r="D7" s="7" t="n"/>
      <c r="E7" s="7" t="n"/>
    </row>
    <row r="8">
      <c r="A8" s="8" t="inlineStr">
        <is>
          <t xml:space="preserve">    Program service revenue</t>
        </is>
      </c>
      <c r="B8" s="9" t="n"/>
      <c r="C8" s="9" t="n"/>
      <c r="D8" s="9" t="n"/>
      <c r="E8" s="9" t="n"/>
    </row>
    <row r="9">
      <c r="A9" s="8" t="inlineStr">
        <is>
          <t xml:space="preserve">    Investment income</t>
        </is>
      </c>
      <c r="B9" s="9" t="n"/>
      <c r="C9" s="9" t="n"/>
      <c r="D9" s="9" t="n"/>
      <c r="E9" s="9" t="n"/>
    </row>
    <row r="10">
      <c r="A10" s="8" t="inlineStr">
        <is>
          <t xml:space="preserve">    Net rental income</t>
        </is>
      </c>
      <c r="B10" s="9" t="n"/>
      <c r="C10" s="9" t="n"/>
      <c r="D10" s="9" t="n"/>
      <c r="E10" s="9" t="n"/>
    </row>
    <row r="11">
      <c r="A11" s="8" t="inlineStr">
        <is>
          <t xml:space="preserve">    Net gain/(loss) on investment sales</t>
        </is>
      </c>
      <c r="B11" s="9" t="n"/>
      <c r="C11" s="9" t="n"/>
      <c r="D11" s="9" t="n"/>
      <c r="E11" s="9" t="n"/>
    </row>
    <row r="12">
      <c r="A12" s="8" t="inlineStr">
        <is>
          <t xml:space="preserve">    Other revenue</t>
        </is>
      </c>
      <c r="B12" s="9" t="n"/>
      <c r="C12" s="9" t="n"/>
      <c r="D12" s="9" t="n"/>
      <c r="E12" s="9" t="n"/>
    </row>
    <row r="13">
      <c r="A13" s="8" t="inlineStr">
        <is>
          <t xml:space="preserve">    Contributions &amp; grants</t>
        </is>
      </c>
      <c r="B13" s="9" t="n"/>
      <c r="C13" s="9" t="n"/>
      <c r="D13" s="9" t="n"/>
      <c r="E13" s="9" t="n"/>
    </row>
    <row r="14">
      <c r="A14" s="10" t="inlineStr">
        <is>
          <t>Total revenue</t>
        </is>
      </c>
      <c r="B14" s="11" t="n"/>
      <c r="C14" s="11" t="n"/>
      <c r="D14" s="11" t="n"/>
      <c r="E14" s="11" t="n"/>
    </row>
    <row r="16">
      <c r="A16" s="6" t="inlineStr">
        <is>
          <t>Expenses</t>
        </is>
      </c>
      <c r="B16" s="7" t="n"/>
      <c r="C16" s="7" t="n"/>
      <c r="D16" s="7" t="n"/>
      <c r="E16" s="7" t="n"/>
    </row>
    <row r="17">
      <c r="A17" s="8" t="inlineStr">
        <is>
          <t xml:space="preserve">    Depreciation</t>
        </is>
      </c>
      <c r="B17" s="9" t="n"/>
      <c r="C17" s="9" t="n"/>
      <c r="D17" s="9" t="n"/>
      <c r="E17" s="9" t="n"/>
    </row>
    <row r="18">
      <c r="A18" s="8" t="inlineStr">
        <is>
          <t xml:space="preserve">    Interest expense</t>
        </is>
      </c>
      <c r="B18" s="9" t="n"/>
      <c r="C18" s="9" t="n"/>
      <c r="D18" s="9" t="n"/>
      <c r="E18" s="9" t="n"/>
    </row>
    <row r="19">
      <c r="A19" s="10" t="inlineStr">
        <is>
          <t>Total expenses</t>
        </is>
      </c>
      <c r="B19" s="11" t="n">
        <v>144216</v>
      </c>
      <c r="C19" s="11" t="n">
        <v>137206</v>
      </c>
      <c r="D19" s="11" t="n">
        <v>147353</v>
      </c>
      <c r="E19" s="11" t="n">
        <v>141204</v>
      </c>
    </row>
    <row r="21">
      <c r="A21" s="10" t="inlineStr">
        <is>
          <t>Net income</t>
        </is>
      </c>
      <c r="B21" s="11" t="n">
        <v>-9151</v>
      </c>
      <c r="C21" s="11" t="n">
        <v>150</v>
      </c>
      <c r="D21" s="11" t="n">
        <v>-5465</v>
      </c>
      <c r="E21" s="11" t="n">
        <v>39619</v>
      </c>
    </row>
    <row r="24">
      <c r="A24" s="6" t="inlineStr">
        <is>
          <t>BALANCE SHEET - as reported (USD, end of year)</t>
        </is>
      </c>
      <c r="B24" s="7" t="n"/>
      <c r="C24" s="7" t="n"/>
      <c r="D24" s="7" t="n"/>
      <c r="E24" s="7" t="n"/>
    </row>
    <row r="25">
      <c r="A25" s="4" t="inlineStr">
        <is>
          <t>Line item</t>
        </is>
      </c>
      <c r="B25" s="5" t="inlineStr">
        <is>
          <t>FY2020</t>
        </is>
      </c>
      <c r="C25" s="5" t="inlineStr">
        <is>
          <t>FY2021</t>
        </is>
      </c>
      <c r="D25" s="5" t="inlineStr">
        <is>
          <t>FY2022</t>
        </is>
      </c>
      <c r="E25" s="5" t="inlineStr">
        <is>
          <t>FY2023</t>
        </is>
      </c>
    </row>
    <row r="26">
      <c r="A26" s="6" t="inlineStr">
        <is>
          <t>Assets</t>
        </is>
      </c>
      <c r="B26" s="7" t="n"/>
      <c r="C26" s="7" t="n"/>
      <c r="D26" s="7" t="n"/>
      <c r="E26" s="7" t="n"/>
    </row>
    <row r="27">
      <c r="A27" s="8" t="inlineStr">
        <is>
          <t xml:space="preserve">    Cash</t>
        </is>
      </c>
      <c r="B27" s="9" t="n">
        <v>80597</v>
      </c>
      <c r="C27" s="9" t="n">
        <v>84343</v>
      </c>
      <c r="D27" s="9" t="n">
        <v>85412</v>
      </c>
      <c r="E27" s="9" t="n">
        <v>131319</v>
      </c>
    </row>
    <row r="28">
      <c r="A28" s="8" t="inlineStr">
        <is>
          <t xml:space="preserve">    Savings &amp; temporary investments</t>
        </is>
      </c>
      <c r="B28" s="9" t="n"/>
      <c r="C28" s="9" t="n"/>
      <c r="D28" s="9" t="n"/>
      <c r="E28" s="9" t="n"/>
    </row>
    <row r="29">
      <c r="A29" s="8" t="inlineStr">
        <is>
          <t xml:space="preserve">    Accounts receivable</t>
        </is>
      </c>
      <c r="B29" s="9" t="n"/>
      <c r="C29" s="9" t="n"/>
      <c r="D29" s="9" t="n"/>
      <c r="E29" s="9" t="n"/>
    </row>
    <row r="30">
      <c r="A30" s="8" t="inlineStr">
        <is>
          <t xml:space="preserve">    Inventories</t>
        </is>
      </c>
      <c r="B30" s="9" t="n"/>
      <c r="C30" s="9" t="n"/>
      <c r="D30" s="9" t="n"/>
      <c r="E30" s="9" t="n"/>
    </row>
    <row r="31">
      <c r="A31" s="8" t="inlineStr">
        <is>
          <t xml:space="preserve">    Prepaid expenses</t>
        </is>
      </c>
      <c r="B31" s="9" t="n"/>
      <c r="C31" s="9" t="n"/>
      <c r="D31" s="9" t="n"/>
      <c r="E31" s="9" t="n"/>
    </row>
    <row r="32">
      <c r="A32" s="8" t="inlineStr">
        <is>
          <t xml:space="preserve">    Property, plant &amp; equipment (gross)</t>
        </is>
      </c>
      <c r="B32" s="9" t="n"/>
      <c r="C32" s="9" t="n"/>
      <c r="D32" s="9" t="n"/>
      <c r="E32" s="9" t="n"/>
    </row>
    <row r="33">
      <c r="A33" s="8" t="inlineStr">
        <is>
          <t xml:space="preserve">    Less: accumulated depreciation</t>
        </is>
      </c>
      <c r="B33" s="9" t="n"/>
      <c r="C33" s="9" t="n"/>
      <c r="D33" s="9" t="n"/>
      <c r="E33" s="9" t="n"/>
    </row>
    <row r="34">
      <c r="A34" s="10" t="inlineStr">
        <is>
          <t xml:space="preserve">    Net property, plant &amp; equipment</t>
        </is>
      </c>
      <c r="B34" s="11" t="n"/>
      <c r="C34" s="11" t="n"/>
      <c r="D34" s="11" t="n"/>
      <c r="E34" s="11" t="n"/>
    </row>
    <row r="35">
      <c r="A35" s="10" t="inlineStr">
        <is>
          <t>Total assets</t>
        </is>
      </c>
      <c r="B35" s="11" t="n">
        <v>120478</v>
      </c>
      <c r="C35" s="11" t="n">
        <v>116969</v>
      </c>
      <c r="D35" s="11" t="n">
        <v>111504</v>
      </c>
      <c r="E35" s="11" t="n">
        <v>151123</v>
      </c>
    </row>
    <row r="37">
      <c r="A37" s="6" t="inlineStr">
        <is>
          <t>Liabilities</t>
        </is>
      </c>
      <c r="B37" s="7" t="n"/>
      <c r="C37" s="7" t="n"/>
      <c r="D37" s="7" t="n"/>
      <c r="E37" s="7" t="n"/>
    </row>
    <row r="38">
      <c r="A38" s="8" t="inlineStr">
        <is>
          <t xml:space="preserve">    Accounts payable</t>
        </is>
      </c>
      <c r="B38" s="9" t="n"/>
      <c r="C38" s="9" t="n"/>
      <c r="D38" s="9" t="n"/>
      <c r="E38" s="9" t="n"/>
    </row>
    <row r="39">
      <c r="A39" s="8" t="inlineStr">
        <is>
          <t xml:space="preserve">    Mortgages &amp; notes payable</t>
        </is>
      </c>
      <c r="B39" s="9" t="n"/>
      <c r="C39" s="9" t="n"/>
      <c r="D39" s="9" t="n"/>
      <c r="E39" s="9" t="n"/>
    </row>
    <row r="40">
      <c r="A40" s="10" t="inlineStr">
        <is>
          <t>Total liabilities</t>
        </is>
      </c>
      <c r="B40" s="11" t="n">
        <v>0</v>
      </c>
      <c r="C40" s="11" t="n">
        <v>0</v>
      </c>
      <c r="D40" s="11" t="n"/>
      <c r="E40" s="11" t="n"/>
    </row>
    <row r="42">
      <c r="A42" s="6" t="inlineStr">
        <is>
          <t>Net Assets / Equity</t>
        </is>
      </c>
      <c r="B42" s="7" t="n"/>
      <c r="C42" s="7" t="n"/>
      <c r="D42" s="7" t="n"/>
      <c r="E42" s="7" t="n"/>
    </row>
    <row r="43">
      <c r="A43" s="8" t="inlineStr">
        <is>
          <t xml:space="preserve">    Capital stock</t>
        </is>
      </c>
      <c r="B43" s="9" t="n"/>
      <c r="C43" s="9" t="n"/>
      <c r="D43" s="9" t="n"/>
      <c r="E43" s="9" t="n"/>
    </row>
    <row r="44">
      <c r="A44" s="8" t="inlineStr">
        <is>
          <t xml:space="preserve">    Paid-in capital</t>
        </is>
      </c>
      <c r="B44" s="9" t="n"/>
      <c r="C44" s="9" t="n"/>
      <c r="D44" s="9" t="n"/>
      <c r="E44" s="9" t="n"/>
    </row>
    <row r="45">
      <c r="A45" s="8" t="inlineStr">
        <is>
          <t xml:space="preserve">    Retained earnings</t>
        </is>
      </c>
      <c r="B45" s="9" t="n"/>
      <c r="C45" s="9" t="n"/>
      <c r="D45" s="9" t="n"/>
      <c r="E45" s="9" t="n"/>
    </row>
    <row r="46">
      <c r="A46" s="10" t="inlineStr">
        <is>
          <t>Net assets</t>
        </is>
      </c>
      <c r="B46" s="11" t="n">
        <v>120478</v>
      </c>
      <c r="C46" s="11" t="n">
        <v>116969</v>
      </c>
      <c r="D46" s="11" t="n">
        <v>111504</v>
      </c>
      <c r="E46" s="11" t="n">
        <v>151123</v>
      </c>
    </row>
    <row r="49">
      <c r="A49" s="6" t="inlineStr">
        <is>
          <t>CASH FLOW - derived proxy (USD)</t>
        </is>
      </c>
      <c r="B49" s="7" t="n"/>
      <c r="C49" s="7" t="n"/>
      <c r="D49" s="7" t="n"/>
      <c r="E49" s="7" t="n"/>
    </row>
    <row r="50">
      <c r="A50" s="4" t="inlineStr">
        <is>
          <t>Proxy line</t>
        </is>
      </c>
      <c r="B50" s="5" t="inlineStr">
        <is>
          <t>FY2020</t>
        </is>
      </c>
      <c r="C50" s="5" t="inlineStr">
        <is>
          <t>FY2021</t>
        </is>
      </c>
      <c r="D50" s="5" t="inlineStr">
        <is>
          <t>FY2022</t>
        </is>
      </c>
      <c r="E50" s="5" t="inlineStr">
        <is>
          <t>FY2023</t>
        </is>
      </c>
    </row>
    <row r="51">
      <c r="A51" s="6" t="inlineStr">
        <is>
          <t>Operating</t>
        </is>
      </c>
      <c r="B51" s="7" t="n"/>
      <c r="C51" s="7" t="n"/>
      <c r="D51" s="7" t="n"/>
      <c r="E51" s="7" t="n"/>
    </row>
    <row r="52">
      <c r="A52" s="8" t="inlineStr">
        <is>
          <t xml:space="preserve">    Net income</t>
        </is>
      </c>
      <c r="B52" s="9" t="n">
        <v>-9151</v>
      </c>
      <c r="C52" s="9" t="n">
        <v>150</v>
      </c>
      <c r="D52" s="9" t="n">
        <v>-5465</v>
      </c>
      <c r="E52" s="9" t="n">
        <v>39619</v>
      </c>
    </row>
    <row r="53">
      <c r="A53" s="8" t="inlineStr">
        <is>
          <t xml:space="preserve">    + Depreciation (reported)</t>
        </is>
      </c>
      <c r="B53" s="9" t="n"/>
      <c r="C53" s="9" t="n"/>
      <c r="D53" s="9" t="n"/>
      <c r="E53" s="9" t="n"/>
    </row>
    <row r="54">
      <c r="A54" s="8" t="inlineStr">
        <is>
          <t xml:space="preserve">    − Δ Accounts receivable</t>
        </is>
      </c>
      <c r="B54" s="9" t="n"/>
      <c r="C54" s="9" t="n"/>
      <c r="D54" s="9" t="n"/>
      <c r="E54" s="9" t="n"/>
    </row>
    <row r="55">
      <c r="A55" s="8" t="inlineStr">
        <is>
          <t xml:space="preserve">    − Δ Inventories</t>
        </is>
      </c>
      <c r="B55" s="9" t="n"/>
      <c r="C55" s="9" t="n"/>
      <c r="D55" s="9" t="n"/>
      <c r="E55" s="9" t="n"/>
    </row>
    <row r="56">
      <c r="A56" s="8" t="inlineStr">
        <is>
          <t xml:space="preserve">    − Δ Prepaid expenses</t>
        </is>
      </c>
      <c r="B56" s="9" t="n"/>
      <c r="C56" s="9" t="n"/>
      <c r="D56" s="9" t="n"/>
      <c r="E56" s="9" t="n"/>
    </row>
    <row r="57">
      <c r="A57" s="8" t="inlineStr">
        <is>
          <t xml:space="preserve">    + Δ Accounts payable</t>
        </is>
      </c>
      <c r="B57" s="9" t="n"/>
      <c r="C57" s="9" t="n"/>
      <c r="D57" s="9" t="n"/>
      <c r="E57" s="9" t="n"/>
    </row>
    <row r="58">
      <c r="A58" s="10" t="inlineStr">
        <is>
          <t xml:space="preserve">    Operating cash flow proxy</t>
        </is>
      </c>
      <c r="B58" s="11" t="n"/>
      <c r="C58" s="11" t="n">
        <v>150</v>
      </c>
      <c r="D58" s="11" t="n">
        <v>-5465</v>
      </c>
      <c r="E58" s="11" t="n">
        <v>39619</v>
      </c>
    </row>
    <row r="60">
      <c r="A60" s="6" t="inlineStr">
        <is>
          <t>Investing</t>
        </is>
      </c>
      <c r="B60" s="7" t="n"/>
      <c r="C60" s="7" t="n"/>
      <c r="D60" s="7" t="n"/>
      <c r="E60" s="7" t="n"/>
    </row>
    <row r="61">
      <c r="A61" s="8" t="inlineStr">
        <is>
          <t xml:space="preserve">    − Δ PP&amp;E gross (capex proxy)</t>
        </is>
      </c>
      <c r="B61" s="9" t="n"/>
      <c r="C61" s="9" t="n"/>
      <c r="D61" s="9" t="n"/>
      <c r="E61" s="9" t="n"/>
    </row>
    <row r="63">
      <c r="A63" s="6" t="inlineStr">
        <is>
          <t>Financing</t>
        </is>
      </c>
      <c r="B63" s="7" t="n"/>
      <c r="C63" s="7" t="n"/>
      <c r="D63" s="7" t="n"/>
      <c r="E63" s="7" t="n"/>
    </row>
    <row r="64">
      <c r="A64" s="8" t="inlineStr">
        <is>
          <t xml:space="preserve">    Δ Mortgages &amp; notes payable</t>
        </is>
      </c>
      <c r="B64" s="9" t="n"/>
      <c r="C64" s="9" t="n"/>
      <c r="D64" s="9" t="n"/>
      <c r="E64" s="9" t="n"/>
    </row>
    <row r="66">
      <c r="A66" s="6" t="inlineStr">
        <is>
          <t>Reconciliation</t>
        </is>
      </c>
      <c r="B66" s="7" t="n"/>
      <c r="C66" s="7" t="n"/>
      <c r="D66" s="7" t="n"/>
      <c r="E66" s="7" t="n"/>
    </row>
    <row r="67">
      <c r="A67" s="10" t="inlineStr">
        <is>
          <t xml:space="preserve">    Δ Cash + temp. investments (actual)</t>
        </is>
      </c>
      <c r="B67" s="11" t="n"/>
      <c r="C67" s="11" t="n">
        <v>3746</v>
      </c>
      <c r="D67" s="11" t="n">
        <v>1069</v>
      </c>
      <c r="E67" s="11" t="n">
        <v>45907</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2:E2"/>
    <mergeCell ref="A69:E69"/>
    <mergeCell ref="A1:E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s>
  <sheetData>
    <row r="1">
      <c r="A1" s="1" t="inlineStr">
        <is>
          <t>Green River Mutual Water Company</t>
        </is>
      </c>
    </row>
    <row r="2">
      <c r="A2" s="2" t="inlineStr">
        <is>
          <t>Balance Sheet - as reported (USD, end of year)</t>
        </is>
      </c>
    </row>
    <row r="3">
      <c r="A3" s="2" t="inlineStr">
        <is>
          <t>Entity ID: cawc_0089   |   Fiscal year ends December 31.</t>
        </is>
      </c>
    </row>
    <row r="5">
      <c r="A5" s="4" t="inlineStr">
        <is>
          <t>Line item</t>
        </is>
      </c>
      <c r="B5" s="5" t="inlineStr">
        <is>
          <t>FY2020</t>
        </is>
      </c>
      <c r="C5" s="5" t="inlineStr">
        <is>
          <t>FY2021</t>
        </is>
      </c>
      <c r="D5" s="5" t="inlineStr">
        <is>
          <t>FY2022</t>
        </is>
      </c>
      <c r="E5" s="5" t="inlineStr">
        <is>
          <t>FY2023</t>
        </is>
      </c>
    </row>
    <row r="6">
      <c r="A6" s="6" t="inlineStr">
        <is>
          <t>Assets</t>
        </is>
      </c>
      <c r="B6" s="7" t="n"/>
      <c r="C6" s="7" t="n"/>
      <c r="D6" s="7" t="n"/>
      <c r="E6" s="7" t="n"/>
    </row>
    <row r="7">
      <c r="A7" s="8" t="inlineStr">
        <is>
          <t xml:space="preserve">    Cash</t>
        </is>
      </c>
      <c r="B7" s="9" t="n">
        <v>80597</v>
      </c>
      <c r="C7" s="9" t="n">
        <v>84343</v>
      </c>
      <c r="D7" s="9" t="n">
        <v>85412</v>
      </c>
      <c r="E7" s="9" t="n">
        <v>131319</v>
      </c>
    </row>
    <row r="8">
      <c r="A8" s="8" t="inlineStr">
        <is>
          <t xml:space="preserve">    Savings &amp; temporary investments</t>
        </is>
      </c>
      <c r="B8" s="9" t="n"/>
      <c r="C8" s="9" t="n"/>
      <c r="D8" s="9" t="n"/>
      <c r="E8" s="9" t="n"/>
    </row>
    <row r="9">
      <c r="A9" s="8" t="inlineStr">
        <is>
          <t xml:space="preserve">    Accounts receivable</t>
        </is>
      </c>
      <c r="B9" s="9" t="n"/>
      <c r="C9" s="9" t="n"/>
      <c r="D9" s="9" t="n"/>
      <c r="E9" s="9" t="n"/>
    </row>
    <row r="10">
      <c r="A10" s="8" t="inlineStr">
        <is>
          <t xml:space="preserve">    Inventories</t>
        </is>
      </c>
      <c r="B10" s="9" t="n"/>
      <c r="C10" s="9" t="n"/>
      <c r="D10" s="9" t="n"/>
      <c r="E10" s="9" t="n"/>
    </row>
    <row r="11">
      <c r="A11" s="8" t="inlineStr">
        <is>
          <t xml:space="preserve">    Prepaid expenses</t>
        </is>
      </c>
      <c r="B11" s="9" t="n"/>
      <c r="C11" s="9" t="n"/>
      <c r="D11" s="9" t="n"/>
      <c r="E11" s="9" t="n"/>
    </row>
    <row r="12">
      <c r="A12" s="8" t="inlineStr">
        <is>
          <t xml:space="preserve">    Property, plant &amp; equipment (gross)</t>
        </is>
      </c>
      <c r="B12" s="9" t="n"/>
      <c r="C12" s="9" t="n"/>
      <c r="D12" s="9" t="n"/>
      <c r="E12" s="9" t="n"/>
    </row>
    <row r="13">
      <c r="A13" s="8" t="inlineStr">
        <is>
          <t xml:space="preserve">    Less: accumulated depreciation</t>
        </is>
      </c>
      <c r="B13" s="9" t="n"/>
      <c r="C13" s="9" t="n"/>
      <c r="D13" s="9" t="n"/>
      <c r="E13" s="9" t="n"/>
    </row>
    <row r="14">
      <c r="A14" s="10" t="inlineStr">
        <is>
          <t xml:space="preserve">    Net property, plant &amp; equipment</t>
        </is>
      </c>
      <c r="B14" s="11" t="n"/>
      <c r="C14" s="11" t="n"/>
      <c r="D14" s="11" t="n"/>
      <c r="E14" s="11" t="n"/>
    </row>
    <row r="15">
      <c r="A15" s="10" t="inlineStr">
        <is>
          <t>Total assets</t>
        </is>
      </c>
      <c r="B15" s="11" t="n">
        <v>120478</v>
      </c>
      <c r="C15" s="11" t="n">
        <v>116969</v>
      </c>
      <c r="D15" s="11" t="n">
        <v>111504</v>
      </c>
      <c r="E15" s="11" t="n">
        <v>151123</v>
      </c>
    </row>
    <row r="17">
      <c r="A17" s="6" t="inlineStr">
        <is>
          <t>Liabilities</t>
        </is>
      </c>
      <c r="B17" s="7" t="n"/>
      <c r="C17" s="7" t="n"/>
      <c r="D17" s="7" t="n"/>
      <c r="E17" s="7" t="n"/>
    </row>
    <row r="18">
      <c r="A18" s="8" t="inlineStr">
        <is>
          <t xml:space="preserve">    Accounts payable</t>
        </is>
      </c>
      <c r="B18" s="9" t="n"/>
      <c r="C18" s="9" t="n"/>
      <c r="D18" s="9" t="n"/>
      <c r="E18" s="9" t="n"/>
    </row>
    <row r="19">
      <c r="A19" s="8" t="inlineStr">
        <is>
          <t xml:space="preserve">    Mortgages &amp; notes payable</t>
        </is>
      </c>
      <c r="B19" s="9" t="n"/>
      <c r="C19" s="9" t="n"/>
      <c r="D19" s="9" t="n"/>
      <c r="E19" s="9" t="n"/>
    </row>
    <row r="20">
      <c r="A20" s="10" t="inlineStr">
        <is>
          <t>Total liabilities</t>
        </is>
      </c>
      <c r="B20" s="11" t="n">
        <v>0</v>
      </c>
      <c r="C20" s="11" t="n">
        <v>0</v>
      </c>
      <c r="D20" s="11" t="n"/>
      <c r="E20" s="11" t="n"/>
    </row>
    <row r="22">
      <c r="A22" s="6" t="inlineStr">
        <is>
          <t>Net Assets / Equity</t>
        </is>
      </c>
      <c r="B22" s="7" t="n"/>
      <c r="C22" s="7" t="n"/>
      <c r="D22" s="7" t="n"/>
      <c r="E22" s="7" t="n"/>
    </row>
    <row r="23">
      <c r="A23" s="8" t="inlineStr">
        <is>
          <t xml:space="preserve">    Capital stock</t>
        </is>
      </c>
      <c r="B23" s="9" t="n"/>
      <c r="C23" s="9" t="n"/>
      <c r="D23" s="9" t="n"/>
      <c r="E23" s="9" t="n"/>
    </row>
    <row r="24">
      <c r="A24" s="8" t="inlineStr">
        <is>
          <t xml:space="preserve">    Paid-in capital</t>
        </is>
      </c>
      <c r="B24" s="9" t="n"/>
      <c r="C24" s="9" t="n"/>
      <c r="D24" s="9" t="n"/>
      <c r="E24" s="9" t="n"/>
    </row>
    <row r="25">
      <c r="A25" s="8" t="inlineStr">
        <is>
          <t xml:space="preserve">    Retained earnings</t>
        </is>
      </c>
      <c r="B25" s="9" t="n"/>
      <c r="C25" s="9" t="n"/>
      <c r="D25" s="9" t="n"/>
      <c r="E25" s="9" t="n"/>
    </row>
    <row r="26">
      <c r="A26" s="10" t="inlineStr">
        <is>
          <t>Net assets</t>
        </is>
      </c>
      <c r="B26" s="11" t="n">
        <v>120478</v>
      </c>
      <c r="C26" s="11" t="n">
        <v>116969</v>
      </c>
      <c r="D26" s="11" t="n">
        <v>111504</v>
      </c>
      <c r="E26" s="11" t="n">
        <v>151123</v>
      </c>
    </row>
    <row r="28">
      <c r="A28" s="8" t="inlineStr">
        <is>
          <t>Balance check (assets − liab. − net assets)</t>
        </is>
      </c>
      <c r="B28" s="9" t="n">
        <v>0</v>
      </c>
      <c r="C28" s="9" t="n">
        <v>0</v>
      </c>
      <c r="D28" s="9" t="n">
        <v>0</v>
      </c>
      <c r="E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2:E2"/>
    <mergeCell ref="A1:E1"/>
    <mergeCell ref="A30:E30"/>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Green River Mutual Water Company</t>
        </is>
      </c>
    </row>
    <row r="2">
      <c r="A2" s="2" t="inlineStr">
        <is>
          <t>Form 990-EZ - Part I (revenue, expenses, net assets) and Part II (balance sheet), as filed (USD)</t>
        </is>
      </c>
    </row>
    <row r="3">
      <c r="A3" s="2" t="inlineStr">
        <is>
          <t>Entity ID: cawc_0089   |   Fiscal year ends December 31.</t>
        </is>
      </c>
    </row>
    <row r="5">
      <c r="A5" s="4" t="inlineStr">
        <is>
          <t>Form 990-EZ line</t>
        </is>
      </c>
      <c r="B5" s="5" t="inlineStr">
        <is>
          <t>FY2020</t>
        </is>
      </c>
      <c r="C5" s="5" t="inlineStr">
        <is>
          <t>FY2021</t>
        </is>
      </c>
      <c r="D5" s="5" t="inlineStr">
        <is>
          <t>FY2022</t>
        </is>
      </c>
      <c r="E5" s="5" t="inlineStr">
        <is>
          <t>FY2023</t>
        </is>
      </c>
    </row>
    <row r="6">
      <c r="A6" s="6" t="inlineStr">
        <is>
          <t>Revenue (Part I)</t>
        </is>
      </c>
      <c r="B6" s="7" t="n"/>
      <c r="C6" s="7" t="n"/>
      <c r="D6" s="7" t="n"/>
      <c r="E6" s="7" t="n"/>
    </row>
    <row r="7">
      <c r="A7" s="8" t="inlineStr">
        <is>
          <t xml:space="preserve">    1. Contributions, gifts, grants</t>
        </is>
      </c>
      <c r="B7" s="9" t="n">
        <v>134910</v>
      </c>
      <c r="C7" s="9" t="n">
        <v>133699</v>
      </c>
      <c r="D7" s="14" t="inlineStr">
        <is>
          <t>not reported</t>
        </is>
      </c>
      <c r="E7" s="14" t="inlineStr">
        <is>
          <t>not reported</t>
        </is>
      </c>
    </row>
    <row r="8">
      <c r="A8" s="8" t="inlineStr">
        <is>
          <t xml:space="preserve">    3. Membership dues and assessments</t>
        </is>
      </c>
      <c r="B8" s="14" t="inlineStr">
        <is>
          <t>not reported</t>
        </is>
      </c>
      <c r="C8" s="14" t="inlineStr">
        <is>
          <t>not reported</t>
        </is>
      </c>
      <c r="D8" s="9" t="n">
        <v>141875</v>
      </c>
      <c r="E8" s="9" t="n">
        <v>180799</v>
      </c>
    </row>
    <row r="9">
      <c r="A9" s="8" t="inlineStr">
        <is>
          <t xml:space="preserve">    4. Investment income</t>
        </is>
      </c>
      <c r="B9" s="9" t="n">
        <v>155</v>
      </c>
      <c r="C9" s="9" t="n">
        <v>74</v>
      </c>
      <c r="D9" s="9" t="n">
        <v>13</v>
      </c>
      <c r="E9" s="9" t="n">
        <v>24</v>
      </c>
    </row>
    <row r="10">
      <c r="A10" s="8" t="inlineStr">
        <is>
          <t xml:space="preserve">    8. Other revenue</t>
        </is>
      </c>
      <c r="B10" s="14" t="inlineStr">
        <is>
          <t>not reported</t>
        </is>
      </c>
      <c r="C10" s="9" t="n">
        <v>3583</v>
      </c>
      <c r="D10" s="14" t="inlineStr">
        <is>
          <t>not reported</t>
        </is>
      </c>
      <c r="E10" s="14" t="inlineStr">
        <is>
          <t>not reported</t>
        </is>
      </c>
    </row>
    <row r="11">
      <c r="A11" s="10" t="inlineStr">
        <is>
          <t>9. Total revenue</t>
        </is>
      </c>
      <c r="B11" s="11" t="n">
        <v>135065</v>
      </c>
      <c r="C11" s="11" t="n">
        <v>137356</v>
      </c>
      <c r="D11" s="11" t="n">
        <v>141888</v>
      </c>
      <c r="E11" s="11" t="n">
        <v>180823</v>
      </c>
    </row>
    <row r="13">
      <c r="A13" s="6" t="inlineStr">
        <is>
          <t>Expenses (Part I)</t>
        </is>
      </c>
      <c r="B13" s="7" t="n"/>
      <c r="C13" s="7" t="n"/>
      <c r="D13" s="7" t="n"/>
      <c r="E13" s="7" t="n"/>
    </row>
    <row r="14">
      <c r="A14" s="8" t="inlineStr">
        <is>
          <t xml:space="preserve">    13. Fees for services (independent contractors)</t>
        </is>
      </c>
      <c r="B14" s="9" t="n">
        <v>30288</v>
      </c>
      <c r="C14" s="9" t="n">
        <v>24422</v>
      </c>
      <c r="D14" s="9" t="n">
        <v>25602</v>
      </c>
      <c r="E14" s="9" t="n">
        <v>9890</v>
      </c>
    </row>
    <row r="15">
      <c r="A15" s="8" t="inlineStr">
        <is>
          <t xml:space="preserve">    14. Occupancy, rent, utilities, maintenance</t>
        </is>
      </c>
      <c r="B15" s="9" t="n">
        <v>47623</v>
      </c>
      <c r="C15" s="9" t="n">
        <v>77006</v>
      </c>
      <c r="D15" s="14" t="inlineStr">
        <is>
          <t>not reported</t>
        </is>
      </c>
      <c r="E15" s="14" t="inlineStr">
        <is>
          <t>not reported</t>
        </is>
      </c>
    </row>
    <row r="16">
      <c r="A16" s="8" t="inlineStr">
        <is>
          <t xml:space="preserve">    15. Printing, publications, postage</t>
        </is>
      </c>
      <c r="B16" s="14" t="inlineStr">
        <is>
          <t>not reported</t>
        </is>
      </c>
      <c r="C16" s="14" t="inlineStr">
        <is>
          <t>not reported</t>
        </is>
      </c>
      <c r="D16" s="9" t="n">
        <v>1428</v>
      </c>
      <c r="E16" s="9" t="n">
        <v>1197</v>
      </c>
    </row>
    <row r="17">
      <c r="A17" s="8" t="inlineStr">
        <is>
          <t xml:space="preserve">    16. Other expenses</t>
        </is>
      </c>
      <c r="B17" s="9" t="n">
        <v>66305</v>
      </c>
      <c r="C17" s="9" t="n">
        <v>35778</v>
      </c>
      <c r="D17" s="9" t="n">
        <v>120323</v>
      </c>
      <c r="E17" s="9" t="n">
        <v>130117</v>
      </c>
    </row>
    <row r="18">
      <c r="A18" s="10" t="inlineStr">
        <is>
          <t>17. Total expenses</t>
        </is>
      </c>
      <c r="B18" s="11">
        <f>SUM(B14:B17)</f>
        <v/>
      </c>
      <c r="C18" s="11">
        <f>SUM(C14:C17)</f>
        <v/>
      </c>
      <c r="D18" s="11">
        <f>SUM(D14:D17)</f>
        <v/>
      </c>
      <c r="E18" s="11">
        <f>SUM(E14:E17)</f>
        <v/>
      </c>
    </row>
    <row r="20">
      <c r="A20" s="6" t="inlineStr">
        <is>
          <t>Net-assets reconciliation (Part I)</t>
        </is>
      </c>
      <c r="B20" s="7" t="n"/>
      <c r="C20" s="7" t="n"/>
      <c r="D20" s="7" t="n"/>
      <c r="E20" s="7" t="n"/>
    </row>
    <row r="21">
      <c r="A21" s="8" t="inlineStr">
        <is>
          <t xml:space="preserve">    19. Net assets or fund balances, beginning of year</t>
        </is>
      </c>
      <c r="B21" s="9" t="n">
        <v>129629</v>
      </c>
      <c r="C21" s="9" t="n">
        <v>120478</v>
      </c>
      <c r="D21" s="9" t="n">
        <v>116969</v>
      </c>
      <c r="E21" s="9" t="n">
        <v>111504</v>
      </c>
    </row>
    <row r="22">
      <c r="A22" s="8" t="inlineStr">
        <is>
          <t xml:space="preserve">    18. Excess or (deficit) for the year</t>
        </is>
      </c>
      <c r="B22" s="9" t="n">
        <v>-9151</v>
      </c>
      <c r="C22" s="9" t="n">
        <v>150</v>
      </c>
      <c r="D22" s="9" t="n">
        <v>-5465</v>
      </c>
      <c r="E22" s="9" t="n">
        <v>39619</v>
      </c>
    </row>
    <row r="23">
      <c r="A23" s="10" t="inlineStr">
        <is>
          <t>21. Net assets or fund balances, end of year</t>
        </is>
      </c>
      <c r="B23" s="11">
        <f>SUM(B21,B22)</f>
        <v/>
      </c>
      <c r="C23" s="11">
        <f>SUM(C21,C22)</f>
        <v/>
      </c>
      <c r="D23" s="11">
        <f>SUM(D21,D22)</f>
        <v/>
      </c>
      <c r="E23" s="11">
        <f>SUM(E21,E22)</f>
        <v/>
      </c>
    </row>
    <row r="25">
      <c r="A25" s="6" t="inlineStr">
        <is>
          <t>Balance sheet (Part II, end of year - column B)</t>
        </is>
      </c>
      <c r="B25" s="7" t="n"/>
      <c r="C25" s="7" t="n"/>
      <c r="D25" s="7" t="n"/>
      <c r="E25" s="7" t="n"/>
    </row>
    <row r="26">
      <c r="A26" s="8" t="inlineStr">
        <is>
          <t xml:space="preserve">    22. Cash, savings, and investments</t>
        </is>
      </c>
      <c r="B26" s="9" t="n">
        <v>80597</v>
      </c>
      <c r="C26" s="9" t="n">
        <v>84343</v>
      </c>
      <c r="D26" s="9" t="n">
        <v>85412</v>
      </c>
      <c r="E26" s="9" t="n">
        <v>131319</v>
      </c>
    </row>
    <row r="27">
      <c r="A27" s="8" t="inlineStr">
        <is>
          <t xml:space="preserve">    24. Other assets</t>
        </is>
      </c>
      <c r="B27" s="9" t="n">
        <v>39881</v>
      </c>
      <c r="C27" s="9" t="n">
        <v>32626</v>
      </c>
      <c r="D27" s="9" t="n">
        <v>26092</v>
      </c>
      <c r="E27" s="9" t="n">
        <v>19804</v>
      </c>
    </row>
    <row r="28">
      <c r="A28" s="10" t="inlineStr">
        <is>
          <t>25. Total assets</t>
        </is>
      </c>
      <c r="B28" s="11">
        <f>SUM(B26:B27)</f>
        <v/>
      </c>
      <c r="C28" s="11">
        <f>SUM(C26:C27)</f>
        <v/>
      </c>
      <c r="D28" s="11">
        <f>SUM(D26:D27)</f>
        <v/>
      </c>
      <c r="E28" s="11">
        <f>SUM(E26:E27)</f>
        <v/>
      </c>
    </row>
    <row r="29">
      <c r="A29" s="10" t="inlineStr">
        <is>
          <t>26. Total liabilities</t>
        </is>
      </c>
      <c r="B29" s="11" t="n">
        <v>0</v>
      </c>
      <c r="C29" s="11" t="n">
        <v>0</v>
      </c>
      <c r="D29" s="14" t="inlineStr">
        <is>
          <t>not reported</t>
        </is>
      </c>
      <c r="E29" s="14" t="inlineStr">
        <is>
          <t>not reported</t>
        </is>
      </c>
    </row>
    <row r="30">
      <c r="A30" s="10" t="inlineStr">
        <is>
          <t>27. Net assets or fund balances</t>
        </is>
      </c>
      <c r="B30" s="11" t="n">
        <v>120478</v>
      </c>
      <c r="C30" s="11" t="n">
        <v>116969</v>
      </c>
      <c r="D30" s="11" t="n">
        <v>111504</v>
      </c>
      <c r="E30" s="11" t="n">
        <v>151123</v>
      </c>
    </row>
    <row r="32" ht="42" customHeight="1">
      <c r="A32"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2:E2"/>
    <mergeCell ref="A1:E1"/>
    <mergeCell ref="A32:E32"/>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Green River Mutual Water Company</t>
        </is>
      </c>
    </row>
    <row r="2">
      <c r="A2" s="2" t="inlineStr">
        <is>
          <t>Cash Flow Proxies - derived (USD)</t>
        </is>
      </c>
    </row>
    <row r="3">
      <c r="A3" s="2" t="inlineStr">
        <is>
          <t>Entity ID: cawc_0089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row>
    <row r="8">
      <c r="A8" s="6" t="inlineStr">
        <is>
          <t>Operating</t>
        </is>
      </c>
      <c r="B8" s="7" t="n"/>
      <c r="C8" s="7" t="n"/>
      <c r="D8" s="7" t="n"/>
      <c r="E8" s="7" t="n"/>
    </row>
    <row r="9">
      <c r="A9" s="8" t="inlineStr">
        <is>
          <t xml:space="preserve">    Net income</t>
        </is>
      </c>
      <c r="B9" s="9" t="n">
        <v>-9151</v>
      </c>
      <c r="C9" s="9" t="n">
        <v>150</v>
      </c>
      <c r="D9" s="9" t="n">
        <v>-5465</v>
      </c>
      <c r="E9" s="9" t="n">
        <v>39619</v>
      </c>
    </row>
    <row r="10">
      <c r="A10" s="8" t="inlineStr">
        <is>
          <t xml:space="preserve">    + Depreciation (reported)</t>
        </is>
      </c>
      <c r="B10" s="9" t="n"/>
      <c r="C10" s="9" t="n"/>
      <c r="D10" s="9" t="n"/>
      <c r="E10" s="9" t="n"/>
    </row>
    <row r="11">
      <c r="A11" s="8" t="inlineStr">
        <is>
          <t xml:space="preserve">    − Δ Accounts receivable</t>
        </is>
      </c>
      <c r="B11" s="9" t="n"/>
      <c r="C11" s="9" t="n"/>
      <c r="D11" s="9" t="n"/>
      <c r="E11" s="9" t="n"/>
    </row>
    <row r="12">
      <c r="A12" s="8" t="inlineStr">
        <is>
          <t xml:space="preserve">    − Δ Inventories</t>
        </is>
      </c>
      <c r="B12" s="9" t="n"/>
      <c r="C12" s="9" t="n"/>
      <c r="D12" s="9" t="n"/>
      <c r="E12" s="9" t="n"/>
    </row>
    <row r="13">
      <c r="A13" s="8" t="inlineStr">
        <is>
          <t xml:space="preserve">    − Δ Prepaid expenses</t>
        </is>
      </c>
      <c r="B13" s="9" t="n"/>
      <c r="C13" s="9" t="n"/>
      <c r="D13" s="9" t="n"/>
      <c r="E13" s="9" t="n"/>
    </row>
    <row r="14">
      <c r="A14" s="8" t="inlineStr">
        <is>
          <t xml:space="preserve">    + Δ Accounts payable</t>
        </is>
      </c>
      <c r="B14" s="9" t="n"/>
      <c r="C14" s="9" t="n"/>
      <c r="D14" s="9" t="n"/>
      <c r="E14" s="9" t="n"/>
    </row>
    <row r="15">
      <c r="A15" s="10" t="inlineStr">
        <is>
          <t xml:space="preserve">    Operating cash flow proxy</t>
        </is>
      </c>
      <c r="B15" s="11" t="n"/>
      <c r="C15" s="11" t="n">
        <v>150</v>
      </c>
      <c r="D15" s="11" t="n">
        <v>-5465</v>
      </c>
      <c r="E15" s="11" t="n">
        <v>39619</v>
      </c>
    </row>
    <row r="17">
      <c r="A17" s="6" t="inlineStr">
        <is>
          <t>Investing</t>
        </is>
      </c>
      <c r="B17" s="7" t="n"/>
      <c r="C17" s="7" t="n"/>
      <c r="D17" s="7" t="n"/>
      <c r="E17" s="7" t="n"/>
    </row>
    <row r="18">
      <c r="A18" s="8" t="inlineStr">
        <is>
          <t xml:space="preserve">    − Δ PP&amp;E gross (capex proxy)</t>
        </is>
      </c>
      <c r="B18" s="9" t="n"/>
      <c r="C18" s="9" t="n"/>
      <c r="D18" s="9" t="n"/>
      <c r="E18" s="9" t="n"/>
    </row>
    <row r="20">
      <c r="A20" s="6" t="inlineStr">
        <is>
          <t>Financing</t>
        </is>
      </c>
      <c r="B20" s="7" t="n"/>
      <c r="C20" s="7" t="n"/>
      <c r="D20" s="7" t="n"/>
      <c r="E20" s="7" t="n"/>
    </row>
    <row r="21">
      <c r="A21" s="8" t="inlineStr">
        <is>
          <t xml:space="preserve">    Δ Mortgages &amp; notes payable</t>
        </is>
      </c>
      <c r="B21" s="9" t="n"/>
      <c r="C21" s="9" t="n"/>
      <c r="D21" s="9" t="n"/>
      <c r="E21" s="9" t="n"/>
    </row>
    <row r="23">
      <c r="A23" s="6" t="inlineStr">
        <is>
          <t>Reconciliation</t>
        </is>
      </c>
      <c r="B23" s="7" t="n"/>
      <c r="C23" s="7" t="n"/>
      <c r="D23" s="7" t="n"/>
      <c r="E23" s="7" t="n"/>
    </row>
    <row r="24">
      <c r="A24" s="10" t="inlineStr">
        <is>
          <t xml:space="preserve">    Δ Cash + temp. investments (actual)</t>
        </is>
      </c>
      <c r="B24" s="11" t="n"/>
      <c r="C24" s="11" t="n">
        <v>3746</v>
      </c>
      <c r="D24" s="11" t="n">
        <v>1069</v>
      </c>
      <c r="E24" s="11" t="n">
        <v>45907</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6:E26"/>
    <mergeCell ref="A2:E2"/>
    <mergeCell ref="A1:E1"/>
    <mergeCell ref="A5:E5"/>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Green River Mutual Water Company</t>
        </is>
      </c>
    </row>
    <row r="2">
      <c r="A2" s="2" t="inlineStr">
        <is>
          <t>Financial Ratios</t>
        </is>
      </c>
    </row>
    <row r="3">
      <c r="A3" s="2" t="inlineStr">
        <is>
          <t>Entity ID: cawc_0089   |   Fiscal year ends December 31.</t>
        </is>
      </c>
    </row>
    <row r="5">
      <c r="A5" s="4" t="inlineStr">
        <is>
          <t>Ratio</t>
        </is>
      </c>
      <c r="B5" s="5" t="inlineStr">
        <is>
          <t>FY2020</t>
        </is>
      </c>
      <c r="C5" s="5" t="inlineStr">
        <is>
          <t>FY2021</t>
        </is>
      </c>
      <c r="D5" s="5" t="inlineStr">
        <is>
          <t>FY2022</t>
        </is>
      </c>
      <c r="E5" s="5" t="inlineStr">
        <is>
          <t>FY2023</t>
        </is>
      </c>
    </row>
    <row r="6">
      <c r="A6" s="6" t="inlineStr">
        <is>
          <t>Profitability (computed upstream)</t>
        </is>
      </c>
      <c r="B6" s="7" t="n"/>
      <c r="C6" s="7" t="n"/>
      <c r="D6" s="7" t="n"/>
      <c r="E6" s="7" t="n"/>
    </row>
    <row r="7">
      <c r="A7" s="8" t="inlineStr">
        <is>
          <t xml:space="preserve">    Operating margin (NI / revenue)</t>
        </is>
      </c>
      <c r="B7" s="12" t="n">
        <v>-0.06775256358049828</v>
      </c>
      <c r="C7" s="12" t="n">
        <v>0.001092052767989749</v>
      </c>
      <c r="D7" s="12" t="n">
        <v>-0.03851629454217411</v>
      </c>
      <c r="E7" s="12" t="n">
        <v>0.219103764454743</v>
      </c>
    </row>
    <row r="8">
      <c r="A8" s="8" t="inlineStr">
        <is>
          <t xml:space="preserve">    Expense ratio (expenses / revenue)</t>
        </is>
      </c>
      <c r="B8" s="12" t="n">
        <v>1.067752563580498</v>
      </c>
      <c r="C8" s="12" t="n">
        <v>0.9989079472320103</v>
      </c>
      <c r="D8" s="12" t="n">
        <v>1.038516294542174</v>
      </c>
      <c r="E8" s="12" t="n">
        <v>0.780896235545257</v>
      </c>
    </row>
    <row r="9">
      <c r="A9" s="8" t="inlineStr">
        <is>
          <t xml:space="preserve">    Return on assets (NI / assets)</t>
        </is>
      </c>
      <c r="B9" s="12" t="n">
        <v>-0.07595577615830276</v>
      </c>
      <c r="C9" s="12" t="n">
        <v>0.001282391060879378</v>
      </c>
      <c r="D9" s="12" t="n">
        <v>-0.04901169464772565</v>
      </c>
      <c r="E9" s="12" t="n">
        <v>0.2621639326905898</v>
      </c>
    </row>
    <row r="10">
      <c r="A10" s="8" t="inlineStr">
        <is>
          <t xml:space="preserve">    Revenue growth (YoY)</t>
        </is>
      </c>
      <c r="B10" s="12" t="n"/>
      <c r="C10" s="12" t="n"/>
      <c r="D10" s="12" t="n"/>
      <c r="E10" s="12" t="n"/>
    </row>
    <row r="12">
      <c r="A12" s="6" t="inlineStr">
        <is>
          <t>Leverage &amp; solvency</t>
        </is>
      </c>
      <c r="B12" s="7" t="n"/>
      <c r="C12" s="7" t="n"/>
      <c r="D12" s="7" t="n"/>
      <c r="E12" s="7" t="n"/>
    </row>
    <row r="13">
      <c r="A13" s="8" t="inlineStr">
        <is>
          <t xml:space="preserve">    Debt-to-assets (liab. / assets)</t>
        </is>
      </c>
      <c r="B13" s="12" t="n">
        <v>0</v>
      </c>
      <c r="C13" s="12" t="n">
        <v>0</v>
      </c>
      <c r="D13" s="12" t="n"/>
      <c r="E13" s="12" t="n"/>
    </row>
    <row r="14">
      <c r="A14" s="8" t="inlineStr">
        <is>
          <t xml:space="preserve">    Equity ratio (net assets / assets)</t>
        </is>
      </c>
      <c r="B14" s="12" t="n">
        <v>1</v>
      </c>
      <c r="C14" s="12" t="n">
        <v>1</v>
      </c>
      <c r="D14" s="12" t="n">
        <v>1</v>
      </c>
      <c r="E14" s="12" t="n">
        <v>1</v>
      </c>
    </row>
    <row r="16">
      <c r="A16" s="6" t="inlineStr">
        <is>
          <t>Liquidity &amp; asset profile (derived here)</t>
        </is>
      </c>
      <c r="B16" s="7" t="n"/>
      <c r="C16" s="7" t="n"/>
      <c r="D16" s="7" t="n"/>
      <c r="E16" s="7" t="n"/>
    </row>
    <row r="17">
      <c r="A17" s="8" t="inlineStr">
        <is>
          <t xml:space="preserve">    Current ratio (current assets / AP)</t>
        </is>
      </c>
      <c r="B17" s="15" t="n"/>
      <c r="C17" s="15" t="n"/>
      <c r="D17" s="15" t="n"/>
      <c r="E17" s="15" t="n"/>
    </row>
    <row r="18">
      <c r="A18" s="8" t="inlineStr">
        <is>
          <t xml:space="preserve">    Cash ratio ((cash+temp inv.) / total liab.)</t>
        </is>
      </c>
      <c r="B18" s="15" t="n"/>
      <c r="C18" s="15" t="n"/>
      <c r="D18" s="15" t="n"/>
      <c r="E18" s="15" t="n"/>
    </row>
    <row r="19">
      <c r="A19" s="8" t="inlineStr">
        <is>
          <t xml:space="preserve">    Asset age proxy (accum. deprec. / gross PP&amp;E)</t>
        </is>
      </c>
      <c r="B19" s="12" t="n"/>
      <c r="C19" s="12" t="n"/>
      <c r="D19" s="12" t="n"/>
      <c r="E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E2"/>
    <mergeCell ref="A21:E21"/>
    <mergeCell ref="A1:E1"/>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Green River Mutual Water Company</t>
        </is>
      </c>
    </row>
    <row r="2">
      <c r="A2" s="2" t="inlineStr">
        <is>
          <t>Unit economics - per-customer revenue by category (USD)</t>
        </is>
      </c>
    </row>
    <row r="3">
      <c r="A3" s="2" t="inlineStr">
        <is>
          <t>Entity ID: cawc_0089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Green River Mutual Water Company</t>
        </is>
      </c>
    </row>
    <row r="2">
      <c r="A2" s="2" t="inlineStr">
        <is>
          <t>Rate structure and representative bill - eAR Section 8a</t>
        </is>
      </c>
    </row>
    <row r="3">
      <c r="A3" s="2" t="inlineStr">
        <is>
          <t>Entity ID: cawc_0089   |   Fiscal year ends December 31.</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Green River Mutual Water Company</t>
        </is>
      </c>
    </row>
    <row r="2">
      <c r="A2" s="2" t="inlineStr">
        <is>
          <t>Operational metrics - plant per acre, density, terrain</t>
        </is>
      </c>
    </row>
    <row r="3">
      <c r="A3" s="2" t="inlineStr">
        <is>
          <t>Entity ID: cawc_0089   |   Fiscal year ends December 31.</t>
        </is>
      </c>
    </row>
    <row r="5">
      <c r="A5" s="6" t="inlineStr">
        <is>
          <t>Connections per acre</t>
        </is>
      </c>
      <c r="B5" s="7" t="n"/>
      <c r="C5" s="7" t="n"/>
    </row>
    <row r="6">
      <c r="A6" s="16" t="inlineStr">
        <is>
          <t>Connections per acre</t>
        </is>
      </c>
      <c r="B6" s="15" t="n">
        <v>0.27</v>
      </c>
      <c r="C6" s="18" t="inlineStr">
        <is>
          <t>124 connections / 465.7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s>
  <sheetData>
    <row r="1">
      <c r="A1" s="1" t="inlineStr">
        <is>
          <t>Green River Mutual Water Company</t>
        </is>
      </c>
    </row>
    <row r="2">
      <c r="A2" s="2" t="inlineStr">
        <is>
          <t>Supply and weather indicators (DWR water year)</t>
        </is>
      </c>
    </row>
    <row r="3">
      <c r="A3" s="2" t="inlineStr">
        <is>
          <t>Entity ID: cawc_0089   |   Fiscal year ends December 31.</t>
        </is>
      </c>
    </row>
    <row r="5" ht="12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row>
    <row r="8">
      <c r="A8" s="8" t="inlineStr">
        <is>
          <t>Water-year type (Sacramento Valley)</t>
        </is>
      </c>
      <c r="B8" s="22" t="inlineStr">
        <is>
          <t>Dry</t>
        </is>
      </c>
      <c r="C8" s="22" t="inlineStr">
        <is>
          <t>Critical</t>
        </is>
      </c>
      <c r="D8" s="22" t="inlineStr">
        <is>
          <t>Critical</t>
        </is>
      </c>
      <c r="E8" s="22" t="inlineStr">
        <is>
          <t>Wet</t>
        </is>
      </c>
    </row>
    <row r="9">
      <c r="A9" s="8" t="inlineStr">
        <is>
          <t>Peak drought, county County</t>
        </is>
      </c>
      <c r="B9" s="23" t="inlineStr">
        <is>
          <t>not reported</t>
        </is>
      </c>
      <c r="C9" s="23" t="inlineStr">
        <is>
          <t>not reported</t>
        </is>
      </c>
      <c r="D9" s="23" t="inlineStr">
        <is>
          <t>not reported</t>
        </is>
      </c>
      <c r="E9" s="23" t="inlineStr">
        <is>
          <t>not reported</t>
        </is>
      </c>
    </row>
    <row r="10">
      <c r="A10" s="8" t="inlineStr">
        <is>
          <t>Precip, percent of normal (8-Station Index)</t>
        </is>
      </c>
      <c r="B10" s="22" t="inlineStr">
        <is>
          <t>63</t>
        </is>
      </c>
      <c r="C10" s="22" t="inlineStr">
        <is>
          <t>48</t>
        </is>
      </c>
      <c r="D10" s="22" t="inlineStr">
        <is>
          <t>86</t>
        </is>
      </c>
      <c r="E10" s="22" t="inlineStr">
        <is>
          <t>133</t>
        </is>
      </c>
    </row>
    <row r="11">
      <c r="A11" s="8" t="inlineStr">
        <is>
          <t>Snowpack, April 1 percent of average</t>
        </is>
      </c>
      <c r="B11" s="22" t="inlineStr">
        <is>
          <t>53%</t>
        </is>
      </c>
      <c r="C11" s="22" t="inlineStr">
        <is>
          <t>59%</t>
        </is>
      </c>
      <c r="D11" s="22" t="inlineStr">
        <is>
          <t>38%</t>
        </is>
      </c>
      <c r="E11" s="22" t="inlineStr">
        <is>
          <t>237%</t>
        </is>
      </c>
    </row>
    <row r="12">
      <c r="A12" s="8" t="inlineStr">
        <is>
          <t>State Water Project allocation</t>
        </is>
      </c>
      <c r="B12" s="22" t="inlineStr">
        <is>
          <t>20%</t>
        </is>
      </c>
      <c r="C12" s="22" t="inlineStr">
        <is>
          <t>5%</t>
        </is>
      </c>
      <c r="D12" s="22" t="inlineStr">
        <is>
          <t>5%</t>
        </is>
      </c>
      <c r="E12" s="22" t="inlineStr">
        <is>
          <t>100%</t>
        </is>
      </c>
    </row>
  </sheetData>
  <mergeCells count="4">
    <mergeCell ref="A2:E2"/>
    <mergeCell ref="A1:E1"/>
    <mergeCell ref="A5:E5"/>
    <mergeCell ref="A3:E3"/>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Green River Mutual Water Company</t>
        </is>
      </c>
    </row>
    <row r="2">
      <c r="A2" s="2" t="inlineStr">
        <is>
          <t>How this was built - forensic lineage</t>
        </is>
      </c>
    </row>
    <row r="3">
      <c r="A3" s="2" t="inlineStr">
        <is>
          <t>Entity ID: cawc_0089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91"/>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Green River Mutual Water Company</t>
        </is>
      </c>
    </row>
    <row r="2">
      <c r="A2" s="2" t="inlineStr">
        <is>
          <t>Sources &amp; audit - full provenance and tie-outs (kept off the statements so they read clean)</t>
        </is>
      </c>
    </row>
    <row r="3">
      <c r="A3" s="2" t="inlineStr">
        <is>
          <t>Entity ID: cawc_0089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4"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FY2020</t>
        </is>
      </c>
      <c r="B10" s="8" t="inlineStr">
        <is>
          <t>2020-12-31</t>
        </is>
      </c>
      <c r="C10" s="8" t="inlineStr">
        <is>
          <t>990-EZ</t>
        </is>
      </c>
      <c r="D10" s="8" t="inlineStr">
        <is>
          <t>high</t>
        </is>
      </c>
      <c r="E10" s="8" t="inlineStr">
        <is>
          <t>bb57d773-c47e-4d55-8786-cb759d135fa8</t>
        </is>
      </c>
      <c r="F10" s="8" t="inlineStr">
        <is>
          <t>202123199349209962</t>
        </is>
      </c>
      <c r="G10" s="8" t="inlineStr">
        <is>
          <t>claude-opus-5</t>
        </is>
      </c>
      <c r="H10" s="8" t="inlineStr">
        <is>
          <t>2026-09-21T02:50:02+00:00</t>
        </is>
      </c>
      <c r="I10" s="8" t="inlineStr">
        <is>
          <t>https://apps.irs.gov/pub/epostcard/990/xml/2021/2021_TEOS_XML_01A.zip#202123199349209962_public.xml</t>
        </is>
      </c>
    </row>
    <row r="11">
      <c r="A11" s="22" t="inlineStr">
        <is>
          <t>FY2021</t>
        </is>
      </c>
      <c r="B11" s="8" t="inlineStr">
        <is>
          <t>2021-12-31</t>
        </is>
      </c>
      <c r="C11" s="8" t="inlineStr">
        <is>
          <t>990-EZ</t>
        </is>
      </c>
      <c r="D11" s="8" t="inlineStr">
        <is>
          <t>high</t>
        </is>
      </c>
      <c r="E11" s="8" t="inlineStr">
        <is>
          <t>0974d912-44fc-4bfe-9b94-3748b22a434a</t>
        </is>
      </c>
      <c r="F11" s="8" t="inlineStr">
        <is>
          <t>202212309349200331</t>
        </is>
      </c>
      <c r="G11" s="8" t="inlineStr">
        <is>
          <t>claude-opus-5</t>
        </is>
      </c>
      <c r="H11" s="8" t="inlineStr">
        <is>
          <t>2026-09-21T02:50:02+00:00</t>
        </is>
      </c>
      <c r="I11" s="8" t="inlineStr">
        <is>
          <t>https://apps.irs.gov/pub/epostcard/990/xml/2022/2022_TEOS_XML_01A.zip#202212309349200331_public.xml</t>
        </is>
      </c>
    </row>
    <row r="12">
      <c r="A12" s="22" t="inlineStr">
        <is>
          <t>FY2022</t>
        </is>
      </c>
      <c r="B12" s="8" t="inlineStr">
        <is>
          <t>2022-12-31</t>
        </is>
      </c>
      <c r="C12" s="8" t="inlineStr">
        <is>
          <t>990-EZ</t>
        </is>
      </c>
      <c r="D12" s="8" t="inlineStr">
        <is>
          <t>high</t>
        </is>
      </c>
      <c r="E12" s="8" t="inlineStr">
        <is>
          <t>af2a0f53-d704-416a-8fbf-52f31f9bca1b</t>
        </is>
      </c>
      <c r="F12" s="8" t="inlineStr">
        <is>
          <t>202342229349200819</t>
        </is>
      </c>
      <c r="G12" s="8" t="inlineStr">
        <is>
          <t>claude-opus-5</t>
        </is>
      </c>
      <c r="H12" s="8" t="inlineStr">
        <is>
          <t>2026-09-21T02:50:02+00:00</t>
        </is>
      </c>
      <c r="I12" s="8" t="inlineStr">
        <is>
          <t>https://apps.irs.gov/pub/epostcard/990/xml/2023/2023_TEOS_XML_08A.zip#202342229349200819_public.xml</t>
        </is>
      </c>
    </row>
    <row r="13">
      <c r="A13" s="22" t="inlineStr">
        <is>
          <t>FY2023</t>
        </is>
      </c>
      <c r="B13" s="8" t="inlineStr">
        <is>
          <t>2023-12-31</t>
        </is>
      </c>
      <c r="C13" s="8" t="inlineStr">
        <is>
          <t>990-EZ</t>
        </is>
      </c>
      <c r="D13" s="8" t="inlineStr">
        <is>
          <t>high</t>
        </is>
      </c>
      <c r="E13" s="8" t="inlineStr">
        <is>
          <t>d872105c-e46c-4314-95e5-27d6a5be6952</t>
        </is>
      </c>
      <c r="F13" s="8" t="inlineStr">
        <is>
          <t>202421029349201012</t>
        </is>
      </c>
      <c r="G13" s="8" t="inlineStr">
        <is>
          <t>claude-opus-5</t>
        </is>
      </c>
      <c r="H13" s="8" t="inlineStr">
        <is>
          <t>2026-09-21T02:50:02+00:00</t>
        </is>
      </c>
      <c r="I13" s="8" t="inlineStr">
        <is>
          <t>https://apps.irs.gov/pub/epostcard/990/xml/2024/2024_TEOS_XML_04A.zip#202421029349201012_public.xml</t>
        </is>
      </c>
    </row>
    <row r="15">
      <c r="A15" s="24" t="inlineStr">
        <is>
          <t>B. Figure citations (every figure on the statement tabs, keyed by cell)</t>
        </is>
      </c>
      <c r="B15" s="7" t="n"/>
      <c r="C15" s="7" t="n"/>
      <c r="D15" s="7" t="n"/>
      <c r="E15" s="7" t="n"/>
      <c r="F15" s="7" t="n"/>
      <c r="G15" s="7" t="n"/>
      <c r="H15" s="7" t="n"/>
      <c r="I15" s="7" t="n"/>
      <c r="J15" s="7" t="n"/>
      <c r="K15" s="7" t="n"/>
    </row>
    <row r="16">
      <c r="A16" s="5" t="inlineStr">
        <is>
          <t>Tab</t>
        </is>
      </c>
      <c r="B16" s="5" t="inlineStr">
        <is>
          <t>Cell</t>
        </is>
      </c>
      <c r="C16" s="5" t="inlineStr">
        <is>
          <t>Line item</t>
        </is>
      </c>
      <c r="D16" s="5" t="inlineStr">
        <is>
          <t>Form 990 line</t>
        </is>
      </c>
      <c r="E16" s="5" t="inlineStr">
        <is>
          <t>Key path</t>
        </is>
      </c>
      <c r="F16" s="5" t="inlineStr">
        <is>
          <t>Confidence</t>
        </is>
      </c>
      <c r="G16" s="5" t="inlineStr">
        <is>
          <t>As filed</t>
        </is>
      </c>
    </row>
    <row r="17">
      <c r="A17" s="8" t="inlineStr">
        <is>
          <t>Form 990-EZ Parts I &amp; II</t>
        </is>
      </c>
      <c r="B17" s="8" t="inlineStr">
        <is>
          <t>B7</t>
        </is>
      </c>
      <c r="C17" s="8" t="inlineStr">
        <is>
          <t>1. Contributions, gifts, grants</t>
        </is>
      </c>
      <c r="D17" s="8" t="inlineStr">
        <is>
          <t>Part I line 1</t>
        </is>
      </c>
      <c r="E17" s="8" t="inlineStr">
        <is>
          <t>part_i_revenue_expenses.contributions_grants</t>
        </is>
      </c>
      <c r="F17" s="8" t="inlineStr">
        <is>
          <t>high</t>
        </is>
      </c>
      <c r="G17" s="9" t="n">
        <v>134910</v>
      </c>
    </row>
    <row r="18">
      <c r="A18" s="8" t="inlineStr">
        <is>
          <t>Form 990-EZ Parts I &amp; II</t>
        </is>
      </c>
      <c r="B18" s="8" t="inlineStr">
        <is>
          <t>C7</t>
        </is>
      </c>
      <c r="C18" s="8" t="inlineStr">
        <is>
          <t>1. Contributions, gifts, grants</t>
        </is>
      </c>
      <c r="D18" s="8" t="inlineStr">
        <is>
          <t>Part I line 1</t>
        </is>
      </c>
      <c r="E18" s="8" t="inlineStr">
        <is>
          <t>part_i_revenue_expenses.contributions_grants</t>
        </is>
      </c>
      <c r="F18" s="8" t="inlineStr">
        <is>
          <t>high</t>
        </is>
      </c>
      <c r="G18" s="9" t="n">
        <v>133699</v>
      </c>
    </row>
    <row r="19">
      <c r="A19" s="8" t="inlineStr">
        <is>
          <t>Form 990-EZ Parts I &amp; II</t>
        </is>
      </c>
      <c r="B19" s="8" t="inlineStr">
        <is>
          <t>D8</t>
        </is>
      </c>
      <c r="C19" s="8" t="inlineStr">
        <is>
          <t>3. Membership dues and assessments</t>
        </is>
      </c>
      <c r="D19" s="8" t="inlineStr">
        <is>
          <t>Part I line 3</t>
        </is>
      </c>
      <c r="E19" s="8" t="inlineStr">
        <is>
          <t>part_i_revenue_expenses.membership_dues</t>
        </is>
      </c>
      <c r="F19" s="8" t="inlineStr">
        <is>
          <t>high</t>
        </is>
      </c>
      <c r="G19" s="9" t="n">
        <v>141875</v>
      </c>
    </row>
    <row r="20">
      <c r="A20" s="8" t="inlineStr">
        <is>
          <t>Form 990-EZ Parts I &amp; II</t>
        </is>
      </c>
      <c r="B20" s="8" t="inlineStr">
        <is>
          <t>E8</t>
        </is>
      </c>
      <c r="C20" s="8" t="inlineStr">
        <is>
          <t>3. Membership dues and assessments</t>
        </is>
      </c>
      <c r="D20" s="8" t="inlineStr">
        <is>
          <t>Part I line 3</t>
        </is>
      </c>
      <c r="E20" s="8" t="inlineStr">
        <is>
          <t>part_i_revenue_expenses.membership_dues</t>
        </is>
      </c>
      <c r="F20" s="8" t="inlineStr">
        <is>
          <t>high</t>
        </is>
      </c>
      <c r="G20" s="9" t="n">
        <v>180799</v>
      </c>
    </row>
    <row r="21">
      <c r="A21" s="8" t="inlineStr">
        <is>
          <t>Form 990-EZ Parts I &amp; II</t>
        </is>
      </c>
      <c r="B21" s="8" t="inlineStr">
        <is>
          <t>B9</t>
        </is>
      </c>
      <c r="C21" s="8" t="inlineStr">
        <is>
          <t>4. Investment income</t>
        </is>
      </c>
      <c r="D21" s="8" t="inlineStr">
        <is>
          <t>Part I line 4</t>
        </is>
      </c>
      <c r="E21" s="8" t="inlineStr">
        <is>
          <t>part_i_revenue_expenses.investment_income</t>
        </is>
      </c>
      <c r="F21" s="8" t="inlineStr">
        <is>
          <t>high</t>
        </is>
      </c>
      <c r="G21" s="9" t="n">
        <v>155</v>
      </c>
    </row>
    <row r="22">
      <c r="A22" s="8" t="inlineStr">
        <is>
          <t>Form 990-EZ Parts I &amp; II</t>
        </is>
      </c>
      <c r="B22" s="8" t="inlineStr">
        <is>
          <t>C9</t>
        </is>
      </c>
      <c r="C22" s="8" t="inlineStr">
        <is>
          <t>4. Investment income</t>
        </is>
      </c>
      <c r="D22" s="8" t="inlineStr">
        <is>
          <t>Part I line 4</t>
        </is>
      </c>
      <c r="E22" s="8" t="inlineStr">
        <is>
          <t>part_i_revenue_expenses.investment_income</t>
        </is>
      </c>
      <c r="F22" s="8" t="inlineStr">
        <is>
          <t>high</t>
        </is>
      </c>
      <c r="G22" s="9" t="n">
        <v>74</v>
      </c>
    </row>
    <row r="23">
      <c r="A23" s="8" t="inlineStr">
        <is>
          <t>Form 990-EZ Parts I &amp; II</t>
        </is>
      </c>
      <c r="B23" s="8" t="inlineStr">
        <is>
          <t>D9</t>
        </is>
      </c>
      <c r="C23" s="8" t="inlineStr">
        <is>
          <t>4. Investment income</t>
        </is>
      </c>
      <c r="D23" s="8" t="inlineStr">
        <is>
          <t>Part I line 4</t>
        </is>
      </c>
      <c r="E23" s="8" t="inlineStr">
        <is>
          <t>part_i_revenue_expenses.investment_income</t>
        </is>
      </c>
      <c r="F23" s="8" t="inlineStr">
        <is>
          <t>high</t>
        </is>
      </c>
      <c r="G23" s="9" t="n">
        <v>13</v>
      </c>
    </row>
    <row r="24">
      <c r="A24" s="8" t="inlineStr">
        <is>
          <t>Form 990-EZ Parts I &amp; II</t>
        </is>
      </c>
      <c r="B24" s="8" t="inlineStr">
        <is>
          <t>E9</t>
        </is>
      </c>
      <c r="C24" s="8" t="inlineStr">
        <is>
          <t>4. Investment income</t>
        </is>
      </c>
      <c r="D24" s="8" t="inlineStr">
        <is>
          <t>Part I line 4</t>
        </is>
      </c>
      <c r="E24" s="8" t="inlineStr">
        <is>
          <t>part_i_revenue_expenses.investment_income</t>
        </is>
      </c>
      <c r="F24" s="8" t="inlineStr">
        <is>
          <t>high</t>
        </is>
      </c>
      <c r="G24" s="9" t="n">
        <v>24</v>
      </c>
    </row>
    <row r="25">
      <c r="A25" s="8" t="inlineStr">
        <is>
          <t>Form 990-EZ Parts I &amp; II</t>
        </is>
      </c>
      <c r="B25" s="8" t="inlineStr">
        <is>
          <t>C10</t>
        </is>
      </c>
      <c r="C25" s="8" t="inlineStr">
        <is>
          <t>8. Other revenue</t>
        </is>
      </c>
      <c r="D25" s="8" t="inlineStr">
        <is>
          <t>Part I line 8</t>
        </is>
      </c>
      <c r="E25" s="8" t="inlineStr">
        <is>
          <t>part_i_revenue_expenses.other_revenue_total</t>
        </is>
      </c>
      <c r="F25" s="8" t="inlineStr">
        <is>
          <t>high</t>
        </is>
      </c>
      <c r="G25" s="9" t="n">
        <v>3583</v>
      </c>
    </row>
    <row r="26">
      <c r="A26" s="8" t="inlineStr">
        <is>
          <t>Form 990-EZ Parts I &amp; II</t>
        </is>
      </c>
      <c r="B26" s="8" t="inlineStr">
        <is>
          <t>B11</t>
        </is>
      </c>
      <c r="C26" s="8" t="inlineStr">
        <is>
          <t>9. Total revenue</t>
        </is>
      </c>
      <c r="D26" s="8" t="inlineStr">
        <is>
          <t>Part I line 9</t>
        </is>
      </c>
      <c r="E26" s="8" t="inlineStr">
        <is>
          <t>part_i_revenue_expenses.total_revenue</t>
        </is>
      </c>
      <c r="F26" s="8" t="inlineStr">
        <is>
          <t>high</t>
        </is>
      </c>
      <c r="G26" s="9" t="n">
        <v>135065</v>
      </c>
    </row>
    <row r="27">
      <c r="A27" s="8" t="inlineStr">
        <is>
          <t>Form 990-EZ Parts I &amp; II</t>
        </is>
      </c>
      <c r="B27" s="8" t="inlineStr">
        <is>
          <t>C11</t>
        </is>
      </c>
      <c r="C27" s="8" t="inlineStr">
        <is>
          <t>9. Total revenue</t>
        </is>
      </c>
      <c r="D27" s="8" t="inlineStr">
        <is>
          <t>Part I line 9</t>
        </is>
      </c>
      <c r="E27" s="8" t="inlineStr">
        <is>
          <t>part_i_revenue_expenses.total_revenue</t>
        </is>
      </c>
      <c r="F27" s="8" t="inlineStr">
        <is>
          <t>high</t>
        </is>
      </c>
      <c r="G27" s="9" t="n">
        <v>137356</v>
      </c>
    </row>
    <row r="28">
      <c r="A28" s="8" t="inlineStr">
        <is>
          <t>Form 990-EZ Parts I &amp; II</t>
        </is>
      </c>
      <c r="B28" s="8" t="inlineStr">
        <is>
          <t>D11</t>
        </is>
      </c>
      <c r="C28" s="8" t="inlineStr">
        <is>
          <t>9. Total revenue</t>
        </is>
      </c>
      <c r="D28" s="8" t="inlineStr">
        <is>
          <t>Part I line 9</t>
        </is>
      </c>
      <c r="E28" s="8" t="inlineStr">
        <is>
          <t>part_i_revenue_expenses.total_revenue</t>
        </is>
      </c>
      <c r="F28" s="8" t="inlineStr">
        <is>
          <t>high</t>
        </is>
      </c>
      <c r="G28" s="9" t="n">
        <v>141888</v>
      </c>
    </row>
    <row r="29">
      <c r="A29" s="8" t="inlineStr">
        <is>
          <t>Form 990-EZ Parts I &amp; II</t>
        </is>
      </c>
      <c r="B29" s="8" t="inlineStr">
        <is>
          <t>E11</t>
        </is>
      </c>
      <c r="C29" s="8" t="inlineStr">
        <is>
          <t>9. Total revenue</t>
        </is>
      </c>
      <c r="D29" s="8" t="inlineStr">
        <is>
          <t>Part I line 9</t>
        </is>
      </c>
      <c r="E29" s="8" t="inlineStr">
        <is>
          <t>part_i_revenue_expenses.total_revenue</t>
        </is>
      </c>
      <c r="F29" s="8" t="inlineStr">
        <is>
          <t>high</t>
        </is>
      </c>
      <c r="G29" s="9" t="n">
        <v>180823</v>
      </c>
    </row>
    <row r="30">
      <c r="A30" s="8" t="inlineStr">
        <is>
          <t>Form 990-EZ Parts I &amp; II</t>
        </is>
      </c>
      <c r="B30" s="8" t="inlineStr">
        <is>
          <t>B14</t>
        </is>
      </c>
      <c r="C30" s="8" t="inlineStr">
        <is>
          <t>13. Fees for services (independent contractors)</t>
        </is>
      </c>
      <c r="D30" s="8" t="inlineStr">
        <is>
          <t>Part I line 13</t>
        </is>
      </c>
      <c r="E30" s="8" t="inlineStr">
        <is>
          <t>part_i_revenue_expenses.fees_ind_contractors</t>
        </is>
      </c>
      <c r="F30" s="8" t="inlineStr">
        <is>
          <t>high</t>
        </is>
      </c>
      <c r="G30" s="9" t="n">
        <v>30288</v>
      </c>
    </row>
    <row r="31">
      <c r="A31" s="8" t="inlineStr">
        <is>
          <t>Form 990-EZ Parts I &amp; II</t>
        </is>
      </c>
      <c r="B31" s="8" t="inlineStr">
        <is>
          <t>C14</t>
        </is>
      </c>
      <c r="C31" s="8" t="inlineStr">
        <is>
          <t>13. Fees for services (independent contractors)</t>
        </is>
      </c>
      <c r="D31" s="8" t="inlineStr">
        <is>
          <t>Part I line 13</t>
        </is>
      </c>
      <c r="E31" s="8" t="inlineStr">
        <is>
          <t>part_i_revenue_expenses.fees_ind_contractors</t>
        </is>
      </c>
      <c r="F31" s="8" t="inlineStr">
        <is>
          <t>high</t>
        </is>
      </c>
      <c r="G31" s="9" t="n">
        <v>24422</v>
      </c>
    </row>
    <row r="32">
      <c r="A32" s="8" t="inlineStr">
        <is>
          <t>Form 990-EZ Parts I &amp; II</t>
        </is>
      </c>
      <c r="B32" s="8" t="inlineStr">
        <is>
          <t>D14</t>
        </is>
      </c>
      <c r="C32" s="8" t="inlineStr">
        <is>
          <t>13. Fees for services (independent contractors)</t>
        </is>
      </c>
      <c r="D32" s="8" t="inlineStr">
        <is>
          <t>Part I line 13</t>
        </is>
      </c>
      <c r="E32" s="8" t="inlineStr">
        <is>
          <t>part_i_revenue_expenses.fees_ind_contractors</t>
        </is>
      </c>
      <c r="F32" s="8" t="inlineStr">
        <is>
          <t>high</t>
        </is>
      </c>
      <c r="G32" s="9" t="n">
        <v>25602</v>
      </c>
    </row>
    <row r="33">
      <c r="A33" s="8" t="inlineStr">
        <is>
          <t>Form 990-EZ Parts I &amp; II</t>
        </is>
      </c>
      <c r="B33" s="8" t="inlineStr">
        <is>
          <t>E14</t>
        </is>
      </c>
      <c r="C33" s="8" t="inlineStr">
        <is>
          <t>13. Fees for services (independent contractors)</t>
        </is>
      </c>
      <c r="D33" s="8" t="inlineStr">
        <is>
          <t>Part I line 13</t>
        </is>
      </c>
      <c r="E33" s="8" t="inlineStr">
        <is>
          <t>part_i_revenue_expenses.fees_ind_contractors</t>
        </is>
      </c>
      <c r="F33" s="8" t="inlineStr">
        <is>
          <t>high</t>
        </is>
      </c>
      <c r="G33" s="9" t="n">
        <v>9890</v>
      </c>
    </row>
    <row r="34">
      <c r="A34" s="8" t="inlineStr">
        <is>
          <t>Form 990-EZ Parts I &amp; II</t>
        </is>
      </c>
      <c r="B34" s="8" t="inlineStr">
        <is>
          <t>B15</t>
        </is>
      </c>
      <c r="C34" s="8" t="inlineStr">
        <is>
          <t>14. Occupancy, rent, utilities, maintenance</t>
        </is>
      </c>
      <c r="D34" s="8" t="inlineStr">
        <is>
          <t>Part I line 14</t>
        </is>
      </c>
      <c r="E34" s="8" t="inlineStr">
        <is>
          <t>part_i_revenue_expenses.occupancy_utilities_maint</t>
        </is>
      </c>
      <c r="F34" s="8" t="inlineStr">
        <is>
          <t>high</t>
        </is>
      </c>
      <c r="G34" s="9" t="n">
        <v>47623</v>
      </c>
    </row>
    <row r="35">
      <c r="A35" s="8" t="inlineStr">
        <is>
          <t>Form 990-EZ Parts I &amp; II</t>
        </is>
      </c>
      <c r="B35" s="8" t="inlineStr">
        <is>
          <t>C15</t>
        </is>
      </c>
      <c r="C35" s="8" t="inlineStr">
        <is>
          <t>14. Occupancy, rent, utilities, maintenance</t>
        </is>
      </c>
      <c r="D35" s="8" t="inlineStr">
        <is>
          <t>Part I line 14</t>
        </is>
      </c>
      <c r="E35" s="8" t="inlineStr">
        <is>
          <t>part_i_revenue_expenses.occupancy_utilities_maint</t>
        </is>
      </c>
      <c r="F35" s="8" t="inlineStr">
        <is>
          <t>high</t>
        </is>
      </c>
      <c r="G35" s="9" t="n">
        <v>77006</v>
      </c>
    </row>
    <row r="36">
      <c r="A36" s="8" t="inlineStr">
        <is>
          <t>Form 990-EZ Parts I &amp; II</t>
        </is>
      </c>
      <c r="B36" s="8" t="inlineStr">
        <is>
          <t>D16</t>
        </is>
      </c>
      <c r="C36" s="8" t="inlineStr">
        <is>
          <t>15. Printing, publications, postage</t>
        </is>
      </c>
      <c r="D36" s="8" t="inlineStr">
        <is>
          <t>Part I line 15</t>
        </is>
      </c>
      <c r="E36" s="8" t="inlineStr">
        <is>
          <t>part_i_revenue_expenses.printing_publications_postage</t>
        </is>
      </c>
      <c r="F36" s="8" t="inlineStr">
        <is>
          <t>high</t>
        </is>
      </c>
      <c r="G36" s="9" t="n">
        <v>1428</v>
      </c>
    </row>
    <row r="37">
      <c r="A37" s="8" t="inlineStr">
        <is>
          <t>Form 990-EZ Parts I &amp; II</t>
        </is>
      </c>
      <c r="B37" s="8" t="inlineStr">
        <is>
          <t>E16</t>
        </is>
      </c>
      <c r="C37" s="8" t="inlineStr">
        <is>
          <t>15. Printing, publications, postage</t>
        </is>
      </c>
      <c r="D37" s="8" t="inlineStr">
        <is>
          <t>Part I line 15</t>
        </is>
      </c>
      <c r="E37" s="8" t="inlineStr">
        <is>
          <t>part_i_revenue_expenses.printing_publications_postage</t>
        </is>
      </c>
      <c r="F37" s="8" t="inlineStr">
        <is>
          <t>high</t>
        </is>
      </c>
      <c r="G37" s="9" t="n">
        <v>1197</v>
      </c>
    </row>
    <row r="38">
      <c r="A38" s="8" t="inlineStr">
        <is>
          <t>Form 990-EZ Parts I &amp; II</t>
        </is>
      </c>
      <c r="B38" s="8" t="inlineStr">
        <is>
          <t>B17</t>
        </is>
      </c>
      <c r="C38" s="8" t="inlineStr">
        <is>
          <t>16. Other expenses</t>
        </is>
      </c>
      <c r="D38" s="8" t="inlineStr">
        <is>
          <t>Part I line 16</t>
        </is>
      </c>
      <c r="E38" s="8" t="inlineStr">
        <is>
          <t>part_i_revenue_expenses.other_expenses_total</t>
        </is>
      </c>
      <c r="F38" s="8" t="inlineStr">
        <is>
          <t>high</t>
        </is>
      </c>
      <c r="G38" s="9" t="n">
        <v>66305</v>
      </c>
    </row>
    <row r="39">
      <c r="A39" s="8" t="inlineStr">
        <is>
          <t>Form 990-EZ Parts I &amp; II</t>
        </is>
      </c>
      <c r="B39" s="8" t="inlineStr">
        <is>
          <t>C17</t>
        </is>
      </c>
      <c r="C39" s="8" t="inlineStr">
        <is>
          <t>16. Other expenses</t>
        </is>
      </c>
      <c r="D39" s="8" t="inlineStr">
        <is>
          <t>Part I line 16</t>
        </is>
      </c>
      <c r="E39" s="8" t="inlineStr">
        <is>
          <t>part_i_revenue_expenses.other_expenses_total</t>
        </is>
      </c>
      <c r="F39" s="8" t="inlineStr">
        <is>
          <t>high</t>
        </is>
      </c>
      <c r="G39" s="9" t="n">
        <v>35778</v>
      </c>
    </row>
    <row r="40">
      <c r="A40" s="8" t="inlineStr">
        <is>
          <t>Form 990-EZ Parts I &amp; II</t>
        </is>
      </c>
      <c r="B40" s="8" t="inlineStr">
        <is>
          <t>D17</t>
        </is>
      </c>
      <c r="C40" s="8" t="inlineStr">
        <is>
          <t>16. Other expenses</t>
        </is>
      </c>
      <c r="D40" s="8" t="inlineStr">
        <is>
          <t>Part I line 16</t>
        </is>
      </c>
      <c r="E40" s="8" t="inlineStr">
        <is>
          <t>part_i_revenue_expenses.other_expenses_total</t>
        </is>
      </c>
      <c r="F40" s="8" t="inlineStr">
        <is>
          <t>high</t>
        </is>
      </c>
      <c r="G40" s="9" t="n">
        <v>120323</v>
      </c>
    </row>
    <row r="41">
      <c r="A41" s="8" t="inlineStr">
        <is>
          <t>Form 990-EZ Parts I &amp; II</t>
        </is>
      </c>
      <c r="B41" s="8" t="inlineStr">
        <is>
          <t>E17</t>
        </is>
      </c>
      <c r="C41" s="8" t="inlineStr">
        <is>
          <t>16. Other expenses</t>
        </is>
      </c>
      <c r="D41" s="8" t="inlineStr">
        <is>
          <t>Part I line 16</t>
        </is>
      </c>
      <c r="E41" s="8" t="inlineStr">
        <is>
          <t>part_i_revenue_expenses.other_expenses_total</t>
        </is>
      </c>
      <c r="F41" s="8" t="inlineStr">
        <is>
          <t>high</t>
        </is>
      </c>
      <c r="G41" s="9" t="n">
        <v>130117</v>
      </c>
    </row>
    <row r="42">
      <c r="A42" s="8" t="inlineStr">
        <is>
          <t>Form 990-EZ Parts I &amp; II</t>
        </is>
      </c>
      <c r="B42" s="8" t="inlineStr">
        <is>
          <t>B21</t>
        </is>
      </c>
      <c r="C42" s="8" t="inlineStr">
        <is>
          <t>19. Net assets or fund balances, beginning of year</t>
        </is>
      </c>
      <c r="D42" s="8" t="inlineStr">
        <is>
          <t>Part I line 19</t>
        </is>
      </c>
      <c r="E42" s="8" t="inlineStr">
        <is>
          <t>part_i_revenue_expenses.net_assets_boy</t>
        </is>
      </c>
      <c r="F42" s="8" t="inlineStr">
        <is>
          <t>high</t>
        </is>
      </c>
      <c r="G42" s="9" t="n">
        <v>129629</v>
      </c>
    </row>
    <row r="43">
      <c r="A43" s="8" t="inlineStr">
        <is>
          <t>Form 990-EZ Parts I &amp; II</t>
        </is>
      </c>
      <c r="B43" s="8" t="inlineStr">
        <is>
          <t>C21</t>
        </is>
      </c>
      <c r="C43" s="8" t="inlineStr">
        <is>
          <t>19. Net assets or fund balances, beginning of year</t>
        </is>
      </c>
      <c r="D43" s="8" t="inlineStr">
        <is>
          <t>Part I line 19</t>
        </is>
      </c>
      <c r="E43" s="8" t="inlineStr">
        <is>
          <t>part_i_revenue_expenses.net_assets_boy</t>
        </is>
      </c>
      <c r="F43" s="8" t="inlineStr">
        <is>
          <t>high</t>
        </is>
      </c>
      <c r="G43" s="9" t="n">
        <v>120478</v>
      </c>
    </row>
    <row r="44">
      <c r="A44" s="8" t="inlineStr">
        <is>
          <t>Form 990-EZ Parts I &amp; II</t>
        </is>
      </c>
      <c r="B44" s="8" t="inlineStr">
        <is>
          <t>D21</t>
        </is>
      </c>
      <c r="C44" s="8" t="inlineStr">
        <is>
          <t>19. Net assets or fund balances, beginning of year</t>
        </is>
      </c>
      <c r="D44" s="8" t="inlineStr">
        <is>
          <t>Part I line 19</t>
        </is>
      </c>
      <c r="E44" s="8" t="inlineStr">
        <is>
          <t>part_i_revenue_expenses.net_assets_boy</t>
        </is>
      </c>
      <c r="F44" s="8" t="inlineStr">
        <is>
          <t>high</t>
        </is>
      </c>
      <c r="G44" s="9" t="n">
        <v>116969</v>
      </c>
    </row>
    <row r="45">
      <c r="A45" s="8" t="inlineStr">
        <is>
          <t>Form 990-EZ Parts I &amp; II</t>
        </is>
      </c>
      <c r="B45" s="8" t="inlineStr">
        <is>
          <t>E21</t>
        </is>
      </c>
      <c r="C45" s="8" t="inlineStr">
        <is>
          <t>19. Net assets or fund balances, beginning of year</t>
        </is>
      </c>
      <c r="D45" s="8" t="inlineStr">
        <is>
          <t>Part I line 19</t>
        </is>
      </c>
      <c r="E45" s="8" t="inlineStr">
        <is>
          <t>part_i_revenue_expenses.net_assets_boy</t>
        </is>
      </c>
      <c r="F45" s="8" t="inlineStr">
        <is>
          <t>high</t>
        </is>
      </c>
      <c r="G45" s="9" t="n">
        <v>111504</v>
      </c>
    </row>
    <row r="46">
      <c r="A46" s="8" t="inlineStr">
        <is>
          <t>Form 990-EZ Parts I &amp; II</t>
        </is>
      </c>
      <c r="B46" s="8" t="inlineStr">
        <is>
          <t>B22</t>
        </is>
      </c>
      <c r="C46" s="8" t="inlineStr">
        <is>
          <t>18. Excess or (deficit) for the year</t>
        </is>
      </c>
      <c r="D46" s="8" t="inlineStr">
        <is>
          <t>Part I line 18</t>
        </is>
      </c>
      <c r="E46" s="8" t="inlineStr">
        <is>
          <t>part_i_revenue_expenses.excess_or_deficit</t>
        </is>
      </c>
      <c r="F46" s="8" t="inlineStr">
        <is>
          <t>high</t>
        </is>
      </c>
      <c r="G46" s="9" t="n">
        <v>-9151</v>
      </c>
    </row>
    <row r="47">
      <c r="A47" s="8" t="inlineStr">
        <is>
          <t>Form 990-EZ Parts I &amp; II</t>
        </is>
      </c>
      <c r="B47" s="8" t="inlineStr">
        <is>
          <t>C22</t>
        </is>
      </c>
      <c r="C47" s="8" t="inlineStr">
        <is>
          <t>18. Excess or (deficit) for the year</t>
        </is>
      </c>
      <c r="D47" s="8" t="inlineStr">
        <is>
          <t>Part I line 18</t>
        </is>
      </c>
      <c r="E47" s="8" t="inlineStr">
        <is>
          <t>part_i_revenue_expenses.excess_or_deficit</t>
        </is>
      </c>
      <c r="F47" s="8" t="inlineStr">
        <is>
          <t>high</t>
        </is>
      </c>
      <c r="G47" s="9" t="n">
        <v>150</v>
      </c>
    </row>
    <row r="48">
      <c r="A48" s="8" t="inlineStr">
        <is>
          <t>Form 990-EZ Parts I &amp; II</t>
        </is>
      </c>
      <c r="B48" s="8" t="inlineStr">
        <is>
          <t>D22</t>
        </is>
      </c>
      <c r="C48" s="8" t="inlineStr">
        <is>
          <t>18. Excess or (deficit) for the year</t>
        </is>
      </c>
      <c r="D48" s="8" t="inlineStr">
        <is>
          <t>Part I line 18</t>
        </is>
      </c>
      <c r="E48" s="8" t="inlineStr">
        <is>
          <t>part_i_revenue_expenses.excess_or_deficit</t>
        </is>
      </c>
      <c r="F48" s="8" t="inlineStr">
        <is>
          <t>high</t>
        </is>
      </c>
      <c r="G48" s="9" t="n">
        <v>-5465</v>
      </c>
    </row>
    <row r="49">
      <c r="A49" s="8" t="inlineStr">
        <is>
          <t>Form 990-EZ Parts I &amp; II</t>
        </is>
      </c>
      <c r="B49" s="8" t="inlineStr">
        <is>
          <t>E22</t>
        </is>
      </c>
      <c r="C49" s="8" t="inlineStr">
        <is>
          <t>18. Excess or (deficit) for the year</t>
        </is>
      </c>
      <c r="D49" s="8" t="inlineStr">
        <is>
          <t>Part I line 18</t>
        </is>
      </c>
      <c r="E49" s="8" t="inlineStr">
        <is>
          <t>part_i_revenue_expenses.excess_or_deficit</t>
        </is>
      </c>
      <c r="F49" s="8" t="inlineStr">
        <is>
          <t>high</t>
        </is>
      </c>
      <c r="G49" s="9" t="n">
        <v>39619</v>
      </c>
    </row>
    <row r="50">
      <c r="A50" s="8" t="inlineStr">
        <is>
          <t>Form 990-EZ Parts I &amp; II</t>
        </is>
      </c>
      <c r="B50" s="8" t="inlineStr">
        <is>
          <t>B26</t>
        </is>
      </c>
      <c r="C50" s="8" t="inlineStr">
        <is>
          <t>22. Cash, savings, and investments</t>
        </is>
      </c>
      <c r="D50" s="8" t="inlineStr">
        <is>
          <t>Part II line 22 col B</t>
        </is>
      </c>
      <c r="E50" s="8" t="inlineStr">
        <is>
          <t>part_ii_balance_sheet.cash_savings_investments_eoy</t>
        </is>
      </c>
      <c r="F50" s="8" t="inlineStr">
        <is>
          <t>high</t>
        </is>
      </c>
      <c r="G50" s="9" t="n">
        <v>80597</v>
      </c>
    </row>
    <row r="51">
      <c r="A51" s="8" t="inlineStr">
        <is>
          <t>Form 990-EZ Parts I &amp; II</t>
        </is>
      </c>
      <c r="B51" s="8" t="inlineStr">
        <is>
          <t>C26</t>
        </is>
      </c>
      <c r="C51" s="8" t="inlineStr">
        <is>
          <t>22. Cash, savings, and investments</t>
        </is>
      </c>
      <c r="D51" s="8" t="inlineStr">
        <is>
          <t>Part II line 22 col B</t>
        </is>
      </c>
      <c r="E51" s="8" t="inlineStr">
        <is>
          <t>part_ii_balance_sheet.cash_savings_investments_eoy</t>
        </is>
      </c>
      <c r="F51" s="8" t="inlineStr">
        <is>
          <t>high</t>
        </is>
      </c>
      <c r="G51" s="9" t="n">
        <v>84343</v>
      </c>
    </row>
    <row r="52">
      <c r="A52" s="8" t="inlineStr">
        <is>
          <t>Form 990-EZ Parts I &amp; II</t>
        </is>
      </c>
      <c r="B52" s="8" t="inlineStr">
        <is>
          <t>D26</t>
        </is>
      </c>
      <c r="C52" s="8" t="inlineStr">
        <is>
          <t>22. Cash, savings, and investments</t>
        </is>
      </c>
      <c r="D52" s="8" t="inlineStr">
        <is>
          <t>Part II line 22 col B</t>
        </is>
      </c>
      <c r="E52" s="8" t="inlineStr">
        <is>
          <t>part_ii_balance_sheet.cash_savings_investments_eoy</t>
        </is>
      </c>
      <c r="F52" s="8" t="inlineStr">
        <is>
          <t>high</t>
        </is>
      </c>
      <c r="G52" s="9" t="n">
        <v>85412</v>
      </c>
    </row>
    <row r="53">
      <c r="A53" s="8" t="inlineStr">
        <is>
          <t>Form 990-EZ Parts I &amp; II</t>
        </is>
      </c>
      <c r="B53" s="8" t="inlineStr">
        <is>
          <t>E26</t>
        </is>
      </c>
      <c r="C53" s="8" t="inlineStr">
        <is>
          <t>22. Cash, savings, and investments</t>
        </is>
      </c>
      <c r="D53" s="8" t="inlineStr">
        <is>
          <t>Part II line 22 col B</t>
        </is>
      </c>
      <c r="E53" s="8" t="inlineStr">
        <is>
          <t>part_ii_balance_sheet.cash_savings_investments_eoy</t>
        </is>
      </c>
      <c r="F53" s="8" t="inlineStr">
        <is>
          <t>high</t>
        </is>
      </c>
      <c r="G53" s="9" t="n">
        <v>131319</v>
      </c>
    </row>
    <row r="54">
      <c r="A54" s="8" t="inlineStr">
        <is>
          <t>Form 990-EZ Parts I &amp; II</t>
        </is>
      </c>
      <c r="B54" s="8" t="inlineStr">
        <is>
          <t>B27</t>
        </is>
      </c>
      <c r="C54" s="8" t="inlineStr">
        <is>
          <t>24. Other assets</t>
        </is>
      </c>
      <c r="D54" s="8" t="inlineStr">
        <is>
          <t>Part II line 24 col B</t>
        </is>
      </c>
      <c r="E54" s="8" t="inlineStr">
        <is>
          <t>part_ii_balance_sheet.other_assets_eoy</t>
        </is>
      </c>
      <c r="F54" s="8" t="inlineStr">
        <is>
          <t>high</t>
        </is>
      </c>
      <c r="G54" s="9" t="n">
        <v>39881</v>
      </c>
    </row>
    <row r="55">
      <c r="A55" s="8" t="inlineStr">
        <is>
          <t>Form 990-EZ Parts I &amp; II</t>
        </is>
      </c>
      <c r="B55" s="8" t="inlineStr">
        <is>
          <t>C27</t>
        </is>
      </c>
      <c r="C55" s="8" t="inlineStr">
        <is>
          <t>24. Other assets</t>
        </is>
      </c>
      <c r="D55" s="8" t="inlineStr">
        <is>
          <t>Part II line 24 col B</t>
        </is>
      </c>
      <c r="E55" s="8" t="inlineStr">
        <is>
          <t>part_ii_balance_sheet.other_assets_eoy</t>
        </is>
      </c>
      <c r="F55" s="8" t="inlineStr">
        <is>
          <t>high</t>
        </is>
      </c>
      <c r="G55" s="9" t="n">
        <v>32626</v>
      </c>
    </row>
    <row r="56">
      <c r="A56" s="8" t="inlineStr">
        <is>
          <t>Form 990-EZ Parts I &amp; II</t>
        </is>
      </c>
      <c r="B56" s="8" t="inlineStr">
        <is>
          <t>D27</t>
        </is>
      </c>
      <c r="C56" s="8" t="inlineStr">
        <is>
          <t>24. Other assets</t>
        </is>
      </c>
      <c r="D56" s="8" t="inlineStr">
        <is>
          <t>Part II line 24 col B</t>
        </is>
      </c>
      <c r="E56" s="8" t="inlineStr">
        <is>
          <t>part_ii_balance_sheet.other_assets_eoy</t>
        </is>
      </c>
      <c r="F56" s="8" t="inlineStr">
        <is>
          <t>high</t>
        </is>
      </c>
      <c r="G56" s="9" t="n">
        <v>26092</v>
      </c>
    </row>
    <row r="57">
      <c r="A57" s="8" t="inlineStr">
        <is>
          <t>Form 990-EZ Parts I &amp; II</t>
        </is>
      </c>
      <c r="B57" s="8" t="inlineStr">
        <is>
          <t>E27</t>
        </is>
      </c>
      <c r="C57" s="8" t="inlineStr">
        <is>
          <t>24. Other assets</t>
        </is>
      </c>
      <c r="D57" s="8" t="inlineStr">
        <is>
          <t>Part II line 24 col B</t>
        </is>
      </c>
      <c r="E57" s="8" t="inlineStr">
        <is>
          <t>part_ii_balance_sheet.other_assets_eoy</t>
        </is>
      </c>
      <c r="F57" s="8" t="inlineStr">
        <is>
          <t>high</t>
        </is>
      </c>
      <c r="G57" s="9" t="n">
        <v>19804</v>
      </c>
    </row>
    <row r="58">
      <c r="A58" s="8" t="inlineStr">
        <is>
          <t>Form 990-EZ Parts I &amp; II</t>
        </is>
      </c>
      <c r="B58" s="8" t="inlineStr">
        <is>
          <t>B29</t>
        </is>
      </c>
      <c r="C58" s="8" t="inlineStr">
        <is>
          <t>26. Total liabilities</t>
        </is>
      </c>
      <c r="D58" s="8" t="inlineStr">
        <is>
          <t>Part II line 26 col B</t>
        </is>
      </c>
      <c r="E58" s="8" t="inlineStr">
        <is>
          <t>part_ii_balance_sheet.total_liabilities_eoy</t>
        </is>
      </c>
      <c r="F58" s="8" t="inlineStr">
        <is>
          <t>high</t>
        </is>
      </c>
      <c r="G58" s="9" t="n">
        <v>0</v>
      </c>
    </row>
    <row r="59">
      <c r="A59" s="8" t="inlineStr">
        <is>
          <t>Form 990-EZ Parts I &amp; II</t>
        </is>
      </c>
      <c r="B59" s="8" t="inlineStr">
        <is>
          <t>C29</t>
        </is>
      </c>
      <c r="C59" s="8" t="inlineStr">
        <is>
          <t>26. Total liabilities</t>
        </is>
      </c>
      <c r="D59" s="8" t="inlineStr">
        <is>
          <t>Part II line 26 col B</t>
        </is>
      </c>
      <c r="E59" s="8" t="inlineStr">
        <is>
          <t>part_ii_balance_sheet.total_liabilities_eoy</t>
        </is>
      </c>
      <c r="F59" s="8" t="inlineStr">
        <is>
          <t>high</t>
        </is>
      </c>
      <c r="G59" s="9" t="n">
        <v>0</v>
      </c>
    </row>
    <row r="60">
      <c r="A60" s="8" t="inlineStr">
        <is>
          <t>Form 990-EZ Parts I &amp; II</t>
        </is>
      </c>
      <c r="B60" s="8" t="inlineStr">
        <is>
          <t>B30</t>
        </is>
      </c>
      <c r="C60" s="8" t="inlineStr">
        <is>
          <t>27. Net assets or fund balances</t>
        </is>
      </c>
      <c r="D60" s="8" t="inlineStr">
        <is>
          <t>Part II line 27 col B</t>
        </is>
      </c>
      <c r="E60" s="8" t="inlineStr">
        <is>
          <t>part_ii_balance_sheet.net_assets_eoy</t>
        </is>
      </c>
      <c r="F60" s="8" t="inlineStr">
        <is>
          <t>high</t>
        </is>
      </c>
      <c r="G60" s="9" t="n">
        <v>120478</v>
      </c>
    </row>
    <row r="61">
      <c r="A61" s="8" t="inlineStr">
        <is>
          <t>Form 990-EZ Parts I &amp; II</t>
        </is>
      </c>
      <c r="B61" s="8" t="inlineStr">
        <is>
          <t>C30</t>
        </is>
      </c>
      <c r="C61" s="8" t="inlineStr">
        <is>
          <t>27. Net assets or fund balances</t>
        </is>
      </c>
      <c r="D61" s="8" t="inlineStr">
        <is>
          <t>Part II line 27 col B</t>
        </is>
      </c>
      <c r="E61" s="8" t="inlineStr">
        <is>
          <t>part_ii_balance_sheet.net_assets_eoy</t>
        </is>
      </c>
      <c r="F61" s="8" t="inlineStr">
        <is>
          <t>high</t>
        </is>
      </c>
      <c r="G61" s="9" t="n">
        <v>116969</v>
      </c>
    </row>
    <row r="62">
      <c r="A62" s="8" t="inlineStr">
        <is>
          <t>Form 990-EZ Parts I &amp; II</t>
        </is>
      </c>
      <c r="B62" s="8" t="inlineStr">
        <is>
          <t>D30</t>
        </is>
      </c>
      <c r="C62" s="8" t="inlineStr">
        <is>
          <t>27. Net assets or fund balances</t>
        </is>
      </c>
      <c r="D62" s="8" t="inlineStr">
        <is>
          <t>Part II line 27 col B</t>
        </is>
      </c>
      <c r="E62" s="8" t="inlineStr">
        <is>
          <t>part_ii_balance_sheet.net_assets_eoy</t>
        </is>
      </c>
      <c r="F62" s="8" t="inlineStr">
        <is>
          <t>high</t>
        </is>
      </c>
      <c r="G62" s="9" t="n">
        <v>111504</v>
      </c>
    </row>
    <row r="63">
      <c r="A63" s="8" t="inlineStr">
        <is>
          <t>Form 990-EZ Parts I &amp; II</t>
        </is>
      </c>
      <c r="B63" s="8" t="inlineStr">
        <is>
          <t>E30</t>
        </is>
      </c>
      <c r="C63" s="8" t="inlineStr">
        <is>
          <t>27. Net assets or fund balances</t>
        </is>
      </c>
      <c r="D63" s="8" t="inlineStr">
        <is>
          <t>Part II line 27 col B</t>
        </is>
      </c>
      <c r="E63" s="8" t="inlineStr">
        <is>
          <t>part_ii_balance_sheet.net_assets_eoy</t>
        </is>
      </c>
      <c r="F63" s="8" t="inlineStr">
        <is>
          <t>high</t>
        </is>
      </c>
      <c r="G63" s="9" t="n">
        <v>151123</v>
      </c>
    </row>
    <row r="65">
      <c r="A65" s="24" t="inlineStr">
        <is>
          <t>C. Tie-out checks (filed vs computed; any nonzero variance is flagged red)</t>
        </is>
      </c>
      <c r="B65" s="7" t="n"/>
      <c r="C65" s="7" t="n"/>
      <c r="D65" s="7" t="n"/>
      <c r="E65" s="7" t="n"/>
      <c r="F65" s="7" t="n"/>
      <c r="G65" s="7" t="n"/>
      <c r="H65" s="7" t="n"/>
      <c r="I65" s="7" t="n"/>
      <c r="J65" s="7" t="n"/>
      <c r="K65" s="7" t="n"/>
    </row>
    <row r="66">
      <c r="A66" s="5" t="inlineStr">
        <is>
          <t>Tab</t>
        </is>
      </c>
      <c r="B66" s="5" t="inlineStr">
        <is>
          <t>Check</t>
        </is>
      </c>
      <c r="C66" s="5" t="inlineStr">
        <is>
          <t>Fiscal year</t>
        </is>
      </c>
      <c r="D66" s="5" t="inlineStr">
        <is>
          <t>Filed</t>
        </is>
      </c>
      <c r="E66" s="5" t="inlineStr">
        <is>
          <t>Computed</t>
        </is>
      </c>
      <c r="F66" s="5" t="inlineStr">
        <is>
          <t>Variance (computed - filed)</t>
        </is>
      </c>
    </row>
    <row r="67">
      <c r="A67" s="25" t="inlineStr">
        <is>
          <t>Form 990-EZ Parts I &amp; II</t>
        </is>
      </c>
      <c r="B67" s="25" t="inlineStr">
        <is>
          <t>17. Total expenses</t>
        </is>
      </c>
      <c r="C67" s="25" t="inlineStr">
        <is>
          <t>FY2020</t>
        </is>
      </c>
      <c r="D67" s="9" t="n">
        <v>144216</v>
      </c>
      <c r="E67" s="9">
        <f>'Form 990-EZ Parts I &amp; II'!B18</f>
        <v/>
      </c>
      <c r="F67" s="9">
        <f>E67-D67</f>
        <v/>
      </c>
    </row>
    <row r="68">
      <c r="A68" s="25" t="inlineStr">
        <is>
          <t>Form 990-EZ Parts I &amp; II</t>
        </is>
      </c>
      <c r="B68" s="25" t="inlineStr">
        <is>
          <t>17. Total expenses</t>
        </is>
      </c>
      <c r="C68" s="25" t="inlineStr">
        <is>
          <t>FY2021</t>
        </is>
      </c>
      <c r="D68" s="9" t="n">
        <v>137206</v>
      </c>
      <c r="E68" s="9">
        <f>'Form 990-EZ Parts I &amp; II'!C18</f>
        <v/>
      </c>
      <c r="F68" s="9">
        <f>E68-D68</f>
        <v/>
      </c>
    </row>
    <row r="69">
      <c r="A69" s="25" t="inlineStr">
        <is>
          <t>Form 990-EZ Parts I &amp; II</t>
        </is>
      </c>
      <c r="B69" s="25" t="inlineStr">
        <is>
          <t>17. Total expenses</t>
        </is>
      </c>
      <c r="C69" s="25" t="inlineStr">
        <is>
          <t>FY2022</t>
        </is>
      </c>
      <c r="D69" s="9" t="n">
        <v>147353</v>
      </c>
      <c r="E69" s="9">
        <f>'Form 990-EZ Parts I &amp; II'!D18</f>
        <v/>
      </c>
      <c r="F69" s="9">
        <f>E69-D69</f>
        <v/>
      </c>
    </row>
    <row r="70">
      <c r="A70" s="25" t="inlineStr">
        <is>
          <t>Form 990-EZ Parts I &amp; II</t>
        </is>
      </c>
      <c r="B70" s="25" t="inlineStr">
        <is>
          <t>17. Total expenses</t>
        </is>
      </c>
      <c r="C70" s="25" t="inlineStr">
        <is>
          <t>FY2023</t>
        </is>
      </c>
      <c r="D70" s="9" t="n">
        <v>141204</v>
      </c>
      <c r="E70" s="9">
        <f>'Form 990-EZ Parts I &amp; II'!E18</f>
        <v/>
      </c>
      <c r="F70" s="9">
        <f>E70-D70</f>
        <v/>
      </c>
    </row>
    <row r="71">
      <c r="A71" s="25" t="inlineStr">
        <is>
          <t>Form 990-EZ Parts I &amp; II</t>
        </is>
      </c>
      <c r="B71" s="25" t="inlineStr">
        <is>
          <t>21. Net assets or fund balances, end of year</t>
        </is>
      </c>
      <c r="C71" s="25" t="inlineStr">
        <is>
          <t>FY2020</t>
        </is>
      </c>
      <c r="D71" s="9" t="n">
        <v>120478</v>
      </c>
      <c r="E71" s="9">
        <f>'Form 990-EZ Parts I &amp; II'!B23</f>
        <v/>
      </c>
      <c r="F71" s="9">
        <f>E71-D71</f>
        <v/>
      </c>
    </row>
    <row r="72">
      <c r="A72" s="25" t="inlineStr">
        <is>
          <t>Form 990-EZ Parts I &amp; II</t>
        </is>
      </c>
      <c r="B72" s="25" t="inlineStr">
        <is>
          <t>21. Net assets or fund balances, end of year</t>
        </is>
      </c>
      <c r="C72" s="25" t="inlineStr">
        <is>
          <t>FY2021</t>
        </is>
      </c>
      <c r="D72" s="9" t="n">
        <v>116969</v>
      </c>
      <c r="E72" s="9">
        <f>'Form 990-EZ Parts I &amp; II'!C23</f>
        <v/>
      </c>
      <c r="F72" s="9">
        <f>E72-D72</f>
        <v/>
      </c>
    </row>
    <row r="73">
      <c r="A73" s="25" t="inlineStr">
        <is>
          <t>Form 990-EZ Parts I &amp; II</t>
        </is>
      </c>
      <c r="B73" s="25" t="inlineStr">
        <is>
          <t>21. Net assets or fund balances, end of year</t>
        </is>
      </c>
      <c r="C73" s="25" t="inlineStr">
        <is>
          <t>FY2022</t>
        </is>
      </c>
      <c r="D73" s="9" t="n">
        <v>111504</v>
      </c>
      <c r="E73" s="9">
        <f>'Form 990-EZ Parts I &amp; II'!D23</f>
        <v/>
      </c>
      <c r="F73" s="9">
        <f>E73-D73</f>
        <v/>
      </c>
    </row>
    <row r="74">
      <c r="A74" s="25" t="inlineStr">
        <is>
          <t>Form 990-EZ Parts I &amp; II</t>
        </is>
      </c>
      <c r="B74" s="25" t="inlineStr">
        <is>
          <t>21. Net assets or fund balances, end of year</t>
        </is>
      </c>
      <c r="C74" s="25" t="inlineStr">
        <is>
          <t>FY2023</t>
        </is>
      </c>
      <c r="D74" s="9" t="n">
        <v>151123</v>
      </c>
      <c r="E74" s="9">
        <f>'Form 990-EZ Parts I &amp; II'!E23</f>
        <v/>
      </c>
      <c r="F74" s="9">
        <f>E74-D74</f>
        <v/>
      </c>
    </row>
    <row r="75">
      <c r="A75" s="25" t="inlineStr">
        <is>
          <t>Form 990-EZ Parts I &amp; II</t>
        </is>
      </c>
      <c r="B75" s="25" t="inlineStr">
        <is>
          <t>25. Total assets</t>
        </is>
      </c>
      <c r="C75" s="25" t="inlineStr">
        <is>
          <t>FY2020</t>
        </is>
      </c>
      <c r="D75" s="9" t="n">
        <v>120478</v>
      </c>
      <c r="E75" s="9">
        <f>'Form 990-EZ Parts I &amp; II'!B28</f>
        <v/>
      </c>
      <c r="F75" s="9">
        <f>E75-D75</f>
        <v/>
      </c>
    </row>
    <row r="76">
      <c r="A76" s="25" t="inlineStr">
        <is>
          <t>Form 990-EZ Parts I &amp; II</t>
        </is>
      </c>
      <c r="B76" s="25" t="inlineStr">
        <is>
          <t>25. Total assets</t>
        </is>
      </c>
      <c r="C76" s="25" t="inlineStr">
        <is>
          <t>FY2021</t>
        </is>
      </c>
      <c r="D76" s="9" t="n">
        <v>116969</v>
      </c>
      <c r="E76" s="9">
        <f>'Form 990-EZ Parts I &amp; II'!C28</f>
        <v/>
      </c>
      <c r="F76" s="9">
        <f>E76-D76</f>
        <v/>
      </c>
    </row>
    <row r="77">
      <c r="A77" s="25" t="inlineStr">
        <is>
          <t>Form 990-EZ Parts I &amp; II</t>
        </is>
      </c>
      <c r="B77" s="25" t="inlineStr">
        <is>
          <t>25. Total assets</t>
        </is>
      </c>
      <c r="C77" s="25" t="inlineStr">
        <is>
          <t>FY2022</t>
        </is>
      </c>
      <c r="D77" s="9" t="n">
        <v>111504</v>
      </c>
      <c r="E77" s="9">
        <f>'Form 990-EZ Parts I &amp; II'!D28</f>
        <v/>
      </c>
      <c r="F77" s="9">
        <f>E77-D77</f>
        <v/>
      </c>
    </row>
    <row r="78">
      <c r="A78" s="25" t="inlineStr">
        <is>
          <t>Form 990-EZ Parts I &amp; II</t>
        </is>
      </c>
      <c r="B78" s="25" t="inlineStr">
        <is>
          <t>25. Total assets</t>
        </is>
      </c>
      <c r="C78" s="25" t="inlineStr">
        <is>
          <t>FY2023</t>
        </is>
      </c>
      <c r="D78" s="9" t="n">
        <v>151123</v>
      </c>
      <c r="E78" s="9">
        <f>'Form 990-EZ Parts I &amp; II'!E28</f>
        <v/>
      </c>
      <c r="F78" s="9">
        <f>E78-D78</f>
        <v/>
      </c>
    </row>
    <row r="79">
      <c r="A79" s="25" t="inlineStr">
        <is>
          <t>Form 990-EZ Parts I &amp; II</t>
        </is>
      </c>
      <c r="B79" s="25" t="inlineStr">
        <is>
          <t>Balance sheet identity: line 25 = line 26 + line 27 (EOY)</t>
        </is>
      </c>
      <c r="C79" s="25" t="inlineStr">
        <is>
          <t>FY2020</t>
        </is>
      </c>
      <c r="D79" s="9">
        <f>'Form 990-EZ Parts I &amp; II'!B28</f>
        <v/>
      </c>
      <c r="E79" s="9">
        <f>SUM('Form 990-EZ Parts I &amp; II'!B29,'Form 990-EZ Parts I &amp; II'!B30)</f>
        <v/>
      </c>
      <c r="F79" s="9">
        <f>E79-D79</f>
        <v/>
      </c>
    </row>
    <row r="80">
      <c r="A80" s="25" t="inlineStr">
        <is>
          <t>Form 990-EZ Parts I &amp; II</t>
        </is>
      </c>
      <c r="B80" s="25" t="inlineStr">
        <is>
          <t>Balance sheet identity: line 25 = line 26 + line 27 (EOY)</t>
        </is>
      </c>
      <c r="C80" s="25" t="inlineStr">
        <is>
          <t>FY2021</t>
        </is>
      </c>
      <c r="D80" s="9">
        <f>'Form 990-EZ Parts I &amp; II'!C28</f>
        <v/>
      </c>
      <c r="E80" s="9">
        <f>SUM('Form 990-EZ Parts I &amp; II'!C29,'Form 990-EZ Parts I &amp; II'!C30)</f>
        <v/>
      </c>
      <c r="F80" s="9">
        <f>E80-D80</f>
        <v/>
      </c>
    </row>
    <row r="81">
      <c r="A81" s="25" t="inlineStr">
        <is>
          <t>Form 990-EZ Parts I &amp; II</t>
        </is>
      </c>
      <c r="B81" s="25" t="inlineStr">
        <is>
          <t>Balance sheet identity: line 25 = line 26 + line 27 (EOY)</t>
        </is>
      </c>
      <c r="C81" s="25" t="inlineStr">
        <is>
          <t>FY2022</t>
        </is>
      </c>
      <c r="D81" s="9">
        <f>'Form 990-EZ Parts I &amp; II'!D28</f>
        <v/>
      </c>
      <c r="E81" s="9">
        <f>SUM('Form 990-EZ Parts I &amp; II'!D29,'Form 990-EZ Parts I &amp; II'!D30)</f>
        <v/>
      </c>
      <c r="F81" s="9">
        <f>E81-D81</f>
        <v/>
      </c>
    </row>
    <row r="82">
      <c r="A82" s="25" t="inlineStr">
        <is>
          <t>Form 990-EZ Parts I &amp; II</t>
        </is>
      </c>
      <c r="B82" s="25" t="inlineStr">
        <is>
          <t>Balance sheet identity: line 25 = line 26 + line 27 (EOY)</t>
        </is>
      </c>
      <c r="C82" s="25" t="inlineStr">
        <is>
          <t>FY2023</t>
        </is>
      </c>
      <c r="D82" s="9">
        <f>'Form 990-EZ Parts I &amp; II'!E28</f>
        <v/>
      </c>
      <c r="E82" s="9">
        <f>SUM('Form 990-EZ Parts I &amp; II'!E29,'Form 990-EZ Parts I &amp; II'!E30)</f>
        <v/>
      </c>
      <c r="F82" s="9">
        <f>E82-D82</f>
        <v/>
      </c>
    </row>
    <row r="84">
      <c r="A84" s="24" t="inlineStr">
        <is>
          <t>D. Preparer / auditor trail (one row per fiscal year, as filed)</t>
        </is>
      </c>
      <c r="B84" s="7" t="n"/>
      <c r="C84" s="7" t="n"/>
      <c r="D84" s="7" t="n"/>
      <c r="E84" s="7" t="n"/>
      <c r="F84" s="7" t="n"/>
      <c r="G84" s="7" t="n"/>
      <c r="H84" s="7" t="n"/>
      <c r="I84" s="7" t="n"/>
      <c r="J84" s="7" t="n"/>
      <c r="K84" s="7" t="n"/>
    </row>
    <row r="85">
      <c r="A85" s="5" t="inlineStr">
        <is>
          <t>Fiscal year</t>
        </is>
      </c>
      <c r="B85" s="5" t="inlineStr">
        <is>
          <t>Paid preparer</t>
        </is>
      </c>
      <c r="C85" s="5" t="inlineStr">
        <is>
          <t>Preparer firm</t>
        </is>
      </c>
      <c r="D85" s="5" t="inlineStr">
        <is>
          <t>Independent auditor</t>
        </is>
      </c>
      <c r="E85" s="5" t="inlineStr">
        <is>
          <t>Citation</t>
        </is>
      </c>
    </row>
    <row r="86" ht="42" customHeight="1">
      <c r="A86" s="22" t="inlineStr">
        <is>
          <t>FY2020</t>
        </is>
      </c>
      <c r="B86" s="8" t="inlineStr">
        <is>
          <t>MICHAEL D CHRISTOFERSON CPA</t>
        </is>
      </c>
      <c r="C86" s="8" t="inlineStr">
        <is>
          <t>GLENN BURDETTE INC</t>
        </is>
      </c>
      <c r="D86" s="26" t="inlineStr">
        <is>
          <t>not reported</t>
        </is>
      </c>
      <c r="E86" s="17" t="inlineStr">
        <is>
          <t>Form 990 Return Header, Paid Preparer block (return_header.preparer_person_name / preparer_firm_name); auditor: Part XII line 2 reports audited financial statements but does not name the firm.</t>
        </is>
      </c>
    </row>
    <row r="87" ht="42" customHeight="1">
      <c r="A87" s="22" t="inlineStr">
        <is>
          <t>FY2021</t>
        </is>
      </c>
      <c r="B87" s="8" t="inlineStr">
        <is>
          <t>MICHAEL D CHRISTOFERSON CPA</t>
        </is>
      </c>
      <c r="C87" s="8" t="inlineStr">
        <is>
          <t>GLENN BURDETTE INC</t>
        </is>
      </c>
      <c r="D87" s="26" t="inlineStr">
        <is>
          <t>not reported</t>
        </is>
      </c>
      <c r="E87" s="17" t="inlineStr">
        <is>
          <t>Form 990 Return Header, Paid Preparer block (return_header.preparer_person_name / preparer_firm_name); auditor: Part XII line 2 reports audited financial statements but does not name the firm.</t>
        </is>
      </c>
    </row>
    <row r="88" ht="42" customHeight="1">
      <c r="A88" s="22" t="inlineStr">
        <is>
          <t>FY2022</t>
        </is>
      </c>
      <c r="B88" s="8" t="inlineStr">
        <is>
          <t>Scott Hayner</t>
        </is>
      </c>
      <c r="C88" s="8" t="inlineStr">
        <is>
          <t>HHMC Tax Inc</t>
        </is>
      </c>
      <c r="D88" s="26" t="inlineStr">
        <is>
          <t>not reported</t>
        </is>
      </c>
      <c r="E88" s="17" t="inlineStr">
        <is>
          <t>Form 990 Return Header, Paid Preparer block (return_header.preparer_person_name / preparer_firm_name); auditor: Part XII line 2 reports audited financial statements but does not name the firm.</t>
        </is>
      </c>
    </row>
    <row r="89" ht="42" customHeight="1">
      <c r="A89" s="22" t="inlineStr">
        <is>
          <t>FY2023</t>
        </is>
      </c>
      <c r="B89" s="8" t="inlineStr">
        <is>
          <t>Scott Hayner</t>
        </is>
      </c>
      <c r="C89" s="8" t="inlineStr">
        <is>
          <t>HHMC Tax Inc</t>
        </is>
      </c>
      <c r="D89" s="26" t="inlineStr">
        <is>
          <t>not reported</t>
        </is>
      </c>
      <c r="E89" s="17" t="inlineStr">
        <is>
          <t>Form 990 Return Header, Paid Preparer block (return_header.preparer_person_name / preparer_firm_name); auditor: Part XII line 2 reports audited financial statements but does not name the firm.</t>
        </is>
      </c>
    </row>
    <row r="91" ht="42" customHeight="1">
      <c r="A91"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91:K91"/>
    <mergeCell ref="A3:K3"/>
    <mergeCell ref="A2:K2"/>
    <mergeCell ref="A5:K5"/>
    <mergeCell ref="A1:K1"/>
  </mergeCells>
  <conditionalFormatting sqref="F67:F82">
    <cfRule type="cellIs" priority="1" operator="notEqual" dxfId="0">
      <formula>0</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