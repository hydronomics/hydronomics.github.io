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Financial Summary - multi-year overview (USD)</t>
        </is>
      </c>
    </row>
    <row r="3">
      <c r="A3" s="2" t="inlineStr">
        <is>
          <t>Entity ID: cawc_0093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108545</v>
      </c>
      <c r="C10" s="9" t="n">
        <v>114629</v>
      </c>
      <c r="D10" s="9" t="n">
        <v>103998</v>
      </c>
      <c r="E10" s="9" t="n">
        <v>113096</v>
      </c>
      <c r="F10" s="9" t="n">
        <v>129555</v>
      </c>
      <c r="G10" s="9" t="n">
        <v>143451</v>
      </c>
    </row>
    <row r="11">
      <c r="A11" s="8" t="inlineStr">
        <is>
          <t xml:space="preserve">    Total expenses</t>
        </is>
      </c>
      <c r="B11" s="9" t="n">
        <v>90271</v>
      </c>
      <c r="C11" s="9" t="n">
        <v>98842</v>
      </c>
      <c r="D11" s="9" t="n">
        <v>101948</v>
      </c>
      <c r="E11" s="9" t="n">
        <v>124319</v>
      </c>
      <c r="F11" s="9" t="n">
        <v>135631</v>
      </c>
      <c r="G11" s="9" t="n">
        <v>134952</v>
      </c>
    </row>
    <row r="12">
      <c r="A12" s="10" t="inlineStr">
        <is>
          <t xml:space="preserve">    Net income</t>
        </is>
      </c>
      <c r="B12" s="11" t="n">
        <v>18274</v>
      </c>
      <c r="C12" s="11" t="n">
        <v>15787</v>
      </c>
      <c r="D12" s="11" t="n">
        <v>2050</v>
      </c>
      <c r="E12" s="11" t="n">
        <v>-11223</v>
      </c>
      <c r="F12" s="11" t="n">
        <v>-6076</v>
      </c>
      <c r="G12" s="11" t="n">
        <v>8499</v>
      </c>
    </row>
    <row r="14">
      <c r="A14" s="6" t="inlineStr">
        <is>
          <t>Financial position (USD, end of year)</t>
        </is>
      </c>
      <c r="B14" s="7" t="n"/>
      <c r="C14" s="7" t="n"/>
      <c r="D14" s="7" t="n"/>
      <c r="E14" s="7" t="n"/>
      <c r="F14" s="7" t="n"/>
      <c r="G14" s="7" t="n"/>
    </row>
    <row r="15">
      <c r="A15" s="8" t="inlineStr">
        <is>
          <t xml:space="preserve">    Total assets</t>
        </is>
      </c>
      <c r="B15" s="9" t="n">
        <v>295776</v>
      </c>
      <c r="C15" s="9" t="n">
        <v>311563</v>
      </c>
      <c r="D15" s="9" t="n">
        <v>313613</v>
      </c>
      <c r="E15" s="9" t="n">
        <v>330355</v>
      </c>
      <c r="F15" s="9" t="n">
        <v>321733</v>
      </c>
      <c r="G15" s="9" t="n">
        <v>304014</v>
      </c>
    </row>
    <row r="16">
      <c r="A16" s="8" t="inlineStr">
        <is>
          <t xml:space="preserve">    Total liabilities</t>
        </is>
      </c>
      <c r="B16" s="9" t="n"/>
      <c r="C16" s="9" t="n"/>
      <c r="D16" s="9" t="n"/>
      <c r="E16" s="9" t="n">
        <v>27965</v>
      </c>
      <c r="F16" s="9" t="n">
        <v>26218</v>
      </c>
      <c r="G16" s="9" t="n"/>
    </row>
    <row r="17">
      <c r="A17" s="10" t="inlineStr">
        <is>
          <t xml:space="preserve">    Net assets</t>
        </is>
      </c>
      <c r="B17" s="11" t="n">
        <v>295776</v>
      </c>
      <c r="C17" s="11" t="n">
        <v>311563</v>
      </c>
      <c r="D17" s="11" t="n">
        <v>313613</v>
      </c>
      <c r="E17" s="11" t="n">
        <v>302390</v>
      </c>
      <c r="F17" s="11" t="n">
        <v>295515</v>
      </c>
      <c r="G17" s="11" t="n">
        <v>304014</v>
      </c>
    </row>
    <row r="19">
      <c r="A19" s="6" t="inlineStr">
        <is>
          <t>Headline ratios</t>
        </is>
      </c>
      <c r="B19" s="7" t="n"/>
      <c r="C19" s="7" t="n"/>
      <c r="D19" s="7" t="n"/>
      <c r="E19" s="7" t="n"/>
      <c r="F19" s="7" t="n"/>
      <c r="G19" s="7" t="n"/>
    </row>
    <row r="20">
      <c r="A20" s="8" t="inlineStr">
        <is>
          <t xml:space="preserve">    Operating margin</t>
        </is>
      </c>
      <c r="B20" s="12" t="n">
        <v>0.1683541388364273</v>
      </c>
      <c r="C20" s="12" t="n">
        <v>0.1377225658428495</v>
      </c>
      <c r="D20" s="12" t="n">
        <v>0.01971191753687571</v>
      </c>
      <c r="E20" s="12" t="n">
        <v>-0.09923427884275306</v>
      </c>
      <c r="F20" s="12" t="n">
        <v>-0.04689900042453012</v>
      </c>
      <c r="G20" s="12" t="n">
        <v>0.05924671142062447</v>
      </c>
    </row>
    <row r="21">
      <c r="A21" s="8" t="inlineStr">
        <is>
          <t xml:space="preserve">    Revenue growth (YoY)</t>
        </is>
      </c>
      <c r="B21" s="12" t="n"/>
      <c r="C21" s="12" t="n"/>
      <c r="D21" s="12" t="n"/>
      <c r="E21" s="12" t="n"/>
      <c r="F21" s="12" t="n"/>
      <c r="G21" s="12" t="n"/>
    </row>
    <row r="22">
      <c r="A22" s="8" t="inlineStr">
        <is>
          <t xml:space="preserve">    Return on assets</t>
        </is>
      </c>
      <c r="B22" s="12" t="n">
        <v>0.06178324137184896</v>
      </c>
      <c r="C22" s="12" t="n">
        <v>0.0506703299172238</v>
      </c>
      <c r="D22" s="12" t="n">
        <v>0.006536718822242701</v>
      </c>
      <c r="E22" s="12" t="n">
        <v>-0.03397254468677634</v>
      </c>
      <c r="F22" s="12" t="n">
        <v>-0.01888522470495722</v>
      </c>
      <c r="G22" s="12" t="n">
        <v>0.02795594939706724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2026-09-23</t>
        </is>
      </c>
      <c r="B5" s="8" t="inlineStr">
        <is>
          <t>clarification</t>
        </is>
      </c>
      <c r="C5" s="8" t="inlineStr">
        <is>
          <t>Brendan</t>
        </is>
      </c>
      <c r="D5" s="13" t="inlineStr">
        <is>
          <t>triplerwater.com was this company's own website. An archived 2024 snapshot reads 'Triple R Mutual Water Co.', serving 'Triple R Estates of Springville California', with its own board members, FAQ and bill pay pages. The domain now returns NXDOMAIN and whois returns no match, so the registration has lapsed. The contact record therefore states that there is no current website, and the lapsed domain is deliberately not recorded as one: a high confidence address that does not resolve would be worse for a reader than an honest absence.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Financial Statements - income statement, balance sheet, cash flow, member income test (USD)</t>
        </is>
      </c>
    </row>
    <row r="3">
      <c r="A3" s="2" t="inlineStr">
        <is>
          <t>Entity ID: cawc_0093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90271</v>
      </c>
      <c r="C19" s="11" t="n">
        <v>98842</v>
      </c>
      <c r="D19" s="11" t="n">
        <v>101948</v>
      </c>
      <c r="E19" s="11" t="n">
        <v>124319</v>
      </c>
      <c r="F19" s="11" t="n">
        <v>135631</v>
      </c>
      <c r="G19" s="11" t="n">
        <v>134952</v>
      </c>
    </row>
    <row r="21">
      <c r="A21" s="10" t="inlineStr">
        <is>
          <t>Net income</t>
        </is>
      </c>
      <c r="B21" s="11" t="n">
        <v>18274</v>
      </c>
      <c r="C21" s="11" t="n">
        <v>15787</v>
      </c>
      <c r="D21" s="11" t="n">
        <v>2050</v>
      </c>
      <c r="E21" s="11" t="n">
        <v>-11223</v>
      </c>
      <c r="F21" s="11" t="n">
        <v>-6076</v>
      </c>
      <c r="G21" s="11" t="n">
        <v>8499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295776</v>
      </c>
      <c r="C27" s="9" t="n">
        <v>311563</v>
      </c>
      <c r="D27" s="9" t="n">
        <v>313613</v>
      </c>
      <c r="E27" s="9" t="n">
        <v>330355</v>
      </c>
      <c r="F27" s="9" t="n">
        <v>321733</v>
      </c>
      <c r="G27" s="9" t="n">
        <v>164010</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v>128207</v>
      </c>
    </row>
    <row r="35">
      <c r="A35" s="10" t="inlineStr">
        <is>
          <t>Total assets</t>
        </is>
      </c>
      <c r="B35" s="11" t="n">
        <v>295776</v>
      </c>
      <c r="C35" s="11" t="n">
        <v>311563</v>
      </c>
      <c r="D35" s="11" t="n">
        <v>313613</v>
      </c>
      <c r="E35" s="11" t="n">
        <v>330355</v>
      </c>
      <c r="F35" s="11" t="n">
        <v>321733</v>
      </c>
      <c r="G35" s="11" t="n">
        <v>304014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v>27965</v>
      </c>
      <c r="F40" s="11" t="n">
        <v>26218</v>
      </c>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295776</v>
      </c>
      <c r="C46" s="11" t="n">
        <v>311563</v>
      </c>
      <c r="D46" s="11" t="n">
        <v>313613</v>
      </c>
      <c r="E46" s="11" t="n">
        <v>302390</v>
      </c>
      <c r="F46" s="11" t="n">
        <v>295515</v>
      </c>
      <c r="G46" s="11" t="n">
        <v>304014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18274</v>
      </c>
      <c r="C52" s="9" t="n">
        <v>15787</v>
      </c>
      <c r="D52" s="9" t="n">
        <v>2050</v>
      </c>
      <c r="E52" s="9" t="n">
        <v>-11223</v>
      </c>
      <c r="F52" s="9" t="n">
        <v>-6076</v>
      </c>
      <c r="G52" s="9" t="n">
        <v>8499</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15787</v>
      </c>
      <c r="D58" s="11" t="n">
        <v>2050</v>
      </c>
      <c r="E58" s="11" t="n">
        <v>-11223</v>
      </c>
      <c r="F58" s="11" t="n">
        <v>-6076</v>
      </c>
      <c r="G58" s="11" t="n">
        <v>8499</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15787</v>
      </c>
      <c r="D67" s="11" t="n">
        <v>2050</v>
      </c>
      <c r="E67" s="11" t="n">
        <v>16742</v>
      </c>
      <c r="F67" s="11" t="n">
        <v>-8622</v>
      </c>
      <c r="G67" s="11" t="n">
        <v>-157723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Balance Sheet - as reported (USD, end of year)</t>
        </is>
      </c>
    </row>
    <row r="3">
      <c r="A3" s="2" t="inlineStr">
        <is>
          <t>Entity ID: cawc_0093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295776</v>
      </c>
      <c r="C7" s="9" t="n">
        <v>311563</v>
      </c>
      <c r="D7" s="9" t="n">
        <v>313613</v>
      </c>
      <c r="E7" s="9" t="n">
        <v>330355</v>
      </c>
      <c r="F7" s="9" t="n">
        <v>321733</v>
      </c>
      <c r="G7" s="9" t="n">
        <v>164010</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v>128207</v>
      </c>
    </row>
    <row r="15">
      <c r="A15" s="10" t="inlineStr">
        <is>
          <t>Total assets</t>
        </is>
      </c>
      <c r="B15" s="11" t="n">
        <v>295776</v>
      </c>
      <c r="C15" s="11" t="n">
        <v>311563</v>
      </c>
      <c r="D15" s="11" t="n">
        <v>313613</v>
      </c>
      <c r="E15" s="11" t="n">
        <v>330355</v>
      </c>
      <c r="F15" s="11" t="n">
        <v>321733</v>
      </c>
      <c r="G15" s="11" t="n">
        <v>304014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v>27965</v>
      </c>
      <c r="F20" s="11" t="n">
        <v>26218</v>
      </c>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295776</v>
      </c>
      <c r="C26" s="11" t="n">
        <v>311563</v>
      </c>
      <c r="D26" s="11" t="n">
        <v>313613</v>
      </c>
      <c r="E26" s="11" t="n">
        <v>302390</v>
      </c>
      <c r="F26" s="11" t="n">
        <v>295515</v>
      </c>
      <c r="G26" s="11" t="n">
        <v>304014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Form 990-EZ - Part I (revenue, expenses, net assets) and Part II (balance sheet), as filed (USD)</t>
        </is>
      </c>
    </row>
    <row r="3">
      <c r="A3" s="2" t="inlineStr">
        <is>
          <t>Entity ID: cawc_0093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3. Membership dues and assessments</t>
        </is>
      </c>
      <c r="B7" s="9" t="n">
        <v>108539</v>
      </c>
      <c r="C7" s="9" t="n">
        <v>114600</v>
      </c>
      <c r="D7" s="9" t="n">
        <v>103994</v>
      </c>
      <c r="E7" s="9" t="n">
        <v>113092</v>
      </c>
      <c r="F7" s="9" t="n">
        <v>129550</v>
      </c>
      <c r="G7" s="9" t="n">
        <v>139445</v>
      </c>
    </row>
    <row r="8">
      <c r="A8" s="8" t="inlineStr">
        <is>
          <t xml:space="preserve">    4. Investment income</t>
        </is>
      </c>
      <c r="B8" s="9" t="n">
        <v>6</v>
      </c>
      <c r="C8" s="9" t="n">
        <v>29</v>
      </c>
      <c r="D8" s="9" t="n">
        <v>4</v>
      </c>
      <c r="E8" s="9" t="n">
        <v>4</v>
      </c>
      <c r="F8" s="9" t="n">
        <v>5</v>
      </c>
      <c r="G8" s="9" t="n">
        <v>275</v>
      </c>
    </row>
    <row r="9">
      <c r="A9" s="10" t="inlineStr">
        <is>
          <t>9. Total revenue</t>
        </is>
      </c>
      <c r="B9" s="11" t="n">
        <v>108545</v>
      </c>
      <c r="C9" s="11" t="n">
        <v>114629</v>
      </c>
      <c r="D9" s="11" t="n">
        <v>103998</v>
      </c>
      <c r="E9" s="11" t="n">
        <v>113096</v>
      </c>
      <c r="F9" s="11" t="n">
        <v>129555</v>
      </c>
      <c r="G9" s="11" t="n">
        <v>143451</v>
      </c>
    </row>
    <row r="11">
      <c r="A11" s="6" t="inlineStr">
        <is>
          <t>Expenses (Part I)</t>
        </is>
      </c>
      <c r="B11" s="7" t="n"/>
      <c r="C11" s="7" t="n"/>
      <c r="D11" s="7" t="n"/>
      <c r="E11" s="7" t="n"/>
      <c r="F11" s="7" t="n"/>
      <c r="G11" s="7" t="n"/>
    </row>
    <row r="12">
      <c r="A12" s="8" t="inlineStr">
        <is>
          <t xml:space="preserve">    13. Fees for services (independent contractors)</t>
        </is>
      </c>
      <c r="B12" s="9" t="n">
        <v>750</v>
      </c>
      <c r="C12" s="9" t="n">
        <v>750</v>
      </c>
      <c r="D12" s="9" t="n">
        <v>700</v>
      </c>
      <c r="E12" s="9" t="n">
        <v>85</v>
      </c>
      <c r="F12" s="9" t="n">
        <v>1300</v>
      </c>
      <c r="G12" s="9" t="n">
        <v>1400</v>
      </c>
    </row>
    <row r="13">
      <c r="A13" s="8" t="inlineStr">
        <is>
          <t xml:space="preserve">    16. Other expenses</t>
        </is>
      </c>
      <c r="B13" s="9" t="n">
        <v>89521</v>
      </c>
      <c r="C13" s="9" t="n">
        <v>98092</v>
      </c>
      <c r="D13" s="9" t="n">
        <v>101248</v>
      </c>
      <c r="E13" s="9" t="n">
        <v>124234</v>
      </c>
      <c r="F13" s="9" t="n">
        <v>134331</v>
      </c>
      <c r="G13" s="9" t="n">
        <v>133552</v>
      </c>
    </row>
    <row r="14">
      <c r="A14" s="10" t="inlineStr">
        <is>
          <t>17. Total expenses</t>
        </is>
      </c>
      <c r="B14" s="11">
        <f>SUM(B12:B13)</f>
        <v/>
      </c>
      <c r="C14" s="11">
        <f>SUM(C12:C13)</f>
        <v/>
      </c>
      <c r="D14" s="11">
        <f>SUM(D12:D13)</f>
        <v/>
      </c>
      <c r="E14" s="11">
        <f>SUM(E12:E13)</f>
        <v/>
      </c>
      <c r="F14" s="11">
        <f>SUM(F12:F13)</f>
        <v/>
      </c>
      <c r="G14" s="11">
        <f>SUM(G12:G13)</f>
        <v/>
      </c>
    </row>
    <row r="16">
      <c r="A16" s="6" t="inlineStr">
        <is>
          <t>Net-assets reconciliation (Part I)</t>
        </is>
      </c>
      <c r="B16" s="7" t="n"/>
      <c r="C16" s="7" t="n"/>
      <c r="D16" s="7" t="n"/>
      <c r="E16" s="7" t="n"/>
      <c r="F16" s="7" t="n"/>
      <c r="G16" s="7" t="n"/>
    </row>
    <row r="17">
      <c r="A17" s="8" t="inlineStr">
        <is>
          <t xml:space="preserve">    19. Net assets or fund balances, beginning of year</t>
        </is>
      </c>
      <c r="B17" s="9" t="n">
        <v>277502</v>
      </c>
      <c r="C17" s="9" t="n">
        <v>295776</v>
      </c>
      <c r="D17" s="9" t="n">
        <v>311563</v>
      </c>
      <c r="E17" s="9" t="n">
        <v>313613</v>
      </c>
      <c r="F17" s="9" t="n">
        <v>301591</v>
      </c>
      <c r="G17" s="9" t="n">
        <v>295515</v>
      </c>
    </row>
    <row r="18">
      <c r="A18" s="8" t="inlineStr">
        <is>
          <t xml:space="preserve">    18. Excess or (deficit) for the year</t>
        </is>
      </c>
      <c r="B18" s="9" t="n">
        <v>18274</v>
      </c>
      <c r="C18" s="9" t="n">
        <v>15787</v>
      </c>
      <c r="D18" s="9" t="n">
        <v>2050</v>
      </c>
      <c r="E18" s="9" t="n">
        <v>-11223</v>
      </c>
      <c r="F18" s="9" t="n">
        <v>-6076</v>
      </c>
      <c r="G18" s="9" t="n">
        <v>8499</v>
      </c>
    </row>
    <row r="19">
      <c r="A19" s="10" t="inlineStr">
        <is>
          <t>21. Net assets or fund balances, end of year</t>
        </is>
      </c>
      <c r="B19" s="11">
        <f>SUM(B17,B18)</f>
        <v/>
      </c>
      <c r="C19" s="11">
        <f>SUM(C17,C18)</f>
        <v/>
      </c>
      <c r="D19" s="11">
        <f>SUM(D17,D18)</f>
        <v/>
      </c>
      <c r="E19" s="11">
        <f>SUM(E17,E18)</f>
        <v/>
      </c>
      <c r="F19" s="11">
        <f>SUM(F17,F18)</f>
        <v/>
      </c>
      <c r="G19" s="11">
        <f>SUM(G17,G18)</f>
        <v/>
      </c>
    </row>
    <row r="21">
      <c r="A21" s="6" t="inlineStr">
        <is>
          <t>Balance sheet (Part II, end of year - column B)</t>
        </is>
      </c>
      <c r="B21" s="7" t="n"/>
      <c r="C21" s="7" t="n"/>
      <c r="D21" s="7" t="n"/>
      <c r="E21" s="7" t="n"/>
      <c r="F21" s="7" t="n"/>
      <c r="G21" s="7" t="n"/>
    </row>
    <row r="22">
      <c r="A22" s="8" t="inlineStr">
        <is>
          <t xml:space="preserve">    22. Cash, savings, and investments</t>
        </is>
      </c>
      <c r="B22" s="9" t="n">
        <v>295776</v>
      </c>
      <c r="C22" s="9" t="n">
        <v>311563</v>
      </c>
      <c r="D22" s="9" t="n">
        <v>313613</v>
      </c>
      <c r="E22" s="9" t="n">
        <v>330355</v>
      </c>
      <c r="F22" s="9" t="n">
        <v>321733</v>
      </c>
      <c r="G22" s="9" t="n">
        <v>164010</v>
      </c>
    </row>
    <row r="23">
      <c r="A23" s="8" t="inlineStr">
        <is>
          <t xml:space="preserve">    23. Land and buildings</t>
        </is>
      </c>
      <c r="B23" s="14" t="inlineStr">
        <is>
          <t>not reported</t>
        </is>
      </c>
      <c r="C23" s="14" t="inlineStr">
        <is>
          <t>not reported</t>
        </is>
      </c>
      <c r="D23" s="14" t="inlineStr">
        <is>
          <t>not reported</t>
        </is>
      </c>
      <c r="E23" s="14" t="inlineStr">
        <is>
          <t>not reported</t>
        </is>
      </c>
      <c r="F23" s="14" t="inlineStr">
        <is>
          <t>not reported</t>
        </is>
      </c>
      <c r="G23" s="9" t="n">
        <v>128207</v>
      </c>
    </row>
    <row r="24">
      <c r="A24" s="8" t="inlineStr">
        <is>
          <t xml:space="preserve">    24. Other assets</t>
        </is>
      </c>
      <c r="B24" s="14" t="inlineStr">
        <is>
          <t>not reported</t>
        </is>
      </c>
      <c r="C24" s="14" t="inlineStr">
        <is>
          <t>not reported</t>
        </is>
      </c>
      <c r="D24" s="14" t="inlineStr">
        <is>
          <t>not reported</t>
        </is>
      </c>
      <c r="E24" s="14" t="inlineStr">
        <is>
          <t>not reported</t>
        </is>
      </c>
      <c r="F24" s="14" t="inlineStr">
        <is>
          <t>not reported</t>
        </is>
      </c>
      <c r="G24" s="9" t="n">
        <v>11797</v>
      </c>
    </row>
    <row r="25">
      <c r="A25" s="10" t="inlineStr">
        <is>
          <t>25. Total assets</t>
        </is>
      </c>
      <c r="B25" s="11">
        <f>SUM(B22:B24)</f>
        <v/>
      </c>
      <c r="C25" s="11">
        <f>SUM(C22:C24)</f>
        <v/>
      </c>
      <c r="D25" s="11">
        <f>SUM(D22:D24)</f>
        <v/>
      </c>
      <c r="E25" s="11">
        <f>SUM(E22:E24)</f>
        <v/>
      </c>
      <c r="F25" s="11">
        <f>SUM(F22:F24)</f>
        <v/>
      </c>
      <c r="G25" s="11">
        <f>SUM(G22:G24)</f>
        <v/>
      </c>
    </row>
    <row r="26">
      <c r="A26" s="10" t="inlineStr">
        <is>
          <t>26. Total liabilities</t>
        </is>
      </c>
      <c r="B26" s="14" t="inlineStr">
        <is>
          <t>not reported</t>
        </is>
      </c>
      <c r="C26" s="14" t="inlineStr">
        <is>
          <t>not reported</t>
        </is>
      </c>
      <c r="D26" s="14" t="inlineStr">
        <is>
          <t>not reported</t>
        </is>
      </c>
      <c r="E26" s="11" t="n">
        <v>27965</v>
      </c>
      <c r="F26" s="11" t="n">
        <v>26218</v>
      </c>
      <c r="G26" s="14" t="inlineStr">
        <is>
          <t>not reported</t>
        </is>
      </c>
    </row>
    <row r="27">
      <c r="A27" s="10" t="inlineStr">
        <is>
          <t>27. Net assets or fund balances</t>
        </is>
      </c>
      <c r="B27" s="11" t="n">
        <v>295776</v>
      </c>
      <c r="C27" s="11" t="n">
        <v>311563</v>
      </c>
      <c r="D27" s="11" t="n">
        <v>313613</v>
      </c>
      <c r="E27" s="11" t="n">
        <v>302390</v>
      </c>
      <c r="F27" s="11" t="n">
        <v>295515</v>
      </c>
      <c r="G27" s="11" t="n">
        <v>304014</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29: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Cash Flow Proxies - derived (USD)</t>
        </is>
      </c>
    </row>
    <row r="3">
      <c r="A3" s="2" t="inlineStr">
        <is>
          <t>Entity ID: cawc_0093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18274</v>
      </c>
      <c r="C9" s="9" t="n">
        <v>15787</v>
      </c>
      <c r="D9" s="9" t="n">
        <v>2050</v>
      </c>
      <c r="E9" s="9" t="n">
        <v>-11223</v>
      </c>
      <c r="F9" s="9" t="n">
        <v>-6076</v>
      </c>
      <c r="G9" s="9" t="n">
        <v>8499</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15787</v>
      </c>
      <c r="D15" s="11" t="n">
        <v>2050</v>
      </c>
      <c r="E15" s="11" t="n">
        <v>-11223</v>
      </c>
      <c r="F15" s="11" t="n">
        <v>-6076</v>
      </c>
      <c r="G15" s="11" t="n">
        <v>8499</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15787</v>
      </c>
      <c r="D24" s="11" t="n">
        <v>2050</v>
      </c>
      <c r="E24" s="11" t="n">
        <v>16742</v>
      </c>
      <c r="F24" s="11" t="n">
        <v>-8622</v>
      </c>
      <c r="G24" s="11" t="n">
        <v>-157723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Triple R Mutual Water Company</t>
        </is>
      </c>
    </row>
    <row r="2">
      <c r="A2" s="2" t="inlineStr">
        <is>
          <t>Financial Ratios</t>
        </is>
      </c>
    </row>
    <row r="3">
      <c r="A3" s="2" t="inlineStr">
        <is>
          <t>Entity ID: cawc_0093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0.1683541388364273</v>
      </c>
      <c r="C7" s="12" t="n">
        <v>0.1377225658428495</v>
      </c>
      <c r="D7" s="12" t="n">
        <v>0.01971191753687571</v>
      </c>
      <c r="E7" s="12" t="n">
        <v>-0.09923427884275306</v>
      </c>
      <c r="F7" s="12" t="n">
        <v>-0.04689900042453012</v>
      </c>
      <c r="G7" s="12" t="n">
        <v>0.05924671142062447</v>
      </c>
    </row>
    <row r="8">
      <c r="A8" s="8" t="inlineStr">
        <is>
          <t xml:space="preserve">    Expense ratio (expenses / revenue)</t>
        </is>
      </c>
      <c r="B8" s="12" t="n">
        <v>0.8316458611635728</v>
      </c>
      <c r="C8" s="12" t="n">
        <v>0.8622774341571504</v>
      </c>
      <c r="D8" s="12" t="n">
        <v>0.9802880824631243</v>
      </c>
      <c r="E8" s="12" t="n">
        <v>1.099234278842753</v>
      </c>
      <c r="F8" s="12" t="n">
        <v>1.04689900042453</v>
      </c>
      <c r="G8" s="12" t="n">
        <v>0.9407532885793756</v>
      </c>
    </row>
    <row r="9">
      <c r="A9" s="8" t="inlineStr">
        <is>
          <t xml:space="preserve">    Return on assets (NI / assets)</t>
        </is>
      </c>
      <c r="B9" s="12" t="n">
        <v>0.06178324137184896</v>
      </c>
      <c r="C9" s="12" t="n">
        <v>0.0506703299172238</v>
      </c>
      <c r="D9" s="12" t="n">
        <v>0.006536718822242701</v>
      </c>
      <c r="E9" s="12" t="n">
        <v>-0.03397254468677634</v>
      </c>
      <c r="F9" s="12" t="n">
        <v>-0.01888522470495722</v>
      </c>
      <c r="G9" s="12" t="n">
        <v>0.02795594939706724</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v>0.08465135990071287</v>
      </c>
      <c r="F13" s="12" t="n">
        <v>0.08148993109193027</v>
      </c>
      <c r="G13" s="12" t="n"/>
    </row>
    <row r="14">
      <c r="A14" s="8" t="inlineStr">
        <is>
          <t xml:space="preserve">    Equity ratio (net assets / assets)</t>
        </is>
      </c>
      <c r="B14" s="12" t="n">
        <v>1</v>
      </c>
      <c r="C14" s="12" t="n">
        <v>1</v>
      </c>
      <c r="D14" s="12" t="n">
        <v>1</v>
      </c>
      <c r="E14" s="12" t="n">
        <v>0.9153486400992872</v>
      </c>
      <c r="F14" s="12" t="n">
        <v>0.9185100689080697</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v>11.8131593062757</v>
      </c>
      <c r="F18" s="15" t="n">
        <v>12.27145472576093</v>
      </c>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Triple R Mutual Water Company</t>
        </is>
      </c>
    </row>
    <row r="2">
      <c r="A2" s="2" t="inlineStr">
        <is>
          <t>Unit economics - per-customer revenue by category (USD)</t>
        </is>
      </c>
    </row>
    <row r="3">
      <c r="A3" s="2" t="inlineStr">
        <is>
          <t>Entity ID: cawc_0093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3" t="n"/>
      <c r="C6" s="17" t="inlineStr">
        <is>
          <t>State Water Board eAR Section 4</t>
        </is>
      </c>
    </row>
    <row r="7">
      <c r="A7" s="16" t="inlineStr">
        <is>
          <t>Total annual revenue (eAR Section 8b B1.8)</t>
        </is>
      </c>
      <c r="B7" s="13" t="n"/>
      <c r="C7" s="17" t="inlineStr">
        <is>
          <t>eAR Section 8b total annual revenue not reported for this system.</t>
        </is>
      </c>
    </row>
    <row r="8">
      <c r="A8" s="16" t="inlineStr">
        <is>
          <t>Primary source</t>
        </is>
      </c>
      <c r="B8" s="13" t="inlineStr"/>
      <c r="C8" s="17"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8" t="inlineStr">
        <is>
          <t>not reported</t>
        </is>
      </c>
      <c r="C12" s="19" t="inlineStr">
        <is>
          <t>not reported</t>
        </is>
      </c>
      <c r="D12" s="19" t="inlineStr">
        <is>
          <t>not reported</t>
        </is>
      </c>
      <c r="E12" s="19" t="inlineStr">
        <is>
          <t>not reported</t>
        </is>
      </c>
    </row>
    <row r="13">
      <c r="A13" s="8" t="inlineStr">
        <is>
          <t>Assessment revenue (990 program-service revenue not matched to eAR water-rate revenue)</t>
        </is>
      </c>
      <c r="B13" s="18" t="inlineStr">
        <is>
          <t>IMPOSSIBLE</t>
        </is>
      </c>
      <c r="C13" s="19" t="inlineStr">
        <is>
          <t>IMPOSSIBLE</t>
        </is>
      </c>
      <c r="D13" s="19" t="inlineStr">
        <is>
          <t>IMPOSSIBLE</t>
        </is>
      </c>
      <c r="E13" s="19" t="inlineStr">
        <is>
          <t>IMPOSSIBLE</t>
        </is>
      </c>
    </row>
    <row r="14">
      <c r="A14" s="8" t="inlineStr">
        <is>
          <t>Meter revenue</t>
        </is>
      </c>
      <c r="B14" s="18" t="inlineStr">
        <is>
          <t>not reported</t>
        </is>
      </c>
      <c r="C14" s="19" t="inlineStr">
        <is>
          <t>not reported</t>
        </is>
      </c>
      <c r="D14" s="19" t="inlineStr">
        <is>
          <t>not reported</t>
        </is>
      </c>
      <c r="E14" s="19" t="inlineStr">
        <is>
          <t>not reported</t>
        </is>
      </c>
    </row>
    <row r="15">
      <c r="A15" s="8" t="inlineStr">
        <is>
          <t>Overage or tiered penalty revenue</t>
        </is>
      </c>
      <c r="B15" s="18" t="inlineStr">
        <is>
          <t>not reported</t>
        </is>
      </c>
      <c r="C15" s="19" t="inlineStr">
        <is>
          <t>not reported</t>
        </is>
      </c>
      <c r="D15" s="19" t="inlineStr">
        <is>
          <t>not reported</t>
        </is>
      </c>
      <c r="E15" s="19"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Triple R Mutual Water Company</t>
        </is>
      </c>
    </row>
    <row r="2">
      <c r="A2" s="2" t="inlineStr">
        <is>
          <t>Rate structure and representative bill - eAR Section 8a</t>
        </is>
      </c>
    </row>
    <row r="3">
      <c r="A3" s="2" t="inlineStr">
        <is>
          <t>Entity ID: cawc_0093   |   Fiscal year ends December 31.</t>
        </is>
      </c>
    </row>
    <row r="5" ht="81" customHeight="1">
      <c r="A5" s="20"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Triple R Mutual Water Company</t>
        </is>
      </c>
    </row>
    <row r="2">
      <c r="A2" s="2" t="inlineStr">
        <is>
          <t>Operational metrics - plant per acre, density, terrain</t>
        </is>
      </c>
    </row>
    <row r="3">
      <c r="A3" s="2" t="inlineStr">
        <is>
          <t>Entity ID: cawc_0093   |   Fiscal year ends December 31.</t>
        </is>
      </c>
    </row>
    <row r="5">
      <c r="A5" s="6" t="inlineStr">
        <is>
          <t>Connections per acre</t>
        </is>
      </c>
      <c r="B5" s="7" t="n"/>
      <c r="C5" s="7" t="n"/>
    </row>
    <row r="6">
      <c r="A6" s="16" t="inlineStr">
        <is>
          <t>Connections per acre</t>
        </is>
      </c>
      <c r="B6" s="15" t="n">
        <v>0.35</v>
      </c>
      <c r="C6" s="17" t="inlineStr">
        <is>
          <t>154 connections / 440.6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Triple R Mutual Water Company</t>
        </is>
      </c>
    </row>
    <row r="2">
      <c r="A2" s="2" t="inlineStr">
        <is>
          <t>Supply and weather indicators (DWR water year)</t>
        </is>
      </c>
    </row>
    <row r="3">
      <c r="A3" s="2" t="inlineStr">
        <is>
          <t>Entity ID: cawc_0093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1" t="inlineStr">
        <is>
          <t>Critical</t>
        </is>
      </c>
      <c r="C8" s="21" t="inlineStr">
        <is>
          <t>Critical</t>
        </is>
      </c>
      <c r="D8" s="21" t="inlineStr">
        <is>
          <t>Wet</t>
        </is>
      </c>
      <c r="E8" s="21" t="inlineStr">
        <is>
          <t>Above Normal</t>
        </is>
      </c>
      <c r="F8" s="22" t="inlineStr">
        <is>
          <t>not reported</t>
        </is>
      </c>
    </row>
    <row r="9">
      <c r="A9" s="8" t="inlineStr">
        <is>
          <t>Peak drought, county County</t>
        </is>
      </c>
      <c r="B9" s="22" t="inlineStr">
        <is>
          <t>not reported</t>
        </is>
      </c>
      <c r="C9" s="22" t="inlineStr">
        <is>
          <t>not reported</t>
        </is>
      </c>
      <c r="D9" s="22" t="inlineStr">
        <is>
          <t>not reported</t>
        </is>
      </c>
      <c r="E9" s="22" t="inlineStr">
        <is>
          <t>not reported</t>
        </is>
      </c>
      <c r="F9" s="22" t="inlineStr">
        <is>
          <t>not reported</t>
        </is>
      </c>
    </row>
    <row r="10">
      <c r="A10" s="8" t="inlineStr">
        <is>
          <t>Precip, percent of normal (8-Station Index)</t>
        </is>
      </c>
      <c r="B10" s="21" t="inlineStr">
        <is>
          <t>48</t>
        </is>
      </c>
      <c r="C10" s="21" t="inlineStr">
        <is>
          <t>86</t>
        </is>
      </c>
      <c r="D10" s="21" t="inlineStr">
        <is>
          <t>133</t>
        </is>
      </c>
      <c r="E10" s="21" t="inlineStr">
        <is>
          <t>96</t>
        </is>
      </c>
      <c r="F10" s="21" t="inlineStr">
        <is>
          <t>113</t>
        </is>
      </c>
    </row>
    <row r="11">
      <c r="A11" s="8" t="inlineStr">
        <is>
          <t>Snowpack, April 1 percent of average</t>
        </is>
      </c>
      <c r="B11" s="21" t="inlineStr">
        <is>
          <t>59%</t>
        </is>
      </c>
      <c r="C11" s="21" t="inlineStr">
        <is>
          <t>38%</t>
        </is>
      </c>
      <c r="D11" s="21" t="inlineStr">
        <is>
          <t>237%</t>
        </is>
      </c>
      <c r="E11" s="21" t="inlineStr">
        <is>
          <t>110%</t>
        </is>
      </c>
      <c r="F11" s="21" t="inlineStr">
        <is>
          <t>96%</t>
        </is>
      </c>
    </row>
    <row r="12">
      <c r="A12" s="8" t="inlineStr">
        <is>
          <t>State Water Project allocation</t>
        </is>
      </c>
      <c r="B12" s="21" t="inlineStr">
        <is>
          <t>5%</t>
        </is>
      </c>
      <c r="C12" s="21" t="inlineStr">
        <is>
          <t>5%</t>
        </is>
      </c>
      <c r="D12" s="21" t="inlineStr">
        <is>
          <t>100%</t>
        </is>
      </c>
      <c r="E12" s="21" t="inlineStr">
        <is>
          <t>40%</t>
        </is>
      </c>
      <c r="F12" s="21"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Triple R Mutual Water Company</t>
        </is>
      </c>
    </row>
    <row r="2">
      <c r="A2" s="2" t="inlineStr">
        <is>
          <t>How this was built - forensic lineage</t>
        </is>
      </c>
    </row>
    <row r="3">
      <c r="A3" s="2" t="inlineStr">
        <is>
          <t>Entity ID: cawc_0093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7"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7"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7" t="inlineStr">
        <is>
          <t>Form 990 Part VIII line 2 (program-service revenue); State Water Board eAR Section 8b (water-rate revenue B1.1/B1.2); eAR Section 8b filer comment (WRRevenueComments)</t>
        </is>
      </c>
    </row>
    <row r="13" ht="72" customHeight="1">
      <c r="A13" s="16" t="inlineStr">
        <is>
          <t>What was found</t>
        </is>
      </c>
      <c r="B13" s="17" t="inlineStr">
        <is>
          <t>A period-aligned residual cannot be computed for this filer, so the metric is rendered IMPOSSIBLE rather than guessed.</t>
        </is>
      </c>
    </row>
    <row r="14" ht="72" customHeight="1">
      <c r="A14" s="16" t="inlineStr">
        <is>
          <t>Caveat</t>
        </is>
      </c>
      <c r="B14" s="17"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7" t="inlineStr">
        <is>
          <t>State Water Board eAR Section 8a (rate prices); State Water Board eAR Section 8b (revenue lines); audited financial statement</t>
        </is>
      </c>
    </row>
    <row r="18" ht="72" customHeight="1">
      <c r="A18" s="16" t="inlineStr">
        <is>
          <t>What was found</t>
        </is>
      </c>
      <c r="B18" s="17" t="inlineStr">
        <is>
          <t>The rate price exists in Section 8a but no revenue or tier volume is reported, and the base charge is already inside water sales.</t>
        </is>
      </c>
    </row>
    <row r="19" ht="72" customHeight="1">
      <c r="A19" s="16" t="inlineStr">
        <is>
          <t>Caveat</t>
        </is>
      </c>
      <c r="B19" s="17"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7" t="inlineStr">
        <is>
          <t>State Water Board eAR Section 8a (rate prices); State Water Board eAR Section 8b (revenue lines); audited financial statement</t>
        </is>
      </c>
    </row>
    <row r="23" ht="72" customHeight="1">
      <c r="A23" s="16" t="inlineStr">
        <is>
          <t>What was found</t>
        </is>
      </c>
      <c r="B23" s="17" t="inlineStr">
        <is>
          <t>The rate price exists in Section 8a but no revenue or tier volume is reported, and the base charge is already inside water sales.</t>
        </is>
      </c>
    </row>
    <row r="24" ht="72" customHeight="1">
      <c r="A24" s="16" t="inlineStr">
        <is>
          <t>Caveat</t>
        </is>
      </c>
      <c r="B24" s="17"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7" t="inlineStr">
        <is>
          <t>eAR Section 8b B0.1 (WRFinancialReportingPeriod); eAR Section 8b B0.2 (WRFiscalYearStartDate)</t>
        </is>
      </c>
    </row>
    <row r="28" ht="72" customHeight="1">
      <c r="A28" s="16" t="inlineStr">
        <is>
          <t>What was found</t>
        </is>
      </c>
      <c r="B28" s="17"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7" t="inlineStr">
        <is>
          <t>Form 990 (no member count stated); company website</t>
        </is>
      </c>
    </row>
    <row r="32" ht="72" customHeight="1">
      <c r="A32" s="16" t="inlineStr">
        <is>
          <t>What was found</t>
        </is>
      </c>
      <c r="B32" s="17"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7" t="inlineStr">
        <is>
          <t>Form 990 (not in the filing); Consumer Confidence Report; eAR Section 6 (PRA-gated)</t>
        </is>
      </c>
    </row>
    <row r="36" ht="72" customHeight="1">
      <c r="A36" s="16" t="inlineStr">
        <is>
          <t>What was found</t>
        </is>
      </c>
      <c r="B36" s="17"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Triple R Mutual Water Company</t>
        </is>
      </c>
    </row>
    <row r="2">
      <c r="A2" s="2" t="inlineStr">
        <is>
          <t>Anomaly Flags (automated; kept separate from the clean statements)</t>
        </is>
      </c>
    </row>
    <row r="3">
      <c r="A3" s="2" t="inlineStr">
        <is>
          <t>Entity ID: cawc_0093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16" t="inlineStr">
        <is>
          <t>Affected figure</t>
        </is>
      </c>
      <c r="B8" s="17" t="inlineStr">
        <is>
          <t>Net assets FY2024</t>
        </is>
      </c>
    </row>
    <row r="9">
      <c r="A9" s="16" t="inlineStr">
        <is>
          <t>Confidence</t>
        </is>
      </c>
      <c r="B9" s="17" t="inlineStr">
        <is>
          <t>high</t>
        </is>
      </c>
    </row>
    <row r="10" ht="72" customHeight="1">
      <c r="A10" s="16" t="inlineStr">
        <is>
          <t>What happened (filed, sourced)</t>
        </is>
      </c>
      <c r="B10" s="17" t="inlineStr">
        <is>
          <t>The company filed $301,591 as its beginning net assets for FY2024 and $302,390 as its ending net assets for FY2023, a difference of $-799. Both figures are carried exactly as each year's own filing reports them. Neither is adjusted to match the other.</t>
        </is>
      </c>
    </row>
    <row r="11" ht="54" customHeight="1">
      <c r="A11" s="16" t="inlineStr">
        <is>
          <t>Source lines</t>
        </is>
      </c>
      <c r="B11" s="17" t="inlineStr">
        <is>
          <t>- FY2024 net assets, beginning of year (as filed): $301,591
- FY2023 net assets, end of year (as filed): $302,390
- Difference: $-799</t>
        </is>
      </c>
    </row>
    <row r="12" ht="72" customHeight="1">
      <c r="A12" s="16" t="inlineStr">
        <is>
          <t>Confidence reasoning</t>
        </is>
      </c>
      <c r="B12" s="17"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7" t="inlineStr">
        <is>
          <t>The filing does not state a reason.</t>
        </is>
      </c>
    </row>
    <row r="14" ht="60" customHeight="1">
      <c r="A14" s="16" t="inlineStr">
        <is>
          <t>Possible explanation (guess)</t>
        </is>
      </c>
      <c r="B14" s="23"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Triple R Mutual Water Company</t>
        </is>
      </c>
    </row>
    <row r="2">
      <c r="A2" s="2" t="inlineStr">
        <is>
          <t>Sources &amp; audit - full provenance and tie-outs (kept off the statements so they read clean)</t>
        </is>
      </c>
    </row>
    <row r="3">
      <c r="A3" s="2" t="inlineStr">
        <is>
          <t>Entity ID: cawc_0093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1" t="inlineStr">
        <is>
          <t>FY2020</t>
        </is>
      </c>
      <c r="B10" s="8" t="inlineStr">
        <is>
          <t>2020-12-31</t>
        </is>
      </c>
      <c r="C10" s="8" t="inlineStr">
        <is>
          <t>990-EZ</t>
        </is>
      </c>
      <c r="D10" s="8" t="inlineStr">
        <is>
          <t>high</t>
        </is>
      </c>
      <c r="E10" s="8" t="inlineStr">
        <is>
          <t>b43c687f-8516-46e8-8070-d4c4369c9986</t>
        </is>
      </c>
      <c r="F10" s="8" t="inlineStr">
        <is>
          <t>202110479349200636</t>
        </is>
      </c>
      <c r="G10" s="8" t="inlineStr">
        <is>
          <t>claude-opus-5</t>
        </is>
      </c>
      <c r="H10" s="8" t="inlineStr">
        <is>
          <t>2026-09-23T06:31:50+00:00</t>
        </is>
      </c>
      <c r="I10" s="8" t="inlineStr">
        <is>
          <t>https://apps.irs.gov/pub/epostcard/990/xml/2021/2021_TEOS_XML_01A.zip#202110479349200636_public.xml</t>
        </is>
      </c>
    </row>
    <row r="11">
      <c r="A11" s="21" t="inlineStr">
        <is>
          <t>FY2021</t>
        </is>
      </c>
      <c r="B11" s="8" t="inlineStr">
        <is>
          <t>2021-12-31</t>
        </is>
      </c>
      <c r="C11" s="8" t="inlineStr">
        <is>
          <t>990-EZ</t>
        </is>
      </c>
      <c r="D11" s="8" t="inlineStr">
        <is>
          <t>high</t>
        </is>
      </c>
      <c r="E11" s="8" t="inlineStr">
        <is>
          <t>83fba5c2-5d8b-473c-9f53-800ae4e5b8de</t>
        </is>
      </c>
      <c r="F11" s="8" t="inlineStr">
        <is>
          <t>202230589349200208</t>
        </is>
      </c>
      <c r="G11" s="8" t="inlineStr">
        <is>
          <t>claude-opus-5</t>
        </is>
      </c>
      <c r="H11" s="8" t="inlineStr">
        <is>
          <t>2026-09-23T06:31:50+00:00</t>
        </is>
      </c>
      <c r="I11" s="8" t="inlineStr">
        <is>
          <t>https://apps.irs.gov/pub/epostcard/990/xml/2022/2022_TEOS_XML_01A.zip#202230589349200208_public.xml</t>
        </is>
      </c>
    </row>
    <row r="12">
      <c r="A12" s="21" t="inlineStr">
        <is>
          <t>FY2022</t>
        </is>
      </c>
      <c r="B12" s="8" t="inlineStr">
        <is>
          <t>2022-12-31</t>
        </is>
      </c>
      <c r="C12" s="8" t="inlineStr">
        <is>
          <t>990-EZ</t>
        </is>
      </c>
      <c r="D12" s="8" t="inlineStr">
        <is>
          <t>high</t>
        </is>
      </c>
      <c r="E12" s="8" t="inlineStr">
        <is>
          <t>04d5a63b-709d-451c-a11c-898256716940</t>
        </is>
      </c>
      <c r="F12" s="8" t="inlineStr">
        <is>
          <t>202310489349201911</t>
        </is>
      </c>
      <c r="G12" s="8" t="inlineStr">
        <is>
          <t>claude-opus-5</t>
        </is>
      </c>
      <c r="H12" s="8" t="inlineStr">
        <is>
          <t>2026-09-23T06:31:50+00:00</t>
        </is>
      </c>
      <c r="I12" s="8" t="inlineStr">
        <is>
          <t>https://apps.irs.gov/pub/epostcard/990/xml/2023/2023_TEOS_XML_02A.zip#202310489349201911_public.xml</t>
        </is>
      </c>
    </row>
    <row r="13">
      <c r="A13" s="21" t="inlineStr">
        <is>
          <t>FY2023</t>
        </is>
      </c>
      <c r="B13" s="8" t="inlineStr">
        <is>
          <t>2023-12-31</t>
        </is>
      </c>
      <c r="C13" s="8" t="inlineStr">
        <is>
          <t>990-EZ</t>
        </is>
      </c>
      <c r="D13" s="8" t="inlineStr">
        <is>
          <t>high</t>
        </is>
      </c>
      <c r="E13" s="8" t="inlineStr">
        <is>
          <t>95553a82-a5e2-4e98-a905-46500679c181</t>
        </is>
      </c>
      <c r="F13" s="8" t="inlineStr">
        <is>
          <t>202400549349201270</t>
        </is>
      </c>
      <c r="G13" s="8" t="inlineStr">
        <is>
          <t>claude-opus-5</t>
        </is>
      </c>
      <c r="H13" s="8" t="inlineStr">
        <is>
          <t>2026-09-23T06:31:50+00:00</t>
        </is>
      </c>
      <c r="I13" s="8" t="inlineStr">
        <is>
          <t>https://apps.irs.gov/pub/epostcard/990/xml/2024/2024_TEOS_XML_03A.zip#202400549349201270_public.xml</t>
        </is>
      </c>
    </row>
    <row r="14">
      <c r="A14" s="21" t="inlineStr">
        <is>
          <t>FY2024</t>
        </is>
      </c>
      <c r="B14" s="8" t="inlineStr">
        <is>
          <t>2024-12-31</t>
        </is>
      </c>
      <c r="C14" s="8" t="inlineStr">
        <is>
          <t>990-EZ</t>
        </is>
      </c>
      <c r="D14" s="8" t="inlineStr">
        <is>
          <t>high</t>
        </is>
      </c>
      <c r="E14" s="8" t="inlineStr">
        <is>
          <t>68fe9070-11fc-4f95-803d-2cd8fe4a0710</t>
        </is>
      </c>
      <c r="F14" s="8" t="inlineStr">
        <is>
          <t>202510649349201726</t>
        </is>
      </c>
      <c r="G14" s="8" t="inlineStr">
        <is>
          <t>claude-opus-5</t>
        </is>
      </c>
      <c r="H14" s="8" t="inlineStr">
        <is>
          <t>2026-09-23T06:31:50+00:00</t>
        </is>
      </c>
      <c r="I14" s="8" t="inlineStr">
        <is>
          <t>https://apps.irs.gov/pub/epostcard/990/xml/2025/2025_TEOS_XML_03A.zip#202510649349201726_public.xml</t>
        </is>
      </c>
    </row>
    <row r="15">
      <c r="A15" s="21" t="inlineStr">
        <is>
          <t>FY2025</t>
        </is>
      </c>
      <c r="B15" s="8" t="inlineStr">
        <is>
          <t>2025-12-31</t>
        </is>
      </c>
      <c r="C15" s="8" t="inlineStr">
        <is>
          <t>990-EZ</t>
        </is>
      </c>
      <c r="D15" s="8" t="inlineStr">
        <is>
          <t>high</t>
        </is>
      </c>
      <c r="E15" s="8" t="inlineStr">
        <is>
          <t>8132e154-dbc5-479c-b277-7639a45414b4</t>
        </is>
      </c>
      <c r="F15" s="8" t="inlineStr">
        <is>
          <t>202600619349200225</t>
        </is>
      </c>
      <c r="G15" s="8" t="inlineStr">
        <is>
          <t>claude-opus-5</t>
        </is>
      </c>
      <c r="H15" s="8" t="inlineStr">
        <is>
          <t>2026-09-23T06:31:50+00:00</t>
        </is>
      </c>
      <c r="I15" s="8" t="inlineStr">
        <is>
          <t>https://apps.irs.gov/pub/epostcard/990/xml/2026/2026_TEOS_XML_03A.zip#202600619349200225_public.xml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3. Membership dues and assessments</t>
        </is>
      </c>
      <c r="D19" s="8" t="inlineStr">
        <is>
          <t>Part I line 3</t>
        </is>
      </c>
      <c r="E19" s="8" t="inlineStr">
        <is>
          <t>part_i_revenue_expenses.membership_dues</t>
        </is>
      </c>
      <c r="F19" s="8" t="inlineStr">
        <is>
          <t>high</t>
        </is>
      </c>
      <c r="G19" s="9" t="n">
        <v>108539</v>
      </c>
    </row>
    <row r="20">
      <c r="A20" s="8" t="inlineStr">
        <is>
          <t>Form 990-EZ Parts I &amp; II</t>
        </is>
      </c>
      <c r="B20" s="8" t="inlineStr">
        <is>
          <t>C7</t>
        </is>
      </c>
      <c r="C20" s="8" t="inlineStr">
        <is>
          <t>3. Membership dues and assessments</t>
        </is>
      </c>
      <c r="D20" s="8" t="inlineStr">
        <is>
          <t>Part I line 3</t>
        </is>
      </c>
      <c r="E20" s="8" t="inlineStr">
        <is>
          <t>part_i_revenue_expenses.membership_dues</t>
        </is>
      </c>
      <c r="F20" s="8" t="inlineStr">
        <is>
          <t>high</t>
        </is>
      </c>
      <c r="G20" s="9" t="n">
        <v>114600</v>
      </c>
    </row>
    <row r="21">
      <c r="A21" s="8" t="inlineStr">
        <is>
          <t>Form 990-EZ Parts I &amp; II</t>
        </is>
      </c>
      <c r="B21" s="8" t="inlineStr">
        <is>
          <t>D7</t>
        </is>
      </c>
      <c r="C21" s="8" t="inlineStr">
        <is>
          <t>3. Membership dues and assessments</t>
        </is>
      </c>
      <c r="D21" s="8" t="inlineStr">
        <is>
          <t>Part I line 3</t>
        </is>
      </c>
      <c r="E21" s="8" t="inlineStr">
        <is>
          <t>part_i_revenue_expenses.membership_dues</t>
        </is>
      </c>
      <c r="F21" s="8" t="inlineStr">
        <is>
          <t>high</t>
        </is>
      </c>
      <c r="G21" s="9" t="n">
        <v>103994</v>
      </c>
    </row>
    <row r="22">
      <c r="A22" s="8" t="inlineStr">
        <is>
          <t>Form 990-EZ Parts I &amp; II</t>
        </is>
      </c>
      <c r="B22" s="8" t="inlineStr">
        <is>
          <t>E7</t>
        </is>
      </c>
      <c r="C22" s="8" t="inlineStr">
        <is>
          <t>3. Membership dues and assessments</t>
        </is>
      </c>
      <c r="D22" s="8" t="inlineStr">
        <is>
          <t>Part I line 3</t>
        </is>
      </c>
      <c r="E22" s="8" t="inlineStr">
        <is>
          <t>part_i_revenue_expenses.membership_dues</t>
        </is>
      </c>
      <c r="F22" s="8" t="inlineStr">
        <is>
          <t>high</t>
        </is>
      </c>
      <c r="G22" s="9" t="n">
        <v>113092</v>
      </c>
    </row>
    <row r="23">
      <c r="A23" s="8" t="inlineStr">
        <is>
          <t>Form 990-EZ Parts I &amp; II</t>
        </is>
      </c>
      <c r="B23" s="8" t="inlineStr">
        <is>
          <t>F7</t>
        </is>
      </c>
      <c r="C23" s="8" t="inlineStr">
        <is>
          <t>3. Membership dues and assessments</t>
        </is>
      </c>
      <c r="D23" s="8" t="inlineStr">
        <is>
          <t>Part I line 3</t>
        </is>
      </c>
      <c r="E23" s="8" t="inlineStr">
        <is>
          <t>part_i_revenue_expenses.membership_dues</t>
        </is>
      </c>
      <c r="F23" s="8" t="inlineStr">
        <is>
          <t>high</t>
        </is>
      </c>
      <c r="G23" s="9" t="n">
        <v>129550</v>
      </c>
    </row>
    <row r="24">
      <c r="A24" s="8" t="inlineStr">
        <is>
          <t>Form 990-EZ Parts I &amp; II</t>
        </is>
      </c>
      <c r="B24" s="8" t="inlineStr">
        <is>
          <t>G7</t>
        </is>
      </c>
      <c r="C24" s="8" t="inlineStr">
        <is>
          <t>3. Membership dues and assessments</t>
        </is>
      </c>
      <c r="D24" s="8" t="inlineStr">
        <is>
          <t>Part I line 3</t>
        </is>
      </c>
      <c r="E24" s="8" t="inlineStr">
        <is>
          <t>part_i_revenue_expenses.membership_dues</t>
        </is>
      </c>
      <c r="F24" s="8" t="inlineStr">
        <is>
          <t>high</t>
        </is>
      </c>
      <c r="G24" s="9" t="n">
        <v>139445</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6</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29</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4</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4</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5</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275</v>
      </c>
    </row>
    <row r="31">
      <c r="A31" s="8" t="inlineStr">
        <is>
          <t>Form 990-EZ Parts I &amp; II</t>
        </is>
      </c>
      <c r="B31" s="8" t="inlineStr">
        <is>
          <t>B9</t>
        </is>
      </c>
      <c r="C31" s="8" t="inlineStr">
        <is>
          <t>9. Total revenue</t>
        </is>
      </c>
      <c r="D31" s="8" t="inlineStr">
        <is>
          <t>Part I line 9</t>
        </is>
      </c>
      <c r="E31" s="8" t="inlineStr">
        <is>
          <t>part_i_revenue_expenses.total_revenue</t>
        </is>
      </c>
      <c r="F31" s="8" t="inlineStr">
        <is>
          <t>high</t>
        </is>
      </c>
      <c r="G31" s="9" t="n">
        <v>108545</v>
      </c>
    </row>
    <row r="32">
      <c r="A32" s="8" t="inlineStr">
        <is>
          <t>Form 990-EZ Parts I &amp; II</t>
        </is>
      </c>
      <c r="B32" s="8" t="inlineStr">
        <is>
          <t>C9</t>
        </is>
      </c>
      <c r="C32" s="8" t="inlineStr">
        <is>
          <t>9. Total revenue</t>
        </is>
      </c>
      <c r="D32" s="8" t="inlineStr">
        <is>
          <t>Part I line 9</t>
        </is>
      </c>
      <c r="E32" s="8" t="inlineStr">
        <is>
          <t>part_i_revenue_expenses.total_revenue</t>
        </is>
      </c>
      <c r="F32" s="8" t="inlineStr">
        <is>
          <t>high</t>
        </is>
      </c>
      <c r="G32" s="9" t="n">
        <v>114629</v>
      </c>
    </row>
    <row r="33">
      <c r="A33" s="8" t="inlineStr">
        <is>
          <t>Form 990-EZ Parts I &amp; II</t>
        </is>
      </c>
      <c r="B33" s="8" t="inlineStr">
        <is>
          <t>D9</t>
        </is>
      </c>
      <c r="C33" s="8" t="inlineStr">
        <is>
          <t>9. Total revenue</t>
        </is>
      </c>
      <c r="D33" s="8" t="inlineStr">
        <is>
          <t>Part I line 9</t>
        </is>
      </c>
      <c r="E33" s="8" t="inlineStr">
        <is>
          <t>part_i_revenue_expenses.total_revenue</t>
        </is>
      </c>
      <c r="F33" s="8" t="inlineStr">
        <is>
          <t>high</t>
        </is>
      </c>
      <c r="G33" s="9" t="n">
        <v>103998</v>
      </c>
    </row>
    <row r="34">
      <c r="A34" s="8" t="inlineStr">
        <is>
          <t>Form 990-EZ Parts I &amp; II</t>
        </is>
      </c>
      <c r="B34" s="8" t="inlineStr">
        <is>
          <t>E9</t>
        </is>
      </c>
      <c r="C34" s="8" t="inlineStr">
        <is>
          <t>9. Total revenue</t>
        </is>
      </c>
      <c r="D34" s="8" t="inlineStr">
        <is>
          <t>Part I line 9</t>
        </is>
      </c>
      <c r="E34" s="8" t="inlineStr">
        <is>
          <t>part_i_revenue_expenses.total_revenue</t>
        </is>
      </c>
      <c r="F34" s="8" t="inlineStr">
        <is>
          <t>high</t>
        </is>
      </c>
      <c r="G34" s="9" t="n">
        <v>113096</v>
      </c>
    </row>
    <row r="35">
      <c r="A35" s="8" t="inlineStr">
        <is>
          <t>Form 990-EZ Parts I &amp; II</t>
        </is>
      </c>
      <c r="B35" s="8" t="inlineStr">
        <is>
          <t>F9</t>
        </is>
      </c>
      <c r="C35" s="8" t="inlineStr">
        <is>
          <t>9. Total revenue</t>
        </is>
      </c>
      <c r="D35" s="8" t="inlineStr">
        <is>
          <t>Part I line 9</t>
        </is>
      </c>
      <c r="E35" s="8" t="inlineStr">
        <is>
          <t>part_i_revenue_expenses.total_revenue</t>
        </is>
      </c>
      <c r="F35" s="8" t="inlineStr">
        <is>
          <t>high</t>
        </is>
      </c>
      <c r="G35" s="9" t="n">
        <v>129555</v>
      </c>
    </row>
    <row r="36">
      <c r="A36" s="8" t="inlineStr">
        <is>
          <t>Form 990-EZ Parts I &amp; II</t>
        </is>
      </c>
      <c r="B36" s="8" t="inlineStr">
        <is>
          <t>G9</t>
        </is>
      </c>
      <c r="C36" s="8" t="inlineStr">
        <is>
          <t>9. Total revenue</t>
        </is>
      </c>
      <c r="D36" s="8" t="inlineStr">
        <is>
          <t>Part I line 9</t>
        </is>
      </c>
      <c r="E36" s="8" t="inlineStr">
        <is>
          <t>part_i_revenue_expenses.total_revenue</t>
        </is>
      </c>
      <c r="F36" s="8" t="inlineStr">
        <is>
          <t>high</t>
        </is>
      </c>
      <c r="G36" s="9" t="n">
        <v>143451</v>
      </c>
    </row>
    <row r="37">
      <c r="A37" s="8" t="inlineStr">
        <is>
          <t>Form 990-EZ Parts I &amp; II</t>
        </is>
      </c>
      <c r="B37" s="8" t="inlineStr">
        <is>
          <t>B12</t>
        </is>
      </c>
      <c r="C37" s="8" t="inlineStr">
        <is>
          <t>13. Fees for services (independent contractors)</t>
        </is>
      </c>
      <c r="D37" s="8" t="inlineStr">
        <is>
          <t>Part I line 13</t>
        </is>
      </c>
      <c r="E37" s="8" t="inlineStr">
        <is>
          <t>part_i_revenue_expenses.fees_ind_contractors</t>
        </is>
      </c>
      <c r="F37" s="8" t="inlineStr">
        <is>
          <t>high</t>
        </is>
      </c>
      <c r="G37" s="9" t="n">
        <v>750</v>
      </c>
    </row>
    <row r="38">
      <c r="A38" s="8" t="inlineStr">
        <is>
          <t>Form 990-EZ Parts I &amp; II</t>
        </is>
      </c>
      <c r="B38" s="8" t="inlineStr">
        <is>
          <t>C12</t>
        </is>
      </c>
      <c r="C38" s="8" t="inlineStr">
        <is>
          <t>13. Fees for services (independent contractors)</t>
        </is>
      </c>
      <c r="D38" s="8" t="inlineStr">
        <is>
          <t>Part I line 13</t>
        </is>
      </c>
      <c r="E38" s="8" t="inlineStr">
        <is>
          <t>part_i_revenue_expenses.fees_ind_contractors</t>
        </is>
      </c>
      <c r="F38" s="8" t="inlineStr">
        <is>
          <t>high</t>
        </is>
      </c>
      <c r="G38" s="9" t="n">
        <v>750</v>
      </c>
    </row>
    <row r="39">
      <c r="A39" s="8" t="inlineStr">
        <is>
          <t>Form 990-EZ Parts I &amp; II</t>
        </is>
      </c>
      <c r="B39" s="8" t="inlineStr">
        <is>
          <t>D12</t>
        </is>
      </c>
      <c r="C39" s="8" t="inlineStr">
        <is>
          <t>13. Fees for services (independent contractors)</t>
        </is>
      </c>
      <c r="D39" s="8" t="inlineStr">
        <is>
          <t>Part I line 13</t>
        </is>
      </c>
      <c r="E39" s="8" t="inlineStr">
        <is>
          <t>part_i_revenue_expenses.fees_ind_contractors</t>
        </is>
      </c>
      <c r="F39" s="8" t="inlineStr">
        <is>
          <t>high</t>
        </is>
      </c>
      <c r="G39" s="9" t="n">
        <v>700</v>
      </c>
    </row>
    <row r="40">
      <c r="A40" s="8" t="inlineStr">
        <is>
          <t>Form 990-EZ Parts I &amp; II</t>
        </is>
      </c>
      <c r="B40" s="8" t="inlineStr">
        <is>
          <t>E12</t>
        </is>
      </c>
      <c r="C40" s="8" t="inlineStr">
        <is>
          <t>13. Fees for services (independent contractors)</t>
        </is>
      </c>
      <c r="D40" s="8" t="inlineStr">
        <is>
          <t>Part I line 13</t>
        </is>
      </c>
      <c r="E40" s="8" t="inlineStr">
        <is>
          <t>part_i_revenue_expenses.fees_ind_contractors</t>
        </is>
      </c>
      <c r="F40" s="8" t="inlineStr">
        <is>
          <t>high</t>
        </is>
      </c>
      <c r="G40" s="9" t="n">
        <v>85</v>
      </c>
    </row>
    <row r="41">
      <c r="A41" s="8" t="inlineStr">
        <is>
          <t>Form 990-EZ Parts I &amp; II</t>
        </is>
      </c>
      <c r="B41" s="8" t="inlineStr">
        <is>
          <t>F12</t>
        </is>
      </c>
      <c r="C41" s="8" t="inlineStr">
        <is>
          <t>13. Fees for services (independent contractors)</t>
        </is>
      </c>
      <c r="D41" s="8" t="inlineStr">
        <is>
          <t>Part I line 13</t>
        </is>
      </c>
      <c r="E41" s="8" t="inlineStr">
        <is>
          <t>part_i_revenue_expenses.fees_ind_contractors</t>
        </is>
      </c>
      <c r="F41" s="8" t="inlineStr">
        <is>
          <t>high</t>
        </is>
      </c>
      <c r="G41" s="9" t="n">
        <v>1300</v>
      </c>
    </row>
    <row r="42">
      <c r="A42" s="8" t="inlineStr">
        <is>
          <t>Form 990-EZ Parts I &amp; II</t>
        </is>
      </c>
      <c r="B42" s="8" t="inlineStr">
        <is>
          <t>G12</t>
        </is>
      </c>
      <c r="C42" s="8" t="inlineStr">
        <is>
          <t>13. Fees for services (independent contractors)</t>
        </is>
      </c>
      <c r="D42" s="8" t="inlineStr">
        <is>
          <t>Part I line 13</t>
        </is>
      </c>
      <c r="E42" s="8" t="inlineStr">
        <is>
          <t>part_i_revenue_expenses.fees_ind_contractors</t>
        </is>
      </c>
      <c r="F42" s="8" t="inlineStr">
        <is>
          <t>high</t>
        </is>
      </c>
      <c r="G42" s="9" t="n">
        <v>1400</v>
      </c>
    </row>
    <row r="43">
      <c r="A43" s="8" t="inlineStr">
        <is>
          <t>Form 990-EZ Parts I &amp; II</t>
        </is>
      </c>
      <c r="B43" s="8" t="inlineStr">
        <is>
          <t>B13</t>
        </is>
      </c>
      <c r="C43" s="8" t="inlineStr">
        <is>
          <t>16. Other expenses</t>
        </is>
      </c>
      <c r="D43" s="8" t="inlineStr">
        <is>
          <t>Part I line 16</t>
        </is>
      </c>
      <c r="E43" s="8" t="inlineStr">
        <is>
          <t>part_i_revenue_expenses.other_expenses_total</t>
        </is>
      </c>
      <c r="F43" s="8" t="inlineStr">
        <is>
          <t>high</t>
        </is>
      </c>
      <c r="G43" s="9" t="n">
        <v>89521</v>
      </c>
    </row>
    <row r="44">
      <c r="A44" s="8" t="inlineStr">
        <is>
          <t>Form 990-EZ Parts I &amp; II</t>
        </is>
      </c>
      <c r="B44" s="8" t="inlineStr">
        <is>
          <t>C13</t>
        </is>
      </c>
      <c r="C44" s="8" t="inlineStr">
        <is>
          <t>16. Other expenses</t>
        </is>
      </c>
      <c r="D44" s="8" t="inlineStr">
        <is>
          <t>Part I line 16</t>
        </is>
      </c>
      <c r="E44" s="8" t="inlineStr">
        <is>
          <t>part_i_revenue_expenses.other_expenses_total</t>
        </is>
      </c>
      <c r="F44" s="8" t="inlineStr">
        <is>
          <t>high</t>
        </is>
      </c>
      <c r="G44" s="9" t="n">
        <v>98092</v>
      </c>
    </row>
    <row r="45">
      <c r="A45" s="8" t="inlineStr">
        <is>
          <t>Form 990-EZ Parts I &amp; II</t>
        </is>
      </c>
      <c r="B45" s="8" t="inlineStr">
        <is>
          <t>D13</t>
        </is>
      </c>
      <c r="C45" s="8" t="inlineStr">
        <is>
          <t>16. Other expenses</t>
        </is>
      </c>
      <c r="D45" s="8" t="inlineStr">
        <is>
          <t>Part I line 16</t>
        </is>
      </c>
      <c r="E45" s="8" t="inlineStr">
        <is>
          <t>part_i_revenue_expenses.other_expenses_total</t>
        </is>
      </c>
      <c r="F45" s="8" t="inlineStr">
        <is>
          <t>high</t>
        </is>
      </c>
      <c r="G45" s="9" t="n">
        <v>101248</v>
      </c>
    </row>
    <row r="46">
      <c r="A46" s="8" t="inlineStr">
        <is>
          <t>Form 990-EZ Parts I &amp; II</t>
        </is>
      </c>
      <c r="B46" s="8" t="inlineStr">
        <is>
          <t>E13</t>
        </is>
      </c>
      <c r="C46" s="8" t="inlineStr">
        <is>
          <t>16. Other expenses</t>
        </is>
      </c>
      <c r="D46" s="8" t="inlineStr">
        <is>
          <t>Part I line 16</t>
        </is>
      </c>
      <c r="E46" s="8" t="inlineStr">
        <is>
          <t>part_i_revenue_expenses.other_expenses_total</t>
        </is>
      </c>
      <c r="F46" s="8" t="inlineStr">
        <is>
          <t>high</t>
        </is>
      </c>
      <c r="G46" s="9" t="n">
        <v>124234</v>
      </c>
    </row>
    <row r="47">
      <c r="A47" s="8" t="inlineStr">
        <is>
          <t>Form 990-EZ Parts I &amp; II</t>
        </is>
      </c>
      <c r="B47" s="8" t="inlineStr">
        <is>
          <t>F13</t>
        </is>
      </c>
      <c r="C47" s="8" t="inlineStr">
        <is>
          <t>16. Other expenses</t>
        </is>
      </c>
      <c r="D47" s="8" t="inlineStr">
        <is>
          <t>Part I line 16</t>
        </is>
      </c>
      <c r="E47" s="8" t="inlineStr">
        <is>
          <t>part_i_revenue_expenses.other_expenses_total</t>
        </is>
      </c>
      <c r="F47" s="8" t="inlineStr">
        <is>
          <t>high</t>
        </is>
      </c>
      <c r="G47" s="9" t="n">
        <v>134331</v>
      </c>
    </row>
    <row r="48">
      <c r="A48" s="8" t="inlineStr">
        <is>
          <t>Form 990-EZ Parts I &amp; II</t>
        </is>
      </c>
      <c r="B48" s="8" t="inlineStr">
        <is>
          <t>G13</t>
        </is>
      </c>
      <c r="C48" s="8" t="inlineStr">
        <is>
          <t>16. Other expenses</t>
        </is>
      </c>
      <c r="D48" s="8" t="inlineStr">
        <is>
          <t>Part I line 16</t>
        </is>
      </c>
      <c r="E48" s="8" t="inlineStr">
        <is>
          <t>part_i_revenue_expenses.other_expenses_total</t>
        </is>
      </c>
      <c r="F48" s="8" t="inlineStr">
        <is>
          <t>high</t>
        </is>
      </c>
      <c r="G48" s="9" t="n">
        <v>133552</v>
      </c>
    </row>
    <row r="49">
      <c r="A49" s="8" t="inlineStr">
        <is>
          <t>Form 990-EZ Parts I &amp; II</t>
        </is>
      </c>
      <c r="B49" s="8" t="inlineStr">
        <is>
          <t>B17</t>
        </is>
      </c>
      <c r="C49" s="8" t="inlineStr">
        <is>
          <t>19. Net assets or fund balances, beginning of year</t>
        </is>
      </c>
      <c r="D49" s="8" t="inlineStr">
        <is>
          <t>Part I line 19</t>
        </is>
      </c>
      <c r="E49" s="8" t="inlineStr">
        <is>
          <t>part_i_revenue_expenses.net_assets_boy</t>
        </is>
      </c>
      <c r="F49" s="8" t="inlineStr">
        <is>
          <t>high</t>
        </is>
      </c>
      <c r="G49" s="9" t="n">
        <v>277502</v>
      </c>
    </row>
    <row r="50">
      <c r="A50" s="8" t="inlineStr">
        <is>
          <t>Form 990-EZ Parts I &amp; II</t>
        </is>
      </c>
      <c r="B50" s="8" t="inlineStr">
        <is>
          <t>C17</t>
        </is>
      </c>
      <c r="C50" s="8" t="inlineStr">
        <is>
          <t>19. Net assets or fund balances, beginning of year</t>
        </is>
      </c>
      <c r="D50" s="8" t="inlineStr">
        <is>
          <t>Part I line 19</t>
        </is>
      </c>
      <c r="E50" s="8" t="inlineStr">
        <is>
          <t>part_i_revenue_expenses.net_assets_boy</t>
        </is>
      </c>
      <c r="F50" s="8" t="inlineStr">
        <is>
          <t>high</t>
        </is>
      </c>
      <c r="G50" s="9" t="n">
        <v>295776</v>
      </c>
    </row>
    <row r="51">
      <c r="A51" s="8" t="inlineStr">
        <is>
          <t>Form 990-EZ Parts I &amp; II</t>
        </is>
      </c>
      <c r="B51" s="8" t="inlineStr">
        <is>
          <t>D17</t>
        </is>
      </c>
      <c r="C51" s="8" t="inlineStr">
        <is>
          <t>19. Net assets or fund balances, beginning of year</t>
        </is>
      </c>
      <c r="D51" s="8" t="inlineStr">
        <is>
          <t>Part I line 19</t>
        </is>
      </c>
      <c r="E51" s="8" t="inlineStr">
        <is>
          <t>part_i_revenue_expenses.net_assets_boy</t>
        </is>
      </c>
      <c r="F51" s="8" t="inlineStr">
        <is>
          <t>high</t>
        </is>
      </c>
      <c r="G51" s="9" t="n">
        <v>311563</v>
      </c>
    </row>
    <row r="52">
      <c r="A52" s="8" t="inlineStr">
        <is>
          <t>Form 990-EZ Parts I &amp; II</t>
        </is>
      </c>
      <c r="B52" s="8" t="inlineStr">
        <is>
          <t>E17</t>
        </is>
      </c>
      <c r="C52" s="8" t="inlineStr">
        <is>
          <t>19. Net assets or fund balances, beginning of year</t>
        </is>
      </c>
      <c r="D52" s="8" t="inlineStr">
        <is>
          <t>Part I line 19</t>
        </is>
      </c>
      <c r="E52" s="8" t="inlineStr">
        <is>
          <t>part_i_revenue_expenses.net_assets_boy</t>
        </is>
      </c>
      <c r="F52" s="8" t="inlineStr">
        <is>
          <t>high</t>
        </is>
      </c>
      <c r="G52" s="9" t="n">
        <v>313613</v>
      </c>
    </row>
    <row r="53">
      <c r="A53" s="8" t="inlineStr">
        <is>
          <t>Form 990-EZ Parts I &amp; II</t>
        </is>
      </c>
      <c r="B53" s="8" t="inlineStr">
        <is>
          <t>F17</t>
        </is>
      </c>
      <c r="C53" s="8" t="inlineStr">
        <is>
          <t>19. Net assets or fund balances, beginning of year</t>
        </is>
      </c>
      <c r="D53" s="8" t="inlineStr">
        <is>
          <t>Part I line 19</t>
        </is>
      </c>
      <c r="E53" s="8" t="inlineStr">
        <is>
          <t>part_i_revenue_expenses.net_assets_boy</t>
        </is>
      </c>
      <c r="F53" s="8" t="inlineStr">
        <is>
          <t>high</t>
        </is>
      </c>
      <c r="G53" s="9" t="n">
        <v>301591</v>
      </c>
    </row>
    <row r="54">
      <c r="A54" s="8" t="inlineStr">
        <is>
          <t>Form 990-EZ Parts I &amp; II</t>
        </is>
      </c>
      <c r="B54" s="8" t="inlineStr">
        <is>
          <t>G17</t>
        </is>
      </c>
      <c r="C54" s="8" t="inlineStr">
        <is>
          <t>19. Net assets or fund balances, beginning of year</t>
        </is>
      </c>
      <c r="D54" s="8" t="inlineStr">
        <is>
          <t>Part I line 19</t>
        </is>
      </c>
      <c r="E54" s="8" t="inlineStr">
        <is>
          <t>part_i_revenue_expenses.net_assets_boy</t>
        </is>
      </c>
      <c r="F54" s="8" t="inlineStr">
        <is>
          <t>high</t>
        </is>
      </c>
      <c r="G54" s="9" t="n">
        <v>295515</v>
      </c>
    </row>
    <row r="55">
      <c r="A55" s="8" t="inlineStr">
        <is>
          <t>Form 990-EZ Parts I &amp; II</t>
        </is>
      </c>
      <c r="B55" s="8" t="inlineStr">
        <is>
          <t>B18</t>
        </is>
      </c>
      <c r="C55" s="8" t="inlineStr">
        <is>
          <t>18. Excess or (deficit) for the year</t>
        </is>
      </c>
      <c r="D55" s="8" t="inlineStr">
        <is>
          <t>Part I line 18</t>
        </is>
      </c>
      <c r="E55" s="8" t="inlineStr">
        <is>
          <t>part_i_revenue_expenses.excess_or_deficit</t>
        </is>
      </c>
      <c r="F55" s="8" t="inlineStr">
        <is>
          <t>high</t>
        </is>
      </c>
      <c r="G55" s="9" t="n">
        <v>18274</v>
      </c>
    </row>
    <row r="56">
      <c r="A56" s="8" t="inlineStr">
        <is>
          <t>Form 990-EZ Parts I &amp; II</t>
        </is>
      </c>
      <c r="B56" s="8" t="inlineStr">
        <is>
          <t>C18</t>
        </is>
      </c>
      <c r="C56" s="8" t="inlineStr">
        <is>
          <t>18. Excess or (deficit) for the year</t>
        </is>
      </c>
      <c r="D56" s="8" t="inlineStr">
        <is>
          <t>Part I line 18</t>
        </is>
      </c>
      <c r="E56" s="8" t="inlineStr">
        <is>
          <t>part_i_revenue_expenses.excess_or_deficit</t>
        </is>
      </c>
      <c r="F56" s="8" t="inlineStr">
        <is>
          <t>high</t>
        </is>
      </c>
      <c r="G56" s="9" t="n">
        <v>15787</v>
      </c>
    </row>
    <row r="57">
      <c r="A57" s="8" t="inlineStr">
        <is>
          <t>Form 990-EZ Parts I &amp; II</t>
        </is>
      </c>
      <c r="B57" s="8" t="inlineStr">
        <is>
          <t>D18</t>
        </is>
      </c>
      <c r="C57" s="8" t="inlineStr">
        <is>
          <t>18. Excess or (deficit) for the year</t>
        </is>
      </c>
      <c r="D57" s="8" t="inlineStr">
        <is>
          <t>Part I line 18</t>
        </is>
      </c>
      <c r="E57" s="8" t="inlineStr">
        <is>
          <t>part_i_revenue_expenses.excess_or_deficit</t>
        </is>
      </c>
      <c r="F57" s="8" t="inlineStr">
        <is>
          <t>high</t>
        </is>
      </c>
      <c r="G57" s="9" t="n">
        <v>2050</v>
      </c>
    </row>
    <row r="58">
      <c r="A58" s="8" t="inlineStr">
        <is>
          <t>Form 990-EZ Parts I &amp; II</t>
        </is>
      </c>
      <c r="B58" s="8" t="inlineStr">
        <is>
          <t>E18</t>
        </is>
      </c>
      <c r="C58" s="8" t="inlineStr">
        <is>
          <t>18. Excess or (deficit) for the year</t>
        </is>
      </c>
      <c r="D58" s="8" t="inlineStr">
        <is>
          <t>Part I line 18</t>
        </is>
      </c>
      <c r="E58" s="8" t="inlineStr">
        <is>
          <t>part_i_revenue_expenses.excess_or_deficit</t>
        </is>
      </c>
      <c r="F58" s="8" t="inlineStr">
        <is>
          <t>high</t>
        </is>
      </c>
      <c r="G58" s="9" t="n">
        <v>-11223</v>
      </c>
    </row>
    <row r="59">
      <c r="A59" s="8" t="inlineStr">
        <is>
          <t>Form 990-EZ Parts I &amp; II</t>
        </is>
      </c>
      <c r="B59" s="8" t="inlineStr">
        <is>
          <t>F18</t>
        </is>
      </c>
      <c r="C59" s="8" t="inlineStr">
        <is>
          <t>18. Excess or (deficit) for the year</t>
        </is>
      </c>
      <c r="D59" s="8" t="inlineStr">
        <is>
          <t>Part I line 18</t>
        </is>
      </c>
      <c r="E59" s="8" t="inlineStr">
        <is>
          <t>part_i_revenue_expenses.excess_or_deficit</t>
        </is>
      </c>
      <c r="F59" s="8" t="inlineStr">
        <is>
          <t>high</t>
        </is>
      </c>
      <c r="G59" s="9" t="n">
        <v>-6076</v>
      </c>
    </row>
    <row r="60">
      <c r="A60" s="8" t="inlineStr">
        <is>
          <t>Form 990-EZ Parts I &amp; II</t>
        </is>
      </c>
      <c r="B60" s="8" t="inlineStr">
        <is>
          <t>G18</t>
        </is>
      </c>
      <c r="C60" s="8" t="inlineStr">
        <is>
          <t>18. Excess or (deficit) for the year</t>
        </is>
      </c>
      <c r="D60" s="8" t="inlineStr">
        <is>
          <t>Part I line 18</t>
        </is>
      </c>
      <c r="E60" s="8" t="inlineStr">
        <is>
          <t>part_i_revenue_expenses.excess_or_deficit</t>
        </is>
      </c>
      <c r="F60" s="8" t="inlineStr">
        <is>
          <t>high</t>
        </is>
      </c>
      <c r="G60" s="9" t="n">
        <v>8499</v>
      </c>
    </row>
    <row r="61">
      <c r="A61" s="8" t="inlineStr">
        <is>
          <t>Form 990-EZ Parts I &amp; II</t>
        </is>
      </c>
      <c r="B61" s="8" t="inlineStr">
        <is>
          <t>B22</t>
        </is>
      </c>
      <c r="C61" s="8" t="inlineStr">
        <is>
          <t>22. Cash, savings, and investments</t>
        </is>
      </c>
      <c r="D61" s="8" t="inlineStr">
        <is>
          <t>Part II line 22 col B</t>
        </is>
      </c>
      <c r="E61" s="8" t="inlineStr">
        <is>
          <t>part_ii_balance_sheet.cash_savings_investments_eoy</t>
        </is>
      </c>
      <c r="F61" s="8" t="inlineStr">
        <is>
          <t>high</t>
        </is>
      </c>
      <c r="G61" s="9" t="n">
        <v>295776</v>
      </c>
    </row>
    <row r="62">
      <c r="A62" s="8" t="inlineStr">
        <is>
          <t>Form 990-EZ Parts I &amp; II</t>
        </is>
      </c>
      <c r="B62" s="8" t="inlineStr">
        <is>
          <t>C22</t>
        </is>
      </c>
      <c r="C62" s="8" t="inlineStr">
        <is>
          <t>22. Cash, savings, and investments</t>
        </is>
      </c>
      <c r="D62" s="8" t="inlineStr">
        <is>
          <t>Part II line 22 col B</t>
        </is>
      </c>
      <c r="E62" s="8" t="inlineStr">
        <is>
          <t>part_ii_balance_sheet.cash_savings_investments_eoy</t>
        </is>
      </c>
      <c r="F62" s="8" t="inlineStr">
        <is>
          <t>high</t>
        </is>
      </c>
      <c r="G62" s="9" t="n">
        <v>311563</v>
      </c>
    </row>
    <row r="63">
      <c r="A63" s="8" t="inlineStr">
        <is>
          <t>Form 990-EZ Parts I &amp; II</t>
        </is>
      </c>
      <c r="B63" s="8" t="inlineStr">
        <is>
          <t>D22</t>
        </is>
      </c>
      <c r="C63" s="8" t="inlineStr">
        <is>
          <t>22. Cash, savings, and investments</t>
        </is>
      </c>
      <c r="D63" s="8" t="inlineStr">
        <is>
          <t>Part II line 22 col B</t>
        </is>
      </c>
      <c r="E63" s="8" t="inlineStr">
        <is>
          <t>part_ii_balance_sheet.cash_savings_investments_eoy</t>
        </is>
      </c>
      <c r="F63" s="8" t="inlineStr">
        <is>
          <t>high</t>
        </is>
      </c>
      <c r="G63" s="9" t="n">
        <v>313613</v>
      </c>
    </row>
    <row r="64">
      <c r="A64" s="8" t="inlineStr">
        <is>
          <t>Form 990-EZ Parts I &amp; II</t>
        </is>
      </c>
      <c r="B64" s="8" t="inlineStr">
        <is>
          <t>E22</t>
        </is>
      </c>
      <c r="C64" s="8" t="inlineStr">
        <is>
          <t>22. Cash, savings, and investments</t>
        </is>
      </c>
      <c r="D64" s="8" t="inlineStr">
        <is>
          <t>Part II line 22 col B</t>
        </is>
      </c>
      <c r="E64" s="8" t="inlineStr">
        <is>
          <t>part_ii_balance_sheet.cash_savings_investments_eoy</t>
        </is>
      </c>
      <c r="F64" s="8" t="inlineStr">
        <is>
          <t>high</t>
        </is>
      </c>
      <c r="G64" s="9" t="n">
        <v>330355</v>
      </c>
    </row>
    <row r="65">
      <c r="A65" s="8" t="inlineStr">
        <is>
          <t>Form 990-EZ Parts I &amp; II</t>
        </is>
      </c>
      <c r="B65" s="8" t="inlineStr">
        <is>
          <t>F22</t>
        </is>
      </c>
      <c r="C65" s="8" t="inlineStr">
        <is>
          <t>22. Cash, savings, and investments</t>
        </is>
      </c>
      <c r="D65" s="8" t="inlineStr">
        <is>
          <t>Part II line 22 col B</t>
        </is>
      </c>
      <c r="E65" s="8" t="inlineStr">
        <is>
          <t>part_ii_balance_sheet.cash_savings_investments_eoy</t>
        </is>
      </c>
      <c r="F65" s="8" t="inlineStr">
        <is>
          <t>high</t>
        </is>
      </c>
      <c r="G65" s="9" t="n">
        <v>321733</v>
      </c>
    </row>
    <row r="66">
      <c r="A66" s="8" t="inlineStr">
        <is>
          <t>Form 990-EZ Parts I &amp; II</t>
        </is>
      </c>
      <c r="B66" s="8" t="inlineStr">
        <is>
          <t>G22</t>
        </is>
      </c>
      <c r="C66" s="8" t="inlineStr">
        <is>
          <t>22. Cash, savings, and investments</t>
        </is>
      </c>
      <c r="D66" s="8" t="inlineStr">
        <is>
          <t>Part II line 22 col B</t>
        </is>
      </c>
      <c r="E66" s="8" t="inlineStr">
        <is>
          <t>part_ii_balance_sheet.cash_savings_investments_eoy</t>
        </is>
      </c>
      <c r="F66" s="8" t="inlineStr">
        <is>
          <t>high</t>
        </is>
      </c>
      <c r="G66" s="9" t="n">
        <v>164010</v>
      </c>
    </row>
    <row r="67">
      <c r="A67" s="8" t="inlineStr">
        <is>
          <t>Form 990-EZ Parts I &amp; II</t>
        </is>
      </c>
      <c r="B67" s="8" t="inlineStr">
        <is>
          <t>G23</t>
        </is>
      </c>
      <c r="C67" s="8" t="inlineStr">
        <is>
          <t>23. Land and buildings</t>
        </is>
      </c>
      <c r="D67" s="8" t="inlineStr">
        <is>
          <t>Part II line 23 col B</t>
        </is>
      </c>
      <c r="E67" s="8" t="inlineStr">
        <is>
          <t>part_ii_balance_sheet.land_and_buildings_eoy</t>
        </is>
      </c>
      <c r="F67" s="8" t="inlineStr">
        <is>
          <t>high</t>
        </is>
      </c>
      <c r="G67" s="9" t="n">
        <v>128207</v>
      </c>
    </row>
    <row r="68">
      <c r="A68" s="8" t="inlineStr">
        <is>
          <t>Form 990-EZ Parts I &amp; II</t>
        </is>
      </c>
      <c r="B68" s="8" t="inlineStr">
        <is>
          <t>G24</t>
        </is>
      </c>
      <c r="C68" s="8" t="inlineStr">
        <is>
          <t>24. Other assets</t>
        </is>
      </c>
      <c r="D68" s="8" t="inlineStr">
        <is>
          <t>Part II line 24 col B</t>
        </is>
      </c>
      <c r="E68" s="8" t="inlineStr">
        <is>
          <t>part_ii_balance_sheet.other_assets_eoy</t>
        </is>
      </c>
      <c r="F68" s="8" t="inlineStr">
        <is>
          <t>high</t>
        </is>
      </c>
      <c r="G68" s="9" t="n">
        <v>11797</v>
      </c>
    </row>
    <row r="69">
      <c r="A69" s="8" t="inlineStr">
        <is>
          <t>Form 990-EZ Parts I &amp; II</t>
        </is>
      </c>
      <c r="B69" s="8" t="inlineStr">
        <is>
          <t>E26</t>
        </is>
      </c>
      <c r="C69" s="8" t="inlineStr">
        <is>
          <t>26. Total liabilities</t>
        </is>
      </c>
      <c r="D69" s="8" t="inlineStr">
        <is>
          <t>Part II line 26 col B</t>
        </is>
      </c>
      <c r="E69" s="8" t="inlineStr">
        <is>
          <t>part_ii_balance_sheet.total_liabilities_eoy</t>
        </is>
      </c>
      <c r="F69" s="8" t="inlineStr">
        <is>
          <t>high</t>
        </is>
      </c>
      <c r="G69" s="9" t="n">
        <v>27965</v>
      </c>
    </row>
    <row r="70">
      <c r="A70" s="8" t="inlineStr">
        <is>
          <t>Form 990-EZ Parts I &amp; II</t>
        </is>
      </c>
      <c r="B70" s="8" t="inlineStr">
        <is>
          <t>F26</t>
        </is>
      </c>
      <c r="C70" s="8" t="inlineStr">
        <is>
          <t>26. Total liabilities</t>
        </is>
      </c>
      <c r="D70" s="8" t="inlineStr">
        <is>
          <t>Part II line 26 col B</t>
        </is>
      </c>
      <c r="E70" s="8" t="inlineStr">
        <is>
          <t>part_ii_balance_sheet.total_liabilities_eoy</t>
        </is>
      </c>
      <c r="F70" s="8" t="inlineStr">
        <is>
          <t>high</t>
        </is>
      </c>
      <c r="G70" s="9" t="n">
        <v>26218</v>
      </c>
    </row>
    <row r="71">
      <c r="A71" s="8" t="inlineStr">
        <is>
          <t>Form 990-EZ Parts I &amp; II</t>
        </is>
      </c>
      <c r="B71" s="8" t="inlineStr">
        <is>
          <t>B27</t>
        </is>
      </c>
      <c r="C71" s="8" t="inlineStr">
        <is>
          <t>27. Net assets or fund balances</t>
        </is>
      </c>
      <c r="D71" s="8" t="inlineStr">
        <is>
          <t>Part II line 27 col B</t>
        </is>
      </c>
      <c r="E71" s="8" t="inlineStr">
        <is>
          <t>part_ii_balance_sheet.net_assets_eoy</t>
        </is>
      </c>
      <c r="F71" s="8" t="inlineStr">
        <is>
          <t>high</t>
        </is>
      </c>
      <c r="G71" s="9" t="n">
        <v>295776</v>
      </c>
    </row>
    <row r="72">
      <c r="A72" s="8" t="inlineStr">
        <is>
          <t>Form 990-EZ Parts I &amp; II</t>
        </is>
      </c>
      <c r="B72" s="8" t="inlineStr">
        <is>
          <t>C27</t>
        </is>
      </c>
      <c r="C72" s="8" t="inlineStr">
        <is>
          <t>27. Net assets or fund balances</t>
        </is>
      </c>
      <c r="D72" s="8" t="inlineStr">
        <is>
          <t>Part II line 27 col B</t>
        </is>
      </c>
      <c r="E72" s="8" t="inlineStr">
        <is>
          <t>part_ii_balance_sheet.net_assets_eoy</t>
        </is>
      </c>
      <c r="F72" s="8" t="inlineStr">
        <is>
          <t>high</t>
        </is>
      </c>
      <c r="G72" s="9" t="n">
        <v>311563</v>
      </c>
    </row>
    <row r="73">
      <c r="A73" s="8" t="inlineStr">
        <is>
          <t>Form 990-EZ Parts I &amp; II</t>
        </is>
      </c>
      <c r="B73" s="8" t="inlineStr">
        <is>
          <t>D27</t>
        </is>
      </c>
      <c r="C73" s="8" t="inlineStr">
        <is>
          <t>27. Net assets or fund balances</t>
        </is>
      </c>
      <c r="D73" s="8" t="inlineStr">
        <is>
          <t>Part II line 27 col B</t>
        </is>
      </c>
      <c r="E73" s="8" t="inlineStr">
        <is>
          <t>part_ii_balance_sheet.net_assets_eoy</t>
        </is>
      </c>
      <c r="F73" s="8" t="inlineStr">
        <is>
          <t>high</t>
        </is>
      </c>
      <c r="G73" s="9" t="n">
        <v>313613</v>
      </c>
    </row>
    <row r="74">
      <c r="A74" s="8" t="inlineStr">
        <is>
          <t>Form 990-EZ Parts I &amp; II</t>
        </is>
      </c>
      <c r="B74" s="8" t="inlineStr">
        <is>
          <t>E27</t>
        </is>
      </c>
      <c r="C74" s="8" t="inlineStr">
        <is>
          <t>27. Net assets or fund balances</t>
        </is>
      </c>
      <c r="D74" s="8" t="inlineStr">
        <is>
          <t>Part II line 27 col B</t>
        </is>
      </c>
      <c r="E74" s="8" t="inlineStr">
        <is>
          <t>part_ii_balance_sheet.net_assets_eoy</t>
        </is>
      </c>
      <c r="F74" s="8" t="inlineStr">
        <is>
          <t>high</t>
        </is>
      </c>
      <c r="G74" s="9" t="n">
        <v>302390</v>
      </c>
    </row>
    <row r="75">
      <c r="A75" s="8" t="inlineStr">
        <is>
          <t>Form 990-EZ Parts I &amp; II</t>
        </is>
      </c>
      <c r="B75" s="8" t="inlineStr">
        <is>
          <t>F27</t>
        </is>
      </c>
      <c r="C75" s="8" t="inlineStr">
        <is>
          <t>27. Net assets or fund balances</t>
        </is>
      </c>
      <c r="D75" s="8" t="inlineStr">
        <is>
          <t>Part II line 27 col B</t>
        </is>
      </c>
      <c r="E75" s="8" t="inlineStr">
        <is>
          <t>part_ii_balance_sheet.net_assets_eoy</t>
        </is>
      </c>
      <c r="F75" s="8" t="inlineStr">
        <is>
          <t>high</t>
        </is>
      </c>
      <c r="G75" s="9" t="n">
        <v>295515</v>
      </c>
    </row>
    <row r="76">
      <c r="A76" s="8" t="inlineStr">
        <is>
          <t>Form 990-EZ Parts I &amp; II</t>
        </is>
      </c>
      <c r="B76" s="8" t="inlineStr">
        <is>
          <t>G27</t>
        </is>
      </c>
      <c r="C76" s="8" t="inlineStr">
        <is>
          <t>27. Net assets or fund balances</t>
        </is>
      </c>
      <c r="D76" s="8" t="inlineStr">
        <is>
          <t>Part II line 27 col B</t>
        </is>
      </c>
      <c r="E76" s="8" t="inlineStr">
        <is>
          <t>part_ii_balance_sheet.net_assets_eoy</t>
        </is>
      </c>
      <c r="F76" s="8" t="inlineStr">
        <is>
          <t>high</t>
        </is>
      </c>
      <c r="G76" s="9" t="n">
        <v>304014</v>
      </c>
    </row>
    <row r="78">
      <c r="A78" s="24" t="inlineStr">
        <is>
          <t>C. Tie-out checks (filed vs computed; any nonzero variance is flagged red)</t>
        </is>
      </c>
      <c r="B78" s="7" t="n"/>
      <c r="C78" s="7" t="n"/>
      <c r="D78" s="7" t="n"/>
      <c r="E78" s="7" t="n"/>
      <c r="F78" s="7" t="n"/>
      <c r="G78" s="7" t="n"/>
      <c r="H78" s="7" t="n"/>
      <c r="I78" s="7" t="n"/>
      <c r="J78" s="7" t="n"/>
      <c r="K78" s="7" t="n"/>
    </row>
    <row r="79">
      <c r="A79" s="5" t="inlineStr">
        <is>
          <t>Tab</t>
        </is>
      </c>
      <c r="B79" s="5" t="inlineStr">
        <is>
          <t>Check</t>
        </is>
      </c>
      <c r="C79" s="5" t="inlineStr">
        <is>
          <t>Fiscal year</t>
        </is>
      </c>
      <c r="D79" s="5" t="inlineStr">
        <is>
          <t>Filed</t>
        </is>
      </c>
      <c r="E79" s="5" t="inlineStr">
        <is>
          <t>Computed</t>
        </is>
      </c>
      <c r="F79" s="5" t="inlineStr">
        <is>
          <t>Variance (computed - filed)</t>
        </is>
      </c>
    </row>
    <row r="80">
      <c r="A80" s="25" t="inlineStr">
        <is>
          <t>Form 990-EZ Parts I &amp; II</t>
        </is>
      </c>
      <c r="B80" s="25" t="inlineStr">
        <is>
          <t>17. Total expenses</t>
        </is>
      </c>
      <c r="C80" s="25" t="inlineStr">
        <is>
          <t>FY2020</t>
        </is>
      </c>
      <c r="D80" s="9" t="n">
        <v>90271</v>
      </c>
      <c r="E80" s="9">
        <f>'Form 990-EZ Parts I &amp; II'!B14</f>
        <v/>
      </c>
      <c r="F80" s="9">
        <f>E80-D80</f>
        <v/>
      </c>
    </row>
    <row r="81">
      <c r="A81" s="25" t="inlineStr">
        <is>
          <t>Form 990-EZ Parts I &amp; II</t>
        </is>
      </c>
      <c r="B81" s="25" t="inlineStr">
        <is>
          <t>17. Total expenses</t>
        </is>
      </c>
      <c r="C81" s="25" t="inlineStr">
        <is>
          <t>FY2021</t>
        </is>
      </c>
      <c r="D81" s="9" t="n">
        <v>98842</v>
      </c>
      <c r="E81" s="9">
        <f>'Form 990-EZ Parts I &amp; II'!C14</f>
        <v/>
      </c>
      <c r="F81" s="9">
        <f>E81-D81</f>
        <v/>
      </c>
    </row>
    <row r="82">
      <c r="A82" s="25" t="inlineStr">
        <is>
          <t>Form 990-EZ Parts I &amp; II</t>
        </is>
      </c>
      <c r="B82" s="25" t="inlineStr">
        <is>
          <t>17. Total expenses</t>
        </is>
      </c>
      <c r="C82" s="25" t="inlineStr">
        <is>
          <t>FY2022</t>
        </is>
      </c>
      <c r="D82" s="9" t="n">
        <v>101948</v>
      </c>
      <c r="E82" s="9">
        <f>'Form 990-EZ Parts I &amp; II'!D14</f>
        <v/>
      </c>
      <c r="F82" s="9">
        <f>E82-D82</f>
        <v/>
      </c>
    </row>
    <row r="83">
      <c r="A83" s="25" t="inlineStr">
        <is>
          <t>Form 990-EZ Parts I &amp; II</t>
        </is>
      </c>
      <c r="B83" s="25" t="inlineStr">
        <is>
          <t>17. Total expenses</t>
        </is>
      </c>
      <c r="C83" s="25" t="inlineStr">
        <is>
          <t>FY2023</t>
        </is>
      </c>
      <c r="D83" s="9" t="n">
        <v>124319</v>
      </c>
      <c r="E83" s="9">
        <f>'Form 990-EZ Parts I &amp; II'!E14</f>
        <v/>
      </c>
      <c r="F83" s="9">
        <f>E83-D83</f>
        <v/>
      </c>
    </row>
    <row r="84">
      <c r="A84" s="25" t="inlineStr">
        <is>
          <t>Form 990-EZ Parts I &amp; II</t>
        </is>
      </c>
      <c r="B84" s="25" t="inlineStr">
        <is>
          <t>17. Total expenses</t>
        </is>
      </c>
      <c r="C84" s="25" t="inlineStr">
        <is>
          <t>FY2024</t>
        </is>
      </c>
      <c r="D84" s="9" t="n">
        <v>135631</v>
      </c>
      <c r="E84" s="9">
        <f>'Form 990-EZ Parts I &amp; II'!F14</f>
        <v/>
      </c>
      <c r="F84" s="9">
        <f>E84-D84</f>
        <v/>
      </c>
    </row>
    <row r="85">
      <c r="A85" s="25" t="inlineStr">
        <is>
          <t>Form 990-EZ Parts I &amp; II</t>
        </is>
      </c>
      <c r="B85" s="25" t="inlineStr">
        <is>
          <t>17. Total expenses</t>
        </is>
      </c>
      <c r="C85" s="25" t="inlineStr">
        <is>
          <t>FY2025</t>
        </is>
      </c>
      <c r="D85" s="9" t="n">
        <v>134952</v>
      </c>
      <c r="E85" s="9">
        <f>'Form 990-EZ Parts I &amp; II'!G14</f>
        <v/>
      </c>
      <c r="F85" s="9">
        <f>E85-D85</f>
        <v/>
      </c>
    </row>
    <row r="86">
      <c r="A86" s="25" t="inlineStr">
        <is>
          <t>Form 990-EZ Parts I &amp; II</t>
        </is>
      </c>
      <c r="B86" s="25" t="inlineStr">
        <is>
          <t>21. Net assets or fund balances, end of year</t>
        </is>
      </c>
      <c r="C86" s="25" t="inlineStr">
        <is>
          <t>FY2020</t>
        </is>
      </c>
      <c r="D86" s="9" t="n">
        <v>295776</v>
      </c>
      <c r="E86" s="9">
        <f>'Form 990-EZ Parts I &amp; II'!B19</f>
        <v/>
      </c>
      <c r="F86" s="9">
        <f>E86-D86</f>
        <v/>
      </c>
    </row>
    <row r="87">
      <c r="A87" s="25" t="inlineStr">
        <is>
          <t>Form 990-EZ Parts I &amp; II</t>
        </is>
      </c>
      <c r="B87" s="25" t="inlineStr">
        <is>
          <t>21. Net assets or fund balances, end of year</t>
        </is>
      </c>
      <c r="C87" s="25" t="inlineStr">
        <is>
          <t>FY2021</t>
        </is>
      </c>
      <c r="D87" s="9" t="n">
        <v>311563</v>
      </c>
      <c r="E87" s="9">
        <f>'Form 990-EZ Parts I &amp; II'!C19</f>
        <v/>
      </c>
      <c r="F87" s="9">
        <f>E87-D87</f>
        <v/>
      </c>
    </row>
    <row r="88">
      <c r="A88" s="25" t="inlineStr">
        <is>
          <t>Form 990-EZ Parts I &amp; II</t>
        </is>
      </c>
      <c r="B88" s="25" t="inlineStr">
        <is>
          <t>21. Net assets or fund balances, end of year</t>
        </is>
      </c>
      <c r="C88" s="25" t="inlineStr">
        <is>
          <t>FY2022</t>
        </is>
      </c>
      <c r="D88" s="9" t="n">
        <v>313613</v>
      </c>
      <c r="E88" s="9">
        <f>'Form 990-EZ Parts I &amp; II'!D19</f>
        <v/>
      </c>
      <c r="F88" s="9">
        <f>E88-D88</f>
        <v/>
      </c>
    </row>
    <row r="89">
      <c r="A89" s="25" t="inlineStr">
        <is>
          <t>Form 990-EZ Parts I &amp; II</t>
        </is>
      </c>
      <c r="B89" s="25" t="inlineStr">
        <is>
          <t>21. Net assets or fund balances, end of year</t>
        </is>
      </c>
      <c r="C89" s="25" t="inlineStr">
        <is>
          <t>FY2023</t>
        </is>
      </c>
      <c r="D89" s="9" t="n">
        <v>302390</v>
      </c>
      <c r="E89" s="9">
        <f>'Form 990-EZ Parts I &amp; II'!E19</f>
        <v/>
      </c>
      <c r="F89" s="9">
        <f>E89-D89</f>
        <v/>
      </c>
    </row>
    <row r="90">
      <c r="A90" s="25" t="inlineStr">
        <is>
          <t>Form 990-EZ Parts I &amp; II</t>
        </is>
      </c>
      <c r="B90" s="25" t="inlineStr">
        <is>
          <t>21. Net assets or fund balances, end of year</t>
        </is>
      </c>
      <c r="C90" s="25" t="inlineStr">
        <is>
          <t>FY2024</t>
        </is>
      </c>
      <c r="D90" s="9" t="n">
        <v>295515</v>
      </c>
      <c r="E90" s="9">
        <f>'Form 990-EZ Parts I &amp; II'!F19</f>
        <v/>
      </c>
      <c r="F90" s="9">
        <f>E90-D90</f>
        <v/>
      </c>
    </row>
    <row r="91">
      <c r="A91" s="25" t="inlineStr">
        <is>
          <t>Form 990-EZ Parts I &amp; II</t>
        </is>
      </c>
      <c r="B91" s="25" t="inlineStr">
        <is>
          <t>21. Net assets or fund balances, end of year</t>
        </is>
      </c>
      <c r="C91" s="25" t="inlineStr">
        <is>
          <t>FY2025</t>
        </is>
      </c>
      <c r="D91" s="9" t="n">
        <v>304014</v>
      </c>
      <c r="E91" s="9">
        <f>'Form 990-EZ Parts I &amp; II'!G19</f>
        <v/>
      </c>
      <c r="F91" s="9">
        <f>E91-D91</f>
        <v/>
      </c>
    </row>
    <row r="92">
      <c r="A92" s="25" t="inlineStr">
        <is>
          <t>Form 990-EZ Parts I &amp; II</t>
        </is>
      </c>
      <c r="B92" s="25" t="inlineStr">
        <is>
          <t>25. Total assets</t>
        </is>
      </c>
      <c r="C92" s="25" t="inlineStr">
        <is>
          <t>FY2020</t>
        </is>
      </c>
      <c r="D92" s="9" t="n">
        <v>295776</v>
      </c>
      <c r="E92" s="9">
        <f>'Form 990-EZ Parts I &amp; II'!B25</f>
        <v/>
      </c>
      <c r="F92" s="9">
        <f>E92-D92</f>
        <v/>
      </c>
    </row>
    <row r="93">
      <c r="A93" s="25" t="inlineStr">
        <is>
          <t>Form 990-EZ Parts I &amp; II</t>
        </is>
      </c>
      <c r="B93" s="25" t="inlineStr">
        <is>
          <t>25. Total assets</t>
        </is>
      </c>
      <c r="C93" s="25" t="inlineStr">
        <is>
          <t>FY2021</t>
        </is>
      </c>
      <c r="D93" s="9" t="n">
        <v>311563</v>
      </c>
      <c r="E93" s="9">
        <f>'Form 990-EZ Parts I &amp; II'!C25</f>
        <v/>
      </c>
      <c r="F93" s="9">
        <f>E93-D93</f>
        <v/>
      </c>
    </row>
    <row r="94">
      <c r="A94" s="25" t="inlineStr">
        <is>
          <t>Form 990-EZ Parts I &amp; II</t>
        </is>
      </c>
      <c r="B94" s="25" t="inlineStr">
        <is>
          <t>25. Total assets</t>
        </is>
      </c>
      <c r="C94" s="25" t="inlineStr">
        <is>
          <t>FY2022</t>
        </is>
      </c>
      <c r="D94" s="9" t="n">
        <v>313613</v>
      </c>
      <c r="E94" s="9">
        <f>'Form 990-EZ Parts I &amp; II'!D25</f>
        <v/>
      </c>
      <c r="F94" s="9">
        <f>E94-D94</f>
        <v/>
      </c>
    </row>
    <row r="95">
      <c r="A95" s="25" t="inlineStr">
        <is>
          <t>Form 990-EZ Parts I &amp; II</t>
        </is>
      </c>
      <c r="B95" s="25" t="inlineStr">
        <is>
          <t>25. Total assets</t>
        </is>
      </c>
      <c r="C95" s="25" t="inlineStr">
        <is>
          <t>FY2023</t>
        </is>
      </c>
      <c r="D95" s="9" t="n">
        <v>330355</v>
      </c>
      <c r="E95" s="9">
        <f>'Form 990-EZ Parts I &amp; II'!E25</f>
        <v/>
      </c>
      <c r="F95" s="9">
        <f>E95-D95</f>
        <v/>
      </c>
    </row>
    <row r="96">
      <c r="A96" s="25" t="inlineStr">
        <is>
          <t>Form 990-EZ Parts I &amp; II</t>
        </is>
      </c>
      <c r="B96" s="25" t="inlineStr">
        <is>
          <t>25. Total assets</t>
        </is>
      </c>
      <c r="C96" s="25" t="inlineStr">
        <is>
          <t>FY2024</t>
        </is>
      </c>
      <c r="D96" s="9" t="n">
        <v>321733</v>
      </c>
      <c r="E96" s="9">
        <f>'Form 990-EZ Parts I &amp; II'!F25</f>
        <v/>
      </c>
      <c r="F96" s="9">
        <f>E96-D96</f>
        <v/>
      </c>
    </row>
    <row r="97">
      <c r="A97" s="25" t="inlineStr">
        <is>
          <t>Form 990-EZ Parts I &amp; II</t>
        </is>
      </c>
      <c r="B97" s="25" t="inlineStr">
        <is>
          <t>25. Total assets</t>
        </is>
      </c>
      <c r="C97" s="25" t="inlineStr">
        <is>
          <t>FY2025</t>
        </is>
      </c>
      <c r="D97" s="9" t="n">
        <v>304014</v>
      </c>
      <c r="E97" s="9">
        <f>'Form 990-EZ Parts I &amp; II'!G25</f>
        <v/>
      </c>
      <c r="F97" s="9">
        <f>E97-D97</f>
        <v/>
      </c>
    </row>
    <row r="98">
      <c r="A98" s="25" t="inlineStr">
        <is>
          <t>Form 990-EZ Parts I &amp; II</t>
        </is>
      </c>
      <c r="B98" s="25" t="inlineStr">
        <is>
          <t>Balance sheet identity: line 25 = line 26 + line 27 (EOY)</t>
        </is>
      </c>
      <c r="C98" s="25" t="inlineStr">
        <is>
          <t>FY2020</t>
        </is>
      </c>
      <c r="D98" s="9">
        <f>'Form 990-EZ Parts I &amp; II'!B25</f>
        <v/>
      </c>
      <c r="E98" s="9">
        <f>SUM('Form 990-EZ Parts I &amp; II'!B26,'Form 990-EZ Parts I &amp; II'!B27)</f>
        <v/>
      </c>
      <c r="F98" s="9">
        <f>E98-D98</f>
        <v/>
      </c>
    </row>
    <row r="99">
      <c r="A99" s="25" t="inlineStr">
        <is>
          <t>Form 990-EZ Parts I &amp; II</t>
        </is>
      </c>
      <c r="B99" s="25" t="inlineStr">
        <is>
          <t>Balance sheet identity: line 25 = line 26 + line 27 (EOY)</t>
        </is>
      </c>
      <c r="C99" s="25" t="inlineStr">
        <is>
          <t>FY2021</t>
        </is>
      </c>
      <c r="D99" s="9">
        <f>'Form 990-EZ Parts I &amp; II'!C25</f>
        <v/>
      </c>
      <c r="E99" s="9">
        <f>SUM('Form 990-EZ Parts I &amp; II'!C26,'Form 990-EZ Parts I &amp; II'!C27)</f>
        <v/>
      </c>
      <c r="F99" s="9">
        <f>E99-D99</f>
        <v/>
      </c>
    </row>
    <row r="100">
      <c r="A100" s="25" t="inlineStr">
        <is>
          <t>Form 990-EZ Parts I &amp; II</t>
        </is>
      </c>
      <c r="B100" s="25" t="inlineStr">
        <is>
          <t>Balance sheet identity: line 25 = line 26 + line 27 (EOY)</t>
        </is>
      </c>
      <c r="C100" s="25" t="inlineStr">
        <is>
          <t>FY2022</t>
        </is>
      </c>
      <c r="D100" s="9">
        <f>'Form 990-EZ Parts I &amp; II'!D25</f>
        <v/>
      </c>
      <c r="E100" s="9">
        <f>SUM('Form 990-EZ Parts I &amp; II'!D26,'Form 990-EZ Parts I &amp; II'!D27)</f>
        <v/>
      </c>
      <c r="F100" s="9">
        <f>E100-D100</f>
        <v/>
      </c>
    </row>
    <row r="101">
      <c r="A101" s="25" t="inlineStr">
        <is>
          <t>Form 990-EZ Parts I &amp; II</t>
        </is>
      </c>
      <c r="B101" s="25" t="inlineStr">
        <is>
          <t>Balance sheet identity: line 25 = line 26 + line 27 (EOY)</t>
        </is>
      </c>
      <c r="C101" s="25" t="inlineStr">
        <is>
          <t>FY2023</t>
        </is>
      </c>
      <c r="D101" s="9">
        <f>'Form 990-EZ Parts I &amp; II'!E25</f>
        <v/>
      </c>
      <c r="E101" s="9">
        <f>SUM('Form 990-EZ Parts I &amp; II'!E26,'Form 990-EZ Parts I &amp; II'!E27)</f>
        <v/>
      </c>
      <c r="F101" s="9">
        <f>E101-D101</f>
        <v/>
      </c>
    </row>
    <row r="102">
      <c r="A102" s="25" t="inlineStr">
        <is>
          <t>Form 990-EZ Parts I &amp; II</t>
        </is>
      </c>
      <c r="B102" s="25" t="inlineStr">
        <is>
          <t>Balance sheet identity: line 25 = line 26 + line 27 (EOY)</t>
        </is>
      </c>
      <c r="C102" s="25" t="inlineStr">
        <is>
          <t>FY2024</t>
        </is>
      </c>
      <c r="D102" s="9">
        <f>'Form 990-EZ Parts I &amp; II'!F25</f>
        <v/>
      </c>
      <c r="E102" s="9">
        <f>SUM('Form 990-EZ Parts I &amp; II'!F26,'Form 990-EZ Parts I &amp; II'!F27)</f>
        <v/>
      </c>
      <c r="F102" s="9">
        <f>E102-D102</f>
        <v/>
      </c>
    </row>
    <row r="103">
      <c r="A103" s="25" t="inlineStr">
        <is>
          <t>Form 990-EZ Parts I &amp; II</t>
        </is>
      </c>
      <c r="B103" s="25" t="inlineStr">
        <is>
          <t>Balance sheet identity: line 25 = line 26 + line 27 (EOY)</t>
        </is>
      </c>
      <c r="C103" s="25" t="inlineStr">
        <is>
          <t>FY2025</t>
        </is>
      </c>
      <c r="D103" s="9">
        <f>'Form 990-EZ Parts I &amp; II'!G25</f>
        <v/>
      </c>
      <c r="E103" s="9">
        <f>SUM('Form 990-EZ Parts I &amp; II'!G26,'Form 990-EZ Parts I &amp; II'!G27)</f>
        <v/>
      </c>
      <c r="F103" s="9">
        <f>E103-D103</f>
        <v/>
      </c>
    </row>
    <row r="105">
      <c r="A105" s="24" t="inlineStr">
        <is>
          <t>D. Preparer / auditor trail (one row per fiscal year, as filed)</t>
        </is>
      </c>
      <c r="B105" s="7" t="n"/>
      <c r="C105" s="7" t="n"/>
      <c r="D105" s="7" t="n"/>
      <c r="E105" s="7" t="n"/>
      <c r="F105" s="7" t="n"/>
      <c r="G105" s="7" t="n"/>
      <c r="H105" s="7" t="n"/>
      <c r="I105" s="7" t="n"/>
      <c r="J105" s="7" t="n"/>
      <c r="K105" s="7" t="n"/>
    </row>
    <row r="106">
      <c r="A106" s="5" t="inlineStr">
        <is>
          <t>Fiscal year</t>
        </is>
      </c>
      <c r="B106" s="5" t="inlineStr">
        <is>
          <t>Paid preparer</t>
        </is>
      </c>
      <c r="C106" s="5" t="inlineStr">
        <is>
          <t>Preparer firm</t>
        </is>
      </c>
      <c r="D106" s="5" t="inlineStr">
        <is>
          <t>Independent auditor</t>
        </is>
      </c>
      <c r="E106" s="5" t="inlineStr">
        <is>
          <t>Citation</t>
        </is>
      </c>
    </row>
    <row r="107" ht="42" customHeight="1">
      <c r="A107" s="21" t="inlineStr">
        <is>
          <t>FY2020</t>
        </is>
      </c>
      <c r="B107" s="8" t="inlineStr">
        <is>
          <t>Janet M McKinley</t>
        </is>
      </c>
      <c r="C107" s="8" t="inlineStr">
        <is>
          <t>JANET M MCKINLEY CRTP</t>
        </is>
      </c>
      <c r="D107" s="26" t="inlineStr">
        <is>
          <t>not reported</t>
        </is>
      </c>
      <c r="E107" s="13" t="inlineStr">
        <is>
          <t>Form 990 Return Header, Paid Preparer block (return_header.preparer_person_name / preparer_firm_name); auditor: Part XII line 2 reports audited financial statements but does not name the firm.</t>
        </is>
      </c>
    </row>
    <row r="108" ht="42" customHeight="1">
      <c r="A108" s="21" t="inlineStr">
        <is>
          <t>FY2021</t>
        </is>
      </c>
      <c r="B108" s="8" t="inlineStr">
        <is>
          <t>Janet M McKinley</t>
        </is>
      </c>
      <c r="C108" s="8" t="inlineStr">
        <is>
          <t>JANET M MCKINLEY CRTP</t>
        </is>
      </c>
      <c r="D108" s="26" t="inlineStr">
        <is>
          <t>not reported</t>
        </is>
      </c>
      <c r="E108" s="13" t="inlineStr">
        <is>
          <t>Form 990 Return Header, Paid Preparer block (return_header.preparer_person_name / preparer_firm_name); auditor: Part XII line 2 reports audited financial statements but does not name the firm.</t>
        </is>
      </c>
    </row>
    <row r="109" ht="42" customHeight="1">
      <c r="A109" s="21" t="inlineStr">
        <is>
          <t>FY2022</t>
        </is>
      </c>
      <c r="B109" s="8" t="inlineStr">
        <is>
          <t>Janet M McKinley</t>
        </is>
      </c>
      <c r="C109" s="8" t="inlineStr">
        <is>
          <t>JANET M MCKINLEY CRTP</t>
        </is>
      </c>
      <c r="D109" s="26" t="inlineStr">
        <is>
          <t>not reported</t>
        </is>
      </c>
      <c r="E109" s="13" t="inlineStr">
        <is>
          <t>Form 990 Return Header, Paid Preparer block (return_header.preparer_person_name / preparer_firm_name); auditor: Part XII line 2 reports audited financial statements but does not name the firm.</t>
        </is>
      </c>
    </row>
    <row r="110" ht="42" customHeight="1">
      <c r="A110" s="21" t="inlineStr">
        <is>
          <t>FY2023</t>
        </is>
      </c>
      <c r="B110" s="8" t="inlineStr">
        <is>
          <t>Janet M McKinley</t>
        </is>
      </c>
      <c r="C110" s="8" t="inlineStr">
        <is>
          <t>JANET M MCKINLEY CRTP</t>
        </is>
      </c>
      <c r="D110" s="26" t="inlineStr">
        <is>
          <t>not reported</t>
        </is>
      </c>
      <c r="E110" s="13" t="inlineStr">
        <is>
          <t>Form 990 Return Header, Paid Preparer block (return_header.preparer_person_name / preparer_firm_name); auditor: Part XII line 2 reports audited financial statements but does not name the firm.</t>
        </is>
      </c>
    </row>
    <row r="111" ht="42" customHeight="1">
      <c r="A111" s="21" t="inlineStr">
        <is>
          <t>FY2024</t>
        </is>
      </c>
      <c r="B111" s="8" t="inlineStr">
        <is>
          <t>Janet M McKinley</t>
        </is>
      </c>
      <c r="C111" s="8" t="inlineStr">
        <is>
          <t>JANET M MCKINLEY CRTP</t>
        </is>
      </c>
      <c r="D111" s="26" t="inlineStr">
        <is>
          <t>not reported</t>
        </is>
      </c>
      <c r="E111" s="13" t="inlineStr">
        <is>
          <t>Form 990 Return Header, Paid Preparer block (return_header.preparer_person_name / preparer_firm_name); auditor: Part XII line 2 reports audited financial statements but does not name the firm.</t>
        </is>
      </c>
    </row>
    <row r="112" ht="42" customHeight="1">
      <c r="A112" s="21" t="inlineStr">
        <is>
          <t>FY2025</t>
        </is>
      </c>
      <c r="B112" s="8" t="inlineStr">
        <is>
          <t>Janet M McKinley</t>
        </is>
      </c>
      <c r="C112" s="8" t="inlineStr">
        <is>
          <t>JANET M MCKINLEY CRTP</t>
        </is>
      </c>
      <c r="D112" s="26" t="inlineStr">
        <is>
          <t>not reported</t>
        </is>
      </c>
      <c r="E112" s="13" t="inlineStr">
        <is>
          <t>Form 990 Return Header, Paid Preparer block (return_header.preparer_person_name / preparer_firm_name); auditor: Part XII line 2 reports audited financial statements but does not name the firm.</t>
        </is>
      </c>
    </row>
    <row r="114" ht="42" customHeight="1">
      <c r="A11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14:K114"/>
    <mergeCell ref="A3:K3"/>
    <mergeCell ref="A2:K2"/>
    <mergeCell ref="A5:K5"/>
    <mergeCell ref="A1:K1"/>
  </mergeCells>
  <conditionalFormatting sqref="F80:F103">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