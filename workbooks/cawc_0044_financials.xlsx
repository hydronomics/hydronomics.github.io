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1.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Operational metrics" sheetId="16" state="visible" r:id="rId16"/>
    <sheet name="Supply &amp; weather" sheetId="17" state="visible" r:id="rId17"/>
    <sheet name="How this was built" sheetId="18" state="visible" r:id="rId18"/>
    <sheet name="Sources &amp; audit" sheetId="19" state="visible" r:id="rId19"/>
    <sheet name="Provenance" sheetId="20" state="visible" r:id="rId20"/>
  </sheets>
  <definedNames/>
  <calcPr calcId="124519" fullCalcOnLoad="1"/>
</workbook>
</file>

<file path=xl/styles.xml><?xml version="1.0" encoding="utf-8"?>
<styleSheet xmlns="http://schemas.openxmlformats.org/spreadsheetml/2006/main">
  <numFmts count="7">
    <numFmt numFmtId="164" formatCode="#,##0;(#,##0)"/>
    <numFmt numFmtId="165" formatCode="0.0%"/>
    <numFmt numFmtId="166" formatCode="$#,##0.00"/>
    <numFmt numFmtId="167" formatCode="#,##0.000"/>
    <numFmt numFmtId="168" formatCode="$#,##0.00###"/>
    <numFmt numFmtId="169" formatCode="#,##0.####"/>
    <numFmt numFmtId="170"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7F60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9"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0" fillId="6" borderId="1" applyAlignment="1" pivotButton="0" quotePrefix="0" xfId="0">
      <alignment horizontal="right"/>
    </xf>
    <xf numFmtId="167" fontId="10" fillId="6" borderId="1" applyAlignment="1" pivotButton="0" quotePrefix="0" xfId="0">
      <alignment horizontal="right"/>
    </xf>
    <xf numFmtId="1" fontId="10" fillId="6" borderId="1" applyAlignment="1" pivotButton="0" quotePrefix="0" xfId="0">
      <alignment horizontal="right"/>
    </xf>
    <xf numFmtId="0" fontId="4" fillId="2" borderId="1" applyAlignment="1" pivotButton="0" quotePrefix="0" xfId="0">
      <alignment horizontal="right"/>
    </xf>
    <xf numFmtId="168" fontId="6" fillId="0" borderId="1" applyAlignment="1" pivotButton="0" quotePrefix="0" xfId="0">
      <alignment horizontal="right"/>
    </xf>
    <xf numFmtId="169" fontId="6" fillId="0" borderId="1" applyAlignment="1" pivotButton="0" quotePrefix="0" xfId="0">
      <alignment horizontal="right"/>
    </xf>
    <xf numFmtId="4" fontId="9" fillId="5" borderId="1" applyAlignment="1" pivotButton="0" quotePrefix="0" xfId="0">
      <alignment horizontal="right"/>
    </xf>
    <xf numFmtId="166" fontId="9" fillId="5" borderId="1" applyAlignment="1" pivotButton="0" quotePrefix="0" xfId="0">
      <alignment horizontal="right"/>
    </xf>
    <xf numFmtId="166" fontId="9" fillId="4" borderId="1" applyAlignment="1" pivotButton="0" quotePrefix="0" xfId="0">
      <alignment horizontal="right"/>
    </xf>
    <xf numFmtId="10" fontId="9" fillId="5" borderId="1" applyAlignment="1" pivotButton="0" quotePrefix="0" xfId="0">
      <alignment horizontal="right"/>
    </xf>
    <xf numFmtId="2" fontId="9" fillId="5" borderId="1" applyAlignment="1" pivotButton="0" quotePrefix="0" xfId="0">
      <alignment horizontal="right"/>
    </xf>
    <xf numFmtId="0" fontId="9"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170" fontId="6" fillId="0" borderId="1" applyAlignment="1" pivotButton="0" quotePrefix="0" xfId="0">
      <alignment horizontal="right"/>
    </xf>
    <xf numFmtId="0" fontId="6" fillId="0" borderId="1" pivotButton="0" quotePrefix="0" xfId="0"/>
    <xf numFmtId="0" fontId="6"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Carmel Riviera Mutual Water Company</t>
        </is>
      </c>
    </row>
    <row r="2">
      <c r="A2" s="2" t="inlineStr">
        <is>
          <t>Financial Summary - multi-year overview (USD)</t>
        </is>
      </c>
    </row>
    <row r="3">
      <c r="A3" s="2" t="inlineStr">
        <is>
          <t>Entity ID: cawc_0044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527779</v>
      </c>
      <c r="C10" s="9" t="n">
        <v>591266</v>
      </c>
      <c r="D10" s="9" t="n">
        <v>618740</v>
      </c>
      <c r="E10" s="9" t="n">
        <v>492262</v>
      </c>
      <c r="F10" s="9" t="n">
        <v>729675</v>
      </c>
    </row>
    <row r="11">
      <c r="A11" s="8" t="inlineStr">
        <is>
          <t xml:space="preserve">    Total expenses</t>
        </is>
      </c>
      <c r="B11" s="9" t="n">
        <v>468143</v>
      </c>
      <c r="C11" s="9" t="n">
        <v>430968</v>
      </c>
      <c r="D11" s="9" t="n">
        <v>526751</v>
      </c>
      <c r="E11" s="9" t="n">
        <v>545084</v>
      </c>
      <c r="F11" s="9" t="n">
        <v>716440</v>
      </c>
    </row>
    <row r="12">
      <c r="A12" s="10" t="inlineStr">
        <is>
          <t xml:space="preserve">    Net income</t>
        </is>
      </c>
      <c r="B12" s="11" t="n">
        <v>59636</v>
      </c>
      <c r="C12" s="11" t="n">
        <v>160298</v>
      </c>
      <c r="D12" s="11" t="n">
        <v>91989</v>
      </c>
      <c r="E12" s="11" t="n">
        <v>-52822</v>
      </c>
      <c r="F12" s="11" t="n">
        <v>13235</v>
      </c>
    </row>
    <row r="14">
      <c r="A14" s="6" t="inlineStr">
        <is>
          <t>Financial position (USD, end of year)</t>
        </is>
      </c>
      <c r="B14" s="7" t="n"/>
      <c r="C14" s="7" t="n"/>
      <c r="D14" s="7" t="n"/>
      <c r="E14" s="7" t="n"/>
      <c r="F14" s="7" t="n"/>
    </row>
    <row r="15">
      <c r="A15" s="8" t="inlineStr">
        <is>
          <t xml:space="preserve">    Total assets</t>
        </is>
      </c>
      <c r="B15" s="9" t="n">
        <v>1737189</v>
      </c>
      <c r="C15" s="9" t="n">
        <v>1846174</v>
      </c>
      <c r="D15" s="9" t="n">
        <v>1884855</v>
      </c>
      <c r="E15" s="9" t="n">
        <v>1776669</v>
      </c>
      <c r="F15" s="9" t="n">
        <v>1732286</v>
      </c>
    </row>
    <row r="16">
      <c r="A16" s="8" t="inlineStr">
        <is>
          <t xml:space="preserve">    Total liabilities</t>
        </is>
      </c>
      <c r="B16" s="9" t="n">
        <v>444515</v>
      </c>
      <c r="C16" s="9" t="n">
        <v>393202</v>
      </c>
      <c r="D16" s="9" t="n">
        <v>339894</v>
      </c>
      <c r="E16" s="9" t="n">
        <v>284530</v>
      </c>
      <c r="F16" s="9" t="n">
        <v>226912</v>
      </c>
    </row>
    <row r="17">
      <c r="A17" s="10" t="inlineStr">
        <is>
          <t xml:space="preserve">    Net assets</t>
        </is>
      </c>
      <c r="B17" s="11" t="n">
        <v>1292674</v>
      </c>
      <c r="C17" s="11" t="n">
        <v>1452972</v>
      </c>
      <c r="D17" s="11" t="n">
        <v>1544961</v>
      </c>
      <c r="E17" s="11" t="n">
        <v>1492139</v>
      </c>
      <c r="F17" s="11" t="n">
        <v>1505374</v>
      </c>
    </row>
    <row r="19">
      <c r="A19" s="6" t="inlineStr">
        <is>
          <t>Headline ratios</t>
        </is>
      </c>
      <c r="B19" s="7" t="n"/>
      <c r="C19" s="7" t="n"/>
      <c r="D19" s="7" t="n"/>
      <c r="E19" s="7" t="n"/>
      <c r="F19" s="7" t="n"/>
    </row>
    <row r="20">
      <c r="A20" s="8" t="inlineStr">
        <is>
          <t xml:space="preserve">    Operating margin</t>
        </is>
      </c>
      <c r="B20" s="12" t="n">
        <v>0.1129942646448608</v>
      </c>
      <c r="C20" s="12" t="n">
        <v>0.2711097881494962</v>
      </c>
      <c r="D20" s="12" t="n">
        <v>0.148671493680706</v>
      </c>
      <c r="E20" s="12" t="n">
        <v>-0.107304646712523</v>
      </c>
      <c r="F20" s="12" t="n">
        <v>0.01813821221776818</v>
      </c>
    </row>
    <row r="21">
      <c r="A21" s="8" t="inlineStr">
        <is>
          <t xml:space="preserve">    Revenue growth (YoY)</t>
        </is>
      </c>
      <c r="B21" s="12" t="n">
        <v>0.1138596413474059</v>
      </c>
      <c r="C21" s="12" t="n">
        <v>0.1202908793263847</v>
      </c>
      <c r="D21" s="12" t="n">
        <v>0.04646639583537697</v>
      </c>
      <c r="E21" s="12" t="n">
        <v>-0.2044121925202831</v>
      </c>
      <c r="F21" s="12" t="n">
        <v>0.4822899187830871</v>
      </c>
    </row>
    <row r="22">
      <c r="A22" s="8" t="inlineStr">
        <is>
          <t xml:space="preserve">    Return on assets</t>
        </is>
      </c>
      <c r="B22" s="12" t="n">
        <v>0.03432902234587026</v>
      </c>
      <c r="C22" s="12" t="n">
        <v>0.08682713547043779</v>
      </c>
      <c r="D22" s="12" t="n">
        <v>0.04880428467972337</v>
      </c>
      <c r="E22" s="12" t="n">
        <v>-0.02973091780179651</v>
      </c>
      <c r="F22" s="12" t="n">
        <v>0.007640193362989714</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Carmel Riviera Mutual Water Company</t>
        </is>
      </c>
    </row>
    <row r="2">
      <c r="A2" s="2" t="inlineStr">
        <is>
          <t>Financial Statements - income statement, balance sheet, cash flow, member income test (USD)</t>
        </is>
      </c>
    </row>
    <row r="3">
      <c r="A3" s="2" t="inlineStr">
        <is>
          <t>Entity ID: cawc_0044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v>525506</v>
      </c>
      <c r="C8" s="9" t="n">
        <v>591208</v>
      </c>
      <c r="D8" s="9" t="n">
        <v>611163</v>
      </c>
      <c r="E8" s="9" t="n">
        <v>456103</v>
      </c>
      <c r="F8" s="9" t="n">
        <v>695774</v>
      </c>
    </row>
    <row r="9">
      <c r="A9" s="8" t="inlineStr">
        <is>
          <t xml:space="preserve">    Investment income</t>
        </is>
      </c>
      <c r="B9" s="9" t="n">
        <v>2273</v>
      </c>
      <c r="C9" s="9" t="n">
        <v>58</v>
      </c>
      <c r="D9" s="9" t="n">
        <v>7577</v>
      </c>
      <c r="E9" s="9" t="n">
        <v>36159</v>
      </c>
      <c r="F9" s="9" t="n">
        <v>33901</v>
      </c>
    </row>
    <row r="10">
      <c r="A10" s="8" t="inlineStr">
        <is>
          <t xml:space="preserve">    Net rental income</t>
        </is>
      </c>
      <c r="B10" s="9" t="n">
        <v>0</v>
      </c>
      <c r="C10" s="9" t="n">
        <v>0</v>
      </c>
      <c r="D10" s="9" t="n"/>
      <c r="E10" s="9" t="n"/>
      <c r="F10" s="9" t="n"/>
    </row>
    <row r="11">
      <c r="A11" s="8" t="inlineStr">
        <is>
          <t xml:space="preserve">    Net gain/(loss) on investment sales</t>
        </is>
      </c>
      <c r="B11" s="9" t="n">
        <v>0</v>
      </c>
      <c r="C11" s="9" t="n">
        <v>0</v>
      </c>
      <c r="D11" s="9" t="n"/>
      <c r="E11" s="9" t="n"/>
      <c r="F11" s="9" t="n"/>
    </row>
    <row r="12">
      <c r="A12" s="8" t="inlineStr">
        <is>
          <t xml:space="preserve">    Other revenue</t>
        </is>
      </c>
      <c r="B12" s="9" t="n">
        <v>0</v>
      </c>
      <c r="C12" s="9" t="n">
        <v>0</v>
      </c>
      <c r="D12" s="9" t="n"/>
      <c r="E12" s="9" t="n"/>
      <c r="F12" s="9" t="n"/>
    </row>
    <row r="13">
      <c r="A13" s="8" t="inlineStr">
        <is>
          <t xml:space="preserve">    Contributions &amp; grants</t>
        </is>
      </c>
      <c r="B13" s="9" t="n">
        <v>0</v>
      </c>
      <c r="C13" s="9" t="n">
        <v>0</v>
      </c>
      <c r="D13" s="9" t="n"/>
      <c r="E13" s="9" t="n"/>
      <c r="F13" s="9" t="n"/>
    </row>
    <row r="14">
      <c r="A14" s="10" t="inlineStr">
        <is>
          <t>Total revenue</t>
        </is>
      </c>
      <c r="B14" s="11" t="n">
        <v>527779</v>
      </c>
      <c r="C14" s="11" t="n">
        <v>591266</v>
      </c>
      <c r="D14" s="11" t="n">
        <v>618740</v>
      </c>
      <c r="E14" s="11" t="n">
        <v>492262</v>
      </c>
      <c r="F14" s="11" t="n">
        <v>729675</v>
      </c>
    </row>
    <row r="16">
      <c r="A16" s="6" t="inlineStr">
        <is>
          <t>Expenses</t>
        </is>
      </c>
      <c r="B16" s="7" t="n"/>
      <c r="C16" s="7" t="n"/>
      <c r="D16" s="7" t="n"/>
      <c r="E16" s="7" t="n"/>
      <c r="F16" s="7" t="n"/>
    </row>
    <row r="17">
      <c r="A17" s="8" t="inlineStr">
        <is>
          <t xml:space="preserve">    Depreciation</t>
        </is>
      </c>
      <c r="B17" s="9" t="n">
        <v>83806</v>
      </c>
      <c r="C17" s="9" t="n">
        <v>82990</v>
      </c>
      <c r="D17" s="9" t="n">
        <v>84612</v>
      </c>
      <c r="E17" s="9" t="n">
        <v>90188</v>
      </c>
      <c r="F17" s="9" t="n">
        <v>98520</v>
      </c>
    </row>
    <row r="18">
      <c r="A18" s="8" t="inlineStr">
        <is>
          <t xml:space="preserve">    Interest expense</t>
        </is>
      </c>
      <c r="B18" s="9" t="n">
        <v>16160</v>
      </c>
      <c r="C18" s="9" t="n">
        <v>14078</v>
      </c>
      <c r="D18" s="9" t="n">
        <v>12083</v>
      </c>
      <c r="E18" s="9" t="n">
        <v>10026</v>
      </c>
      <c r="F18" s="9" t="n">
        <v>7856</v>
      </c>
    </row>
    <row r="19">
      <c r="A19" s="10" t="inlineStr">
        <is>
          <t>Total expenses</t>
        </is>
      </c>
      <c r="B19" s="11" t="n">
        <v>468143</v>
      </c>
      <c r="C19" s="11" t="n">
        <v>430968</v>
      </c>
      <c r="D19" s="11" t="n">
        <v>526751</v>
      </c>
      <c r="E19" s="11" t="n">
        <v>545084</v>
      </c>
      <c r="F19" s="11" t="n">
        <v>716440</v>
      </c>
    </row>
    <row r="21">
      <c r="A21" s="10" t="inlineStr">
        <is>
          <t>Net income</t>
        </is>
      </c>
      <c r="B21" s="11" t="n">
        <v>59636</v>
      </c>
      <c r="C21" s="11" t="n">
        <v>160298</v>
      </c>
      <c r="D21" s="11" t="n">
        <v>91989</v>
      </c>
      <c r="E21" s="11" t="n">
        <v>-52822</v>
      </c>
      <c r="F21" s="11" t="n">
        <v>13235</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834046</v>
      </c>
      <c r="C27" s="9" t="n">
        <v>968612</v>
      </c>
      <c r="D27" s="9" t="n">
        <v>1020121</v>
      </c>
      <c r="E27" s="9" t="n">
        <v>867085</v>
      </c>
      <c r="F27" s="9" t="n">
        <v>769632</v>
      </c>
    </row>
    <row r="28">
      <c r="A28" s="8" t="inlineStr">
        <is>
          <t xml:space="preserve">    Savings &amp; temporary investments</t>
        </is>
      </c>
      <c r="B28" s="9" t="n">
        <v>0</v>
      </c>
      <c r="C28" s="9" t="n">
        <v>0</v>
      </c>
      <c r="D28" s="9" t="n"/>
      <c r="E28" s="9" t="n"/>
      <c r="F28" s="9" t="n"/>
    </row>
    <row r="29">
      <c r="A29" s="8" t="inlineStr">
        <is>
          <t xml:space="preserve">    Accounts receivable</t>
        </is>
      </c>
      <c r="B29" s="9" t="n">
        <v>40754</v>
      </c>
      <c r="C29" s="9" t="n">
        <v>25195</v>
      </c>
      <c r="D29" s="9" t="n">
        <v>45255</v>
      </c>
      <c r="E29" s="9" t="n">
        <v>62492</v>
      </c>
      <c r="F29" s="9" t="n">
        <v>53050</v>
      </c>
    </row>
    <row r="30">
      <c r="A30" s="8" t="inlineStr">
        <is>
          <t xml:space="preserve">    Inventories</t>
        </is>
      </c>
      <c r="B30" s="9" t="n">
        <v>0</v>
      </c>
      <c r="C30" s="9" t="n">
        <v>0</v>
      </c>
      <c r="D30" s="9" t="n"/>
      <c r="E30" s="9" t="n"/>
      <c r="F30" s="9" t="n"/>
    </row>
    <row r="31">
      <c r="A31" s="8" t="inlineStr">
        <is>
          <t xml:space="preserve">    Prepaid expenses</t>
        </is>
      </c>
      <c r="B31" s="9" t="n">
        <v>0</v>
      </c>
      <c r="C31" s="9" t="n">
        <v>0</v>
      </c>
      <c r="D31" s="9" t="n"/>
      <c r="E31" s="9" t="n"/>
      <c r="F31" s="9" t="n"/>
    </row>
    <row r="32">
      <c r="A32" s="8" t="inlineStr">
        <is>
          <t xml:space="preserve">    Property, plant &amp; equipment (gross)</t>
        </is>
      </c>
      <c r="B32" s="9" t="n">
        <v>2356485</v>
      </c>
      <c r="C32" s="9" t="n">
        <v>2429453</v>
      </c>
      <c r="D32" s="9" t="n">
        <v>2481177</v>
      </c>
      <c r="E32" s="9" t="n">
        <v>2598978</v>
      </c>
      <c r="F32" s="9" t="n">
        <v>2760010</v>
      </c>
    </row>
    <row r="33">
      <c r="A33" s="8" t="inlineStr">
        <is>
          <t xml:space="preserve">    Less: accumulated depreciation</t>
        </is>
      </c>
      <c r="B33" s="9" t="n">
        <v>-1494096</v>
      </c>
      <c r="C33" s="9" t="n">
        <v>-1577086</v>
      </c>
      <c r="D33" s="9" t="n">
        <v>-1661698</v>
      </c>
      <c r="E33" s="9" t="n">
        <v>-1751886</v>
      </c>
      <c r="F33" s="9" t="n">
        <v>-1850406</v>
      </c>
    </row>
    <row r="34">
      <c r="A34" s="10" t="inlineStr">
        <is>
          <t xml:space="preserve">    Net property, plant &amp; equipment</t>
        </is>
      </c>
      <c r="B34" s="11" t="n">
        <v>862389</v>
      </c>
      <c r="C34" s="11" t="n">
        <v>852367</v>
      </c>
      <c r="D34" s="11" t="n">
        <v>819479</v>
      </c>
      <c r="E34" s="11" t="n">
        <v>847092</v>
      </c>
      <c r="F34" s="11" t="n">
        <v>909604</v>
      </c>
    </row>
    <row r="35">
      <c r="A35" s="10" t="inlineStr">
        <is>
          <t>Total assets</t>
        </is>
      </c>
      <c r="B35" s="11" t="n">
        <v>1737189</v>
      </c>
      <c r="C35" s="11" t="n">
        <v>1846174</v>
      </c>
      <c r="D35" s="11" t="n">
        <v>1884855</v>
      </c>
      <c r="E35" s="11" t="n">
        <v>1776669</v>
      </c>
      <c r="F35" s="11" t="n">
        <v>1732286</v>
      </c>
    </row>
    <row r="37">
      <c r="A37" s="6" t="inlineStr">
        <is>
          <t>Liabilities</t>
        </is>
      </c>
      <c r="B37" s="7" t="n"/>
      <c r="C37" s="7" t="n"/>
      <c r="D37" s="7" t="n"/>
      <c r="E37" s="7" t="n"/>
      <c r="F37" s="7" t="n"/>
    </row>
    <row r="38">
      <c r="A38" s="8" t="inlineStr">
        <is>
          <t xml:space="preserve">    Accounts payable</t>
        </is>
      </c>
      <c r="B38" s="9" t="n"/>
      <c r="C38" s="9" t="n"/>
      <c r="D38" s="9" t="n"/>
      <c r="E38" s="9" t="n"/>
      <c r="F38" s="9" t="n"/>
    </row>
    <row r="39">
      <c r="A39" s="8" t="inlineStr">
        <is>
          <t xml:space="preserve">    Mortgages &amp; notes payable</t>
        </is>
      </c>
      <c r="B39" s="9" t="n">
        <v>375813</v>
      </c>
      <c r="C39" s="9" t="n">
        <v>325739</v>
      </c>
      <c r="D39" s="9" t="n"/>
      <c r="E39" s="9" t="n"/>
      <c r="F39" s="9" t="n"/>
    </row>
    <row r="40">
      <c r="A40" s="10" t="inlineStr">
        <is>
          <t>Total liabilities</t>
        </is>
      </c>
      <c r="B40" s="11" t="n">
        <v>444515</v>
      </c>
      <c r="C40" s="11" t="n">
        <v>393202</v>
      </c>
      <c r="D40" s="11" t="n">
        <v>339894</v>
      </c>
      <c r="E40" s="11" t="n">
        <v>284530</v>
      </c>
      <c r="F40" s="11" t="n">
        <v>226912</v>
      </c>
    </row>
    <row r="42">
      <c r="A42" s="6" t="inlineStr">
        <is>
          <t>Net Assets / Equity</t>
        </is>
      </c>
      <c r="B42" s="7" t="n"/>
      <c r="C42" s="7" t="n"/>
      <c r="D42" s="7" t="n"/>
      <c r="E42" s="7" t="n"/>
      <c r="F42" s="7" t="n"/>
    </row>
    <row r="43">
      <c r="A43" s="8" t="inlineStr">
        <is>
          <t xml:space="preserve">    Capital stock</t>
        </is>
      </c>
      <c r="B43" s="9" t="n"/>
      <c r="C43" s="9" t="n"/>
      <c r="D43" s="9" t="n">
        <v>0</v>
      </c>
      <c r="E43" s="9" t="n">
        <v>0</v>
      </c>
      <c r="F43" s="9" t="n">
        <v>0</v>
      </c>
    </row>
    <row r="44">
      <c r="A44" s="8" t="inlineStr">
        <is>
          <t xml:space="preserve">    Paid-in capital</t>
        </is>
      </c>
      <c r="B44" s="9" t="n"/>
      <c r="C44" s="9" t="n"/>
      <c r="D44" s="9" t="n">
        <v>0</v>
      </c>
      <c r="E44" s="9" t="n">
        <v>0</v>
      </c>
      <c r="F44" s="9" t="n">
        <v>0</v>
      </c>
    </row>
    <row r="45">
      <c r="A45" s="8" t="inlineStr">
        <is>
          <t xml:space="preserve">    Retained earnings</t>
        </is>
      </c>
      <c r="B45" s="9" t="n">
        <v>1292674</v>
      </c>
      <c r="C45" s="9" t="n">
        <v>1452972</v>
      </c>
      <c r="D45" s="9" t="n">
        <v>1544961</v>
      </c>
      <c r="E45" s="9" t="n">
        <v>1492139</v>
      </c>
      <c r="F45" s="9" t="n">
        <v>1505374</v>
      </c>
    </row>
    <row r="46">
      <c r="A46" s="10" t="inlineStr">
        <is>
          <t>Net assets</t>
        </is>
      </c>
      <c r="B46" s="11" t="n">
        <v>1292674</v>
      </c>
      <c r="C46" s="11" t="n">
        <v>1452972</v>
      </c>
      <c r="D46" s="11" t="n">
        <v>1544961</v>
      </c>
      <c r="E46" s="11" t="n">
        <v>1492139</v>
      </c>
      <c r="F46" s="11" t="n">
        <v>1505374</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59636</v>
      </c>
      <c r="C52" s="9" t="n">
        <v>160298</v>
      </c>
      <c r="D52" s="9" t="n">
        <v>91989</v>
      </c>
      <c r="E52" s="9" t="n">
        <v>-52822</v>
      </c>
      <c r="F52" s="9" t="n">
        <v>13235</v>
      </c>
    </row>
    <row r="53">
      <c r="A53" s="8" t="inlineStr">
        <is>
          <t xml:space="preserve">    + Depreciation (reported)</t>
        </is>
      </c>
      <c r="B53" s="9" t="n">
        <v>83806</v>
      </c>
      <c r="C53" s="9" t="n">
        <v>82990</v>
      </c>
      <c r="D53" s="9" t="n">
        <v>84612</v>
      </c>
      <c r="E53" s="9" t="n">
        <v>90188</v>
      </c>
      <c r="F53" s="9" t="n">
        <v>98520</v>
      </c>
    </row>
    <row r="54">
      <c r="A54" s="8" t="inlineStr">
        <is>
          <t xml:space="preserve">    − Δ Accounts receivable</t>
        </is>
      </c>
      <c r="B54" s="9" t="n"/>
      <c r="C54" s="9" t="n">
        <v>15559</v>
      </c>
      <c r="D54" s="9" t="n">
        <v>-20060</v>
      </c>
      <c r="E54" s="9" t="n">
        <v>-17237</v>
      </c>
      <c r="F54" s="9" t="n">
        <v>9442</v>
      </c>
    </row>
    <row r="55">
      <c r="A55" s="8" t="inlineStr">
        <is>
          <t xml:space="preserve">    − Δ Inventories</t>
        </is>
      </c>
      <c r="B55" s="9" t="n"/>
      <c r="C55" s="9" t="n">
        <v>0</v>
      </c>
      <c r="D55" s="9" t="n"/>
      <c r="E55" s="9" t="n"/>
      <c r="F55" s="9" t="n"/>
    </row>
    <row r="56">
      <c r="A56" s="8" t="inlineStr">
        <is>
          <t xml:space="preserve">    − Δ Prepaid expenses</t>
        </is>
      </c>
      <c r="B56" s="9" t="n"/>
      <c r="C56" s="9" t="n">
        <v>0</v>
      </c>
      <c r="D56" s="9" t="n"/>
      <c r="E56" s="9" t="n"/>
      <c r="F56" s="9" t="n"/>
    </row>
    <row r="57">
      <c r="A57" s="8" t="inlineStr">
        <is>
          <t xml:space="preserve">    + Δ Accounts payable</t>
        </is>
      </c>
      <c r="B57" s="9" t="n"/>
      <c r="C57" s="9" t="n"/>
      <c r="D57" s="9" t="n"/>
      <c r="E57" s="9" t="n"/>
      <c r="F57" s="9" t="n"/>
    </row>
    <row r="58">
      <c r="A58" s="10" t="inlineStr">
        <is>
          <t xml:space="preserve">    Operating cash flow proxy</t>
        </is>
      </c>
      <c r="B58" s="11" t="n"/>
      <c r="C58" s="11" t="n">
        <v>258847</v>
      </c>
      <c r="D58" s="11" t="n">
        <v>156541</v>
      </c>
      <c r="E58" s="11" t="n">
        <v>20129</v>
      </c>
      <c r="F58" s="11" t="n">
        <v>121197</v>
      </c>
    </row>
    <row r="60">
      <c r="A60" s="6" t="inlineStr">
        <is>
          <t>Investing</t>
        </is>
      </c>
      <c r="B60" s="7" t="n"/>
      <c r="C60" s="7" t="n"/>
      <c r="D60" s="7" t="n"/>
      <c r="E60" s="7" t="n"/>
      <c r="F60" s="7" t="n"/>
    </row>
    <row r="61">
      <c r="A61" s="8" t="inlineStr">
        <is>
          <t xml:space="preserve">    − Δ PP&amp;E gross (capex proxy)</t>
        </is>
      </c>
      <c r="B61" s="9" t="n"/>
      <c r="C61" s="9" t="n">
        <v>-72968</v>
      </c>
      <c r="D61" s="9" t="n">
        <v>-51724</v>
      </c>
      <c r="E61" s="9" t="n">
        <v>-117801</v>
      </c>
      <c r="F61" s="9" t="n">
        <v>-161032</v>
      </c>
    </row>
    <row r="63">
      <c r="A63" s="6" t="inlineStr">
        <is>
          <t>Financing</t>
        </is>
      </c>
      <c r="B63" s="7" t="n"/>
      <c r="C63" s="7" t="n"/>
      <c r="D63" s="7" t="n"/>
      <c r="E63" s="7" t="n"/>
      <c r="F63" s="7" t="n"/>
    </row>
    <row r="64">
      <c r="A64" s="8" t="inlineStr">
        <is>
          <t xml:space="preserve">    Δ Mortgages &amp; notes payable</t>
        </is>
      </c>
      <c r="B64" s="9" t="n"/>
      <c r="C64" s="9" t="n">
        <v>-50074</v>
      </c>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134566</v>
      </c>
      <c r="D67" s="11" t="n">
        <v>51509</v>
      </c>
      <c r="E67" s="11" t="n">
        <v>-153036</v>
      </c>
      <c r="F67" s="11" t="n">
        <v>-97453</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9" t="n">
        <v>525506</v>
      </c>
      <c r="C73" s="9" t="n">
        <v>591208</v>
      </c>
      <c r="D73" s="9" t="n">
        <v>618740</v>
      </c>
      <c r="E73" s="9" t="n">
        <v>492262</v>
      </c>
      <c r="F73" s="9" t="n">
        <v>729675</v>
      </c>
    </row>
    <row r="74">
      <c r="A74" s="8" t="inlineStr">
        <is>
          <t xml:space="preserve">    11b. Gross income from other sources</t>
        </is>
      </c>
      <c r="B74" s="14" t="inlineStr">
        <is>
          <t>not reported</t>
        </is>
      </c>
      <c r="C74" s="14" t="inlineStr">
        <is>
          <t>not reported</t>
        </is>
      </c>
      <c r="D74" s="9" t="n">
        <v>0</v>
      </c>
      <c r="E74" s="9" t="n">
        <v>0</v>
      </c>
      <c r="F74" s="9" t="n">
        <v>0</v>
      </c>
    </row>
    <row r="75">
      <c r="A75" s="15" t="inlineStr">
        <is>
          <t>Total gross income (11a + 11b)</t>
        </is>
      </c>
      <c r="B75" s="16">
        <f>SUM(B73,B74)</f>
        <v/>
      </c>
      <c r="C75" s="16">
        <f>SUM(C73,C74)</f>
        <v/>
      </c>
      <c r="D75" s="16">
        <f>SUM(D73,D74)</f>
        <v/>
      </c>
      <c r="E75" s="16">
        <f>SUM(E73,E74)</f>
        <v/>
      </c>
      <c r="F75" s="16">
        <f>SUM(F73,F74)</f>
        <v/>
      </c>
    </row>
    <row r="76">
      <c r="A76" s="15" t="inlineStr">
        <is>
          <t>Member income share (11a / total)</t>
        </is>
      </c>
      <c r="B76" s="17">
        <f>IF(B75=0,"",B73/B75)</f>
        <v/>
      </c>
      <c r="C76" s="17">
        <f>IF(C75=0,"",C73/C75)</f>
        <v/>
      </c>
      <c r="D76" s="17">
        <f>IF(D75=0,"",D73/D75)</f>
        <v/>
      </c>
      <c r="E76" s="17">
        <f>IF(E75=0,"",E73/E75)</f>
        <v/>
      </c>
      <c r="F76" s="17">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Carmel Riviera Mutual Water Company</t>
        </is>
      </c>
    </row>
    <row r="2">
      <c r="A2" s="2" t="inlineStr">
        <is>
          <t>Balance Sheet - as reported (USD, end of year)</t>
        </is>
      </c>
    </row>
    <row r="3">
      <c r="A3" s="2" t="inlineStr">
        <is>
          <t>Entity ID: cawc_0044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834046</v>
      </c>
      <c r="C7" s="9" t="n">
        <v>968612</v>
      </c>
      <c r="D7" s="9" t="n">
        <v>1020121</v>
      </c>
      <c r="E7" s="9" t="n">
        <v>867085</v>
      </c>
      <c r="F7" s="9" t="n">
        <v>769632</v>
      </c>
    </row>
    <row r="8">
      <c r="A8" s="8" t="inlineStr">
        <is>
          <t xml:space="preserve">    Savings &amp; temporary investments</t>
        </is>
      </c>
      <c r="B8" s="9" t="n">
        <v>0</v>
      </c>
      <c r="C8" s="9" t="n">
        <v>0</v>
      </c>
      <c r="D8" s="9" t="n"/>
      <c r="E8" s="9" t="n"/>
      <c r="F8" s="9" t="n"/>
    </row>
    <row r="9">
      <c r="A9" s="8" t="inlineStr">
        <is>
          <t xml:space="preserve">    Accounts receivable</t>
        </is>
      </c>
      <c r="B9" s="9" t="n">
        <v>40754</v>
      </c>
      <c r="C9" s="9" t="n">
        <v>25195</v>
      </c>
      <c r="D9" s="9" t="n">
        <v>45255</v>
      </c>
      <c r="E9" s="9" t="n">
        <v>62492</v>
      </c>
      <c r="F9" s="9" t="n">
        <v>53050</v>
      </c>
    </row>
    <row r="10">
      <c r="A10" s="8" t="inlineStr">
        <is>
          <t xml:space="preserve">    Inventories</t>
        </is>
      </c>
      <c r="B10" s="9" t="n">
        <v>0</v>
      </c>
      <c r="C10" s="9" t="n">
        <v>0</v>
      </c>
      <c r="D10" s="9" t="n"/>
      <c r="E10" s="9" t="n"/>
      <c r="F10" s="9" t="n"/>
    </row>
    <row r="11">
      <c r="A11" s="8" t="inlineStr">
        <is>
          <t xml:space="preserve">    Prepaid expenses</t>
        </is>
      </c>
      <c r="B11" s="9" t="n">
        <v>0</v>
      </c>
      <c r="C11" s="9" t="n">
        <v>0</v>
      </c>
      <c r="D11" s="9" t="n"/>
      <c r="E11" s="9" t="n"/>
      <c r="F11" s="9" t="n"/>
    </row>
    <row r="12">
      <c r="A12" s="8" t="inlineStr">
        <is>
          <t xml:space="preserve">    Property, plant &amp; equipment (gross)</t>
        </is>
      </c>
      <c r="B12" s="9" t="n">
        <v>2356485</v>
      </c>
      <c r="C12" s="9" t="n">
        <v>2429453</v>
      </c>
      <c r="D12" s="9" t="n">
        <v>2481177</v>
      </c>
      <c r="E12" s="9" t="n">
        <v>2598978</v>
      </c>
      <c r="F12" s="9" t="n">
        <v>2760010</v>
      </c>
    </row>
    <row r="13">
      <c r="A13" s="8" t="inlineStr">
        <is>
          <t xml:space="preserve">    Less: accumulated depreciation</t>
        </is>
      </c>
      <c r="B13" s="9" t="n">
        <v>-1494096</v>
      </c>
      <c r="C13" s="9" t="n">
        <v>-1577086</v>
      </c>
      <c r="D13" s="9" t="n">
        <v>-1661698</v>
      </c>
      <c r="E13" s="9" t="n">
        <v>-1751886</v>
      </c>
      <c r="F13" s="9" t="n">
        <v>-1850406</v>
      </c>
    </row>
    <row r="14">
      <c r="A14" s="10" t="inlineStr">
        <is>
          <t xml:space="preserve">    Net property, plant &amp; equipment</t>
        </is>
      </c>
      <c r="B14" s="11" t="n">
        <v>862389</v>
      </c>
      <c r="C14" s="11" t="n">
        <v>852367</v>
      </c>
      <c r="D14" s="11" t="n">
        <v>819479</v>
      </c>
      <c r="E14" s="11" t="n">
        <v>847092</v>
      </c>
      <c r="F14" s="11" t="n">
        <v>909604</v>
      </c>
    </row>
    <row r="15">
      <c r="A15" s="10" t="inlineStr">
        <is>
          <t>Total assets</t>
        </is>
      </c>
      <c r="B15" s="11" t="n">
        <v>1737189</v>
      </c>
      <c r="C15" s="11" t="n">
        <v>1846174</v>
      </c>
      <c r="D15" s="11" t="n">
        <v>1884855</v>
      </c>
      <c r="E15" s="11" t="n">
        <v>1776669</v>
      </c>
      <c r="F15" s="11" t="n">
        <v>1732286</v>
      </c>
    </row>
    <row r="17">
      <c r="A17" s="6" t="inlineStr">
        <is>
          <t>Liabilities</t>
        </is>
      </c>
      <c r="B17" s="7" t="n"/>
      <c r="C17" s="7" t="n"/>
      <c r="D17" s="7" t="n"/>
      <c r="E17" s="7" t="n"/>
      <c r="F17" s="7" t="n"/>
    </row>
    <row r="18">
      <c r="A18" s="8" t="inlineStr">
        <is>
          <t xml:space="preserve">    Accounts payable</t>
        </is>
      </c>
      <c r="B18" s="9" t="n"/>
      <c r="C18" s="9" t="n"/>
      <c r="D18" s="9" t="n"/>
      <c r="E18" s="9" t="n"/>
      <c r="F18" s="9" t="n"/>
    </row>
    <row r="19">
      <c r="A19" s="8" t="inlineStr">
        <is>
          <t xml:space="preserve">    Mortgages &amp; notes payable</t>
        </is>
      </c>
      <c r="B19" s="9" t="n">
        <v>375813</v>
      </c>
      <c r="C19" s="9" t="n">
        <v>325739</v>
      </c>
      <c r="D19" s="9" t="n"/>
      <c r="E19" s="9" t="n"/>
      <c r="F19" s="9" t="n"/>
    </row>
    <row r="20">
      <c r="A20" s="10" t="inlineStr">
        <is>
          <t>Total liabilities</t>
        </is>
      </c>
      <c r="B20" s="11" t="n">
        <v>444515</v>
      </c>
      <c r="C20" s="11" t="n">
        <v>393202</v>
      </c>
      <c r="D20" s="11" t="n">
        <v>339894</v>
      </c>
      <c r="E20" s="11" t="n">
        <v>284530</v>
      </c>
      <c r="F20" s="11" t="n">
        <v>226912</v>
      </c>
    </row>
    <row r="22">
      <c r="A22" s="6" t="inlineStr">
        <is>
          <t>Net Assets / Equity</t>
        </is>
      </c>
      <c r="B22" s="7" t="n"/>
      <c r="C22" s="7" t="n"/>
      <c r="D22" s="7" t="n"/>
      <c r="E22" s="7" t="n"/>
      <c r="F22" s="7" t="n"/>
    </row>
    <row r="23">
      <c r="A23" s="8" t="inlineStr">
        <is>
          <t xml:space="preserve">    Capital stock</t>
        </is>
      </c>
      <c r="B23" s="9" t="n"/>
      <c r="C23" s="9" t="n"/>
      <c r="D23" s="9" t="n">
        <v>0</v>
      </c>
      <c r="E23" s="9" t="n">
        <v>0</v>
      </c>
      <c r="F23" s="9" t="n">
        <v>0</v>
      </c>
    </row>
    <row r="24">
      <c r="A24" s="8" t="inlineStr">
        <is>
          <t xml:space="preserve">    Paid-in capital</t>
        </is>
      </c>
      <c r="B24" s="9" t="n"/>
      <c r="C24" s="9" t="n"/>
      <c r="D24" s="9" t="n">
        <v>0</v>
      </c>
      <c r="E24" s="9" t="n">
        <v>0</v>
      </c>
      <c r="F24" s="9" t="n">
        <v>0</v>
      </c>
    </row>
    <row r="25">
      <c r="A25" s="8" t="inlineStr">
        <is>
          <t xml:space="preserve">    Retained earnings</t>
        </is>
      </c>
      <c r="B25" s="9" t="n">
        <v>1292674</v>
      </c>
      <c r="C25" s="9" t="n">
        <v>1452972</v>
      </c>
      <c r="D25" s="9" t="n">
        <v>1544961</v>
      </c>
      <c r="E25" s="9" t="n">
        <v>1492139</v>
      </c>
      <c r="F25" s="9" t="n">
        <v>1505374</v>
      </c>
    </row>
    <row r="26">
      <c r="A26" s="10" t="inlineStr">
        <is>
          <t>Net assets</t>
        </is>
      </c>
      <c r="B26" s="11" t="n">
        <v>1292674</v>
      </c>
      <c r="C26" s="11" t="n">
        <v>1452972</v>
      </c>
      <c r="D26" s="11" t="n">
        <v>1544961</v>
      </c>
      <c r="E26" s="11" t="n">
        <v>1492139</v>
      </c>
      <c r="F26" s="11" t="n">
        <v>1505374</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Carmel Riviera Mutual Water Company</t>
        </is>
      </c>
    </row>
    <row r="2">
      <c r="A2" s="2" t="inlineStr">
        <is>
          <t>Officers, Directors &amp; Contractors - Form 990 Part VII (FY2024; USD)</t>
        </is>
      </c>
    </row>
    <row r="3">
      <c r="A3" s="2" t="inlineStr">
        <is>
          <t>Entity ID: cawc_0044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RICHARD CAIN</t>
        </is>
      </c>
      <c r="B7" s="8" t="inlineStr">
        <is>
          <t>CHAIR</t>
        </is>
      </c>
      <c r="C7" s="9" t="n">
        <v>0</v>
      </c>
      <c r="D7" s="9" t="n">
        <v>0</v>
      </c>
      <c r="E7" s="9" t="n">
        <v>0</v>
      </c>
      <c r="F7" s="9" t="n">
        <v>0</v>
      </c>
    </row>
    <row r="8">
      <c r="A8" s="8" t="inlineStr">
        <is>
          <t>GEORGE PYSOR</t>
        </is>
      </c>
      <c r="B8" s="8" t="inlineStr">
        <is>
          <t>VICE CHAIR</t>
        </is>
      </c>
      <c r="C8" s="9" t="n">
        <v>0</v>
      </c>
      <c r="D8" s="9" t="n">
        <v>0</v>
      </c>
      <c r="E8" s="9" t="n">
        <v>0</v>
      </c>
      <c r="F8" s="9" t="n">
        <v>0</v>
      </c>
    </row>
    <row r="9">
      <c r="A9" s="8" t="inlineStr">
        <is>
          <t>STEPHEN RYTER</t>
        </is>
      </c>
      <c r="B9" s="8" t="inlineStr">
        <is>
          <t>TREASURER/SECRETARY</t>
        </is>
      </c>
      <c r="C9" s="9" t="n">
        <v>0</v>
      </c>
      <c r="D9" s="9" t="n">
        <v>0</v>
      </c>
      <c r="E9" s="9" t="n">
        <v>0</v>
      </c>
      <c r="F9" s="9" t="n">
        <v>0</v>
      </c>
    </row>
    <row r="10">
      <c r="A10" s="8" t="inlineStr">
        <is>
          <t>TOM CAMPBELL</t>
        </is>
      </c>
      <c r="B10" s="8" t="inlineStr">
        <is>
          <t>DIRECTOR</t>
        </is>
      </c>
      <c r="C10" s="9" t="n">
        <v>0</v>
      </c>
      <c r="D10" s="9" t="n">
        <v>0</v>
      </c>
      <c r="E10" s="9" t="n">
        <v>0</v>
      </c>
      <c r="F10" s="9" t="n">
        <v>0</v>
      </c>
    </row>
    <row r="11">
      <c r="A11" s="8" t="inlineStr">
        <is>
          <t>LARRY ODLE</t>
        </is>
      </c>
      <c r="B11" s="8" t="inlineStr">
        <is>
          <t>DIRECTOR</t>
        </is>
      </c>
      <c r="C11" s="9" t="n">
        <v>0</v>
      </c>
      <c r="D11" s="9" t="n">
        <v>0</v>
      </c>
      <c r="E11" s="9" t="n">
        <v>0</v>
      </c>
      <c r="F11" s="9" t="n">
        <v>0</v>
      </c>
    </row>
    <row r="12">
      <c r="A12" s="8" t="inlineStr">
        <is>
          <t>KATHERINE WENGLIKOWSKI</t>
        </is>
      </c>
      <c r="B12" s="8" t="inlineStr">
        <is>
          <t>DRIECTOR</t>
        </is>
      </c>
      <c r="C12" s="9" t="n">
        <v>0</v>
      </c>
      <c r="D12" s="9" t="n">
        <v>0</v>
      </c>
      <c r="E12" s="9" t="n">
        <v>0</v>
      </c>
      <c r="F12" s="9" t="n">
        <v>0</v>
      </c>
    </row>
    <row r="13">
      <c r="A13" s="8" t="inlineStr">
        <is>
          <t>SHARON BRANDFORD</t>
        </is>
      </c>
      <c r="B13" s="8" t="inlineStr">
        <is>
          <t>DRIECTOR</t>
        </is>
      </c>
      <c r="C13" s="9" t="n">
        <v>0</v>
      </c>
      <c r="D13" s="9" t="n">
        <v>0</v>
      </c>
      <c r="E13" s="9" t="n">
        <v>0</v>
      </c>
      <c r="F13" s="9" t="n">
        <v>0</v>
      </c>
    </row>
    <row r="14">
      <c r="A14" s="8" t="inlineStr">
        <is>
          <t>STEVE MARTIN</t>
        </is>
      </c>
      <c r="B14" s="8" t="inlineStr">
        <is>
          <t>DRIECTOR</t>
        </is>
      </c>
      <c r="C14" s="9" t="n">
        <v>0</v>
      </c>
      <c r="D14" s="9" t="n">
        <v>0</v>
      </c>
      <c r="E14" s="9" t="n">
        <v>0</v>
      </c>
      <c r="F14" s="9" t="n">
        <v>0</v>
      </c>
    </row>
    <row r="16">
      <c r="A16" s="6" t="inlineStr">
        <is>
          <t>Section B - Independent contractors (over $100,000)</t>
        </is>
      </c>
      <c r="B16" s="7" t="n"/>
      <c r="C16" s="7" t="n"/>
      <c r="D16" s="7" t="n"/>
      <c r="E16" s="7" t="n"/>
      <c r="F16" s="7" t="n"/>
    </row>
    <row r="17">
      <c r="A17" s="5" t="inlineStr">
        <is>
          <t>Contractor</t>
        </is>
      </c>
      <c r="B17" s="5" t="inlineStr">
        <is>
          <t>Services</t>
        </is>
      </c>
      <c r="C17" s="5" t="inlineStr">
        <is>
          <t>Compensation</t>
        </is>
      </c>
    </row>
    <row r="19" ht="42" customHeight="1">
      <c r="A19"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9:F19"/>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Carmel Riviera Mutual Water Company</t>
        </is>
      </c>
    </row>
    <row r="2">
      <c r="A2" s="2" t="inlineStr">
        <is>
          <t>Revenue - Form 990 Part VIII (USD)</t>
        </is>
      </c>
    </row>
    <row r="3">
      <c r="A3" s="2" t="inlineStr">
        <is>
          <t>Entity ID: cawc_0044   |   Fiscal year ends December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9" t="n">
        <v>0</v>
      </c>
      <c r="C7" s="9" t="n">
        <v>0</v>
      </c>
      <c r="D7" s="14" t="inlineStr">
        <is>
          <t>not reported</t>
        </is>
      </c>
      <c r="E7" s="14" t="inlineStr">
        <is>
          <t>not reported</t>
        </is>
      </c>
      <c r="F7" s="14" t="inlineStr">
        <is>
          <t>not reported</t>
        </is>
      </c>
    </row>
    <row r="8">
      <c r="A8" s="8" t="inlineStr">
        <is>
          <t xml:space="preserve">    2g. Total program service revenue</t>
        </is>
      </c>
      <c r="B8" s="9" t="n">
        <v>525506</v>
      </c>
      <c r="C8" s="9" t="n">
        <v>591208</v>
      </c>
      <c r="D8" s="9" t="n">
        <v>611163</v>
      </c>
      <c r="E8" s="9" t="n">
        <v>456103</v>
      </c>
      <c r="F8" s="9" t="n">
        <v>695774</v>
      </c>
    </row>
    <row r="9">
      <c r="A9" s="8" t="inlineStr">
        <is>
          <t xml:space="preserve">    3. Investment income</t>
        </is>
      </c>
      <c r="B9" s="9" t="n">
        <v>2273</v>
      </c>
      <c r="C9" s="9" t="n">
        <v>58</v>
      </c>
      <c r="D9" s="9" t="n">
        <v>7577</v>
      </c>
      <c r="E9" s="9" t="n">
        <v>36159</v>
      </c>
      <c r="F9" s="9" t="n">
        <v>33901</v>
      </c>
    </row>
    <row r="10">
      <c r="A10" s="8" t="inlineStr">
        <is>
          <t xml:space="preserve">    6d. Net rental income</t>
        </is>
      </c>
      <c r="B10" s="9" t="n">
        <v>0</v>
      </c>
      <c r="C10" s="9" t="n">
        <v>0</v>
      </c>
      <c r="D10" s="14" t="inlineStr">
        <is>
          <t>not reported</t>
        </is>
      </c>
      <c r="E10" s="14" t="inlineStr">
        <is>
          <t>not reported</t>
        </is>
      </c>
      <c r="F10" s="14" t="inlineStr">
        <is>
          <t>not reported</t>
        </is>
      </c>
    </row>
    <row r="11">
      <c r="A11" s="8" t="inlineStr">
        <is>
          <t xml:space="preserve">    7d. Net gain/(loss) from investment sales</t>
        </is>
      </c>
      <c r="B11" s="9" t="n">
        <v>0</v>
      </c>
      <c r="C11" s="9" t="n">
        <v>0</v>
      </c>
      <c r="D11" s="14" t="inlineStr">
        <is>
          <t>not reported</t>
        </is>
      </c>
      <c r="E11" s="14" t="inlineStr">
        <is>
          <t>not reported</t>
        </is>
      </c>
      <c r="F11" s="14" t="inlineStr">
        <is>
          <t>not reported</t>
        </is>
      </c>
    </row>
    <row r="12">
      <c r="A12" s="8" t="inlineStr">
        <is>
          <t xml:space="preserve">    11e. Other revenue</t>
        </is>
      </c>
      <c r="B12" s="9" t="n">
        <v>0</v>
      </c>
      <c r="C12" s="9" t="n">
        <v>0</v>
      </c>
      <c r="D12" s="14" t="inlineStr">
        <is>
          <t>not reported</t>
        </is>
      </c>
      <c r="E12" s="14" t="inlineStr">
        <is>
          <t>not reported</t>
        </is>
      </c>
      <c r="F12" s="14" t="inlineStr">
        <is>
          <t>not reported</t>
        </is>
      </c>
    </row>
    <row r="13">
      <c r="A13" s="10" t="inlineStr">
        <is>
          <t>12. Total revenue</t>
        </is>
      </c>
      <c r="B13" s="11">
        <f>SUM(B7:B12)</f>
        <v/>
      </c>
      <c r="C13" s="11">
        <f>SUM(C7:C12)</f>
        <v/>
      </c>
      <c r="D13" s="11">
        <f>SUM(D7:D12)</f>
        <v/>
      </c>
      <c r="E13" s="11">
        <f>SUM(E7:E12)</f>
        <v/>
      </c>
      <c r="F13" s="11">
        <f>SUM(F7:F12)</f>
        <v/>
      </c>
    </row>
    <row r="15">
      <c r="A15" s="6" t="inlineStr">
        <is>
          <t>Program service revenue detail - FY2024 (lines 2a-2f)</t>
        </is>
      </c>
      <c r="B15" s="7" t="n"/>
      <c r="C15" s="7" t="n"/>
      <c r="D15" s="7" t="n"/>
      <c r="E15" s="7" t="n"/>
      <c r="F15" s="7" t="n"/>
    </row>
    <row r="16">
      <c r="A16" s="5" t="inlineStr">
        <is>
          <t>Description</t>
        </is>
      </c>
      <c r="B16" s="5" t="inlineStr">
        <is>
          <t>Business code</t>
        </is>
      </c>
      <c r="C16" s="5" t="inlineStr">
        <is>
          <t>Total revenue</t>
        </is>
      </c>
    </row>
    <row r="17">
      <c r="A17" s="8" t="inlineStr">
        <is>
          <t>WATER SYSTEM CHARGES</t>
        </is>
      </c>
      <c r="B17" s="8" t="inlineStr">
        <is>
          <t>221000</t>
        </is>
      </c>
      <c r="C17" s="9" t="n">
        <v>695774</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F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Carmel Riviera Mutual Water Company</t>
        </is>
      </c>
    </row>
    <row r="2">
      <c r="A2" s="2" t="inlineStr">
        <is>
          <t>Statement of Functional Expenses - Form 990 Part IX (USD)</t>
        </is>
      </c>
    </row>
    <row r="3">
      <c r="A3" s="2" t="inlineStr">
        <is>
          <t>Entity ID: cawc_0044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1. Grants to domestic organizations and governments</t>
        </is>
      </c>
      <c r="B7" s="9" t="n">
        <v>0</v>
      </c>
      <c r="C7" s="9" t="n">
        <v>0</v>
      </c>
      <c r="D7" s="14" t="inlineStr">
        <is>
          <t>not reported</t>
        </is>
      </c>
      <c r="E7" s="14" t="inlineStr">
        <is>
          <t>not reported</t>
        </is>
      </c>
      <c r="F7" s="14" t="inlineStr">
        <is>
          <t>not reported</t>
        </is>
      </c>
    </row>
    <row r="8">
      <c r="A8" s="8" t="inlineStr">
        <is>
          <t xml:space="preserve">    2. Grants to domestic individuals</t>
        </is>
      </c>
      <c r="B8" s="9" t="n">
        <v>0</v>
      </c>
      <c r="C8" s="9" t="n">
        <v>0</v>
      </c>
      <c r="D8" s="14" t="inlineStr">
        <is>
          <t>not reported</t>
        </is>
      </c>
      <c r="E8" s="14" t="inlineStr">
        <is>
          <t>not reported</t>
        </is>
      </c>
      <c r="F8" s="14" t="inlineStr">
        <is>
          <t>not reported</t>
        </is>
      </c>
    </row>
    <row r="9">
      <c r="A9" s="8" t="inlineStr">
        <is>
          <t xml:space="preserve">    3. Grants to foreign organizations and individuals</t>
        </is>
      </c>
      <c r="B9" s="9" t="n">
        <v>0</v>
      </c>
      <c r="C9" s="9" t="n">
        <v>0</v>
      </c>
      <c r="D9" s="14" t="inlineStr">
        <is>
          <t>not reported</t>
        </is>
      </c>
      <c r="E9" s="14" t="inlineStr">
        <is>
          <t>not reported</t>
        </is>
      </c>
      <c r="F9" s="14" t="inlineStr">
        <is>
          <t>not reported</t>
        </is>
      </c>
    </row>
    <row r="10">
      <c r="A10" s="8" t="inlineStr">
        <is>
          <t xml:space="preserve">    4. Benefits paid to or for members</t>
        </is>
      </c>
      <c r="B10" s="9" t="n">
        <v>0</v>
      </c>
      <c r="C10" s="9" t="n">
        <v>0</v>
      </c>
      <c r="D10" s="14" t="inlineStr">
        <is>
          <t>not reported</t>
        </is>
      </c>
      <c r="E10" s="14" t="inlineStr">
        <is>
          <t>not reported</t>
        </is>
      </c>
      <c r="F10" s="14" t="inlineStr">
        <is>
          <t>not reported</t>
        </is>
      </c>
    </row>
    <row r="11">
      <c r="A11" s="8" t="inlineStr">
        <is>
          <t xml:space="preserve">    5. Compensation of current officers, directors, trustees</t>
        </is>
      </c>
      <c r="B11" s="9" t="n">
        <v>0</v>
      </c>
      <c r="C11" s="9" t="n">
        <v>0</v>
      </c>
      <c r="D11" s="14" t="inlineStr">
        <is>
          <t>not reported</t>
        </is>
      </c>
      <c r="E11" s="14" t="inlineStr">
        <is>
          <t>not reported</t>
        </is>
      </c>
      <c r="F11" s="14" t="inlineStr">
        <is>
          <t>not reported</t>
        </is>
      </c>
    </row>
    <row r="12">
      <c r="A12" s="8" t="inlineStr">
        <is>
          <t xml:space="preserve">    6. Compensation to disqualified persons</t>
        </is>
      </c>
      <c r="B12" s="9" t="n">
        <v>0</v>
      </c>
      <c r="C12" s="9" t="n">
        <v>0</v>
      </c>
      <c r="D12" s="14" t="inlineStr">
        <is>
          <t>not reported</t>
        </is>
      </c>
      <c r="E12" s="14" t="inlineStr">
        <is>
          <t>not reported</t>
        </is>
      </c>
      <c r="F12" s="14" t="inlineStr">
        <is>
          <t>not reported</t>
        </is>
      </c>
    </row>
    <row r="13">
      <c r="A13" s="8" t="inlineStr">
        <is>
          <t xml:space="preserve">    7. Other salaries and wages</t>
        </is>
      </c>
      <c r="B13" s="9" t="n">
        <v>0</v>
      </c>
      <c r="C13" s="9" t="n">
        <v>0</v>
      </c>
      <c r="D13" s="14" t="inlineStr">
        <is>
          <t>not reported</t>
        </is>
      </c>
      <c r="E13" s="14" t="inlineStr">
        <is>
          <t>not reported</t>
        </is>
      </c>
      <c r="F13" s="14" t="inlineStr">
        <is>
          <t>not reported</t>
        </is>
      </c>
    </row>
    <row r="14">
      <c r="A14" s="8" t="inlineStr">
        <is>
          <t xml:space="preserve">    8. Pension plan accruals and contributions</t>
        </is>
      </c>
      <c r="B14" s="9" t="n">
        <v>0</v>
      </c>
      <c r="C14" s="9" t="n">
        <v>0</v>
      </c>
      <c r="D14" s="14" t="inlineStr">
        <is>
          <t>not reported</t>
        </is>
      </c>
      <c r="E14" s="14" t="inlineStr">
        <is>
          <t>not reported</t>
        </is>
      </c>
      <c r="F14" s="14" t="inlineStr">
        <is>
          <t>not reported</t>
        </is>
      </c>
    </row>
    <row r="15">
      <c r="A15" s="8" t="inlineStr">
        <is>
          <t xml:space="preserve">    9. Other employee benefits</t>
        </is>
      </c>
      <c r="B15" s="9" t="n">
        <v>0</v>
      </c>
      <c r="C15" s="9" t="n">
        <v>0</v>
      </c>
      <c r="D15" s="14" t="inlineStr">
        <is>
          <t>not reported</t>
        </is>
      </c>
      <c r="E15" s="14" t="inlineStr">
        <is>
          <t>not reported</t>
        </is>
      </c>
      <c r="F15" s="14" t="inlineStr">
        <is>
          <t>not reported</t>
        </is>
      </c>
    </row>
    <row r="16">
      <c r="A16" s="8" t="inlineStr">
        <is>
          <t xml:space="preserve">    10. Payroll taxes</t>
        </is>
      </c>
      <c r="B16" s="9" t="n">
        <v>0</v>
      </c>
      <c r="C16" s="9" t="n">
        <v>0</v>
      </c>
      <c r="D16" s="14" t="inlineStr">
        <is>
          <t>not reported</t>
        </is>
      </c>
      <c r="E16" s="14" t="inlineStr">
        <is>
          <t>not reported</t>
        </is>
      </c>
      <c r="F16" s="14" t="inlineStr">
        <is>
          <t>not reported</t>
        </is>
      </c>
    </row>
    <row r="17">
      <c r="A17" s="8" t="inlineStr">
        <is>
          <t xml:space="preserve">    11a. Fees for services: management</t>
        </is>
      </c>
      <c r="B17" s="9" t="n">
        <v>59434</v>
      </c>
      <c r="C17" s="9" t="n">
        <v>62192</v>
      </c>
      <c r="D17" s="14" t="inlineStr">
        <is>
          <t>not reported</t>
        </is>
      </c>
      <c r="E17" s="14" t="inlineStr">
        <is>
          <t>not reported</t>
        </is>
      </c>
      <c r="F17" s="14" t="inlineStr">
        <is>
          <t>not reported</t>
        </is>
      </c>
    </row>
    <row r="18">
      <c r="A18" s="8" t="inlineStr">
        <is>
          <t xml:space="preserve">    11b. Fees for services: legal</t>
        </is>
      </c>
      <c r="B18" s="9" t="n">
        <v>159</v>
      </c>
      <c r="C18" s="9" t="n">
        <v>369</v>
      </c>
      <c r="D18" s="14" t="inlineStr">
        <is>
          <t>not reported</t>
        </is>
      </c>
      <c r="E18" s="9" t="n">
        <v>1190</v>
      </c>
      <c r="F18" s="9" t="n">
        <v>4723</v>
      </c>
    </row>
    <row r="19">
      <c r="A19" s="8" t="inlineStr">
        <is>
          <t xml:space="preserve">    11c. Fees for services: accounting</t>
        </is>
      </c>
      <c r="B19" s="9" t="n">
        <v>9850</v>
      </c>
      <c r="C19" s="9" t="n">
        <v>9242</v>
      </c>
      <c r="D19" s="9" t="n">
        <v>10950</v>
      </c>
      <c r="E19" s="9" t="n">
        <v>8065</v>
      </c>
      <c r="F19" s="9" t="n">
        <v>16107</v>
      </c>
    </row>
    <row r="20">
      <c r="A20" s="8" t="inlineStr">
        <is>
          <t xml:space="preserve">    11d. Fees for services: lobbying</t>
        </is>
      </c>
      <c r="B20" s="9" t="n">
        <v>0</v>
      </c>
      <c r="C20" s="9" t="n">
        <v>0</v>
      </c>
      <c r="D20" s="14" t="inlineStr">
        <is>
          <t>not reported</t>
        </is>
      </c>
      <c r="E20" s="14" t="inlineStr">
        <is>
          <t>not reported</t>
        </is>
      </c>
      <c r="F20" s="14" t="inlineStr">
        <is>
          <t>not reported</t>
        </is>
      </c>
    </row>
    <row r="21">
      <c r="A21" s="8" t="inlineStr">
        <is>
          <t xml:space="preserve">    11e. Fees for services: professional fundraising</t>
        </is>
      </c>
      <c r="B21" s="9" t="n">
        <v>0</v>
      </c>
      <c r="C21" s="9" t="n">
        <v>0</v>
      </c>
      <c r="D21" s="14" t="inlineStr">
        <is>
          <t>not reported</t>
        </is>
      </c>
      <c r="E21" s="14" t="inlineStr">
        <is>
          <t>not reported</t>
        </is>
      </c>
      <c r="F21" s="14" t="inlineStr">
        <is>
          <t>not reported</t>
        </is>
      </c>
    </row>
    <row r="22">
      <c r="A22" s="8" t="inlineStr">
        <is>
          <t xml:space="preserve">    11f. Fees for services: investment management</t>
        </is>
      </c>
      <c r="B22" s="9" t="n">
        <v>0</v>
      </c>
      <c r="C22" s="9" t="n">
        <v>0</v>
      </c>
      <c r="D22" s="14" t="inlineStr">
        <is>
          <t>not reported</t>
        </is>
      </c>
      <c r="E22" s="14" t="inlineStr">
        <is>
          <t>not reported</t>
        </is>
      </c>
      <c r="F22" s="14" t="inlineStr">
        <is>
          <t>not reported</t>
        </is>
      </c>
    </row>
    <row r="23">
      <c r="A23" s="8" t="inlineStr">
        <is>
          <t xml:space="preserve">    11g. Fees for services: other</t>
        </is>
      </c>
      <c r="B23" s="9" t="n">
        <v>69167</v>
      </c>
      <c r="C23" s="9" t="n">
        <v>70976</v>
      </c>
      <c r="D23" s="9" t="n">
        <v>74639</v>
      </c>
      <c r="E23" s="9" t="n">
        <v>79195</v>
      </c>
      <c r="F23" s="9" t="n">
        <v>83750</v>
      </c>
    </row>
    <row r="24">
      <c r="A24" s="8" t="inlineStr">
        <is>
          <t xml:space="preserve">    12. Advertising and promotion</t>
        </is>
      </c>
      <c r="B24" s="9" t="n">
        <v>0</v>
      </c>
      <c r="C24" s="9" t="n">
        <v>0</v>
      </c>
      <c r="D24" s="14" t="inlineStr">
        <is>
          <t>not reported</t>
        </is>
      </c>
      <c r="E24" s="14" t="inlineStr">
        <is>
          <t>not reported</t>
        </is>
      </c>
      <c r="F24" s="14" t="inlineStr">
        <is>
          <t>not reported</t>
        </is>
      </c>
    </row>
    <row r="25">
      <c r="A25" s="8" t="inlineStr">
        <is>
          <t xml:space="preserve">    13. Office expenses</t>
        </is>
      </c>
      <c r="B25" s="9" t="n">
        <v>5247</v>
      </c>
      <c r="C25" s="9" t="n">
        <v>2756</v>
      </c>
      <c r="D25" s="9" t="n">
        <v>4042</v>
      </c>
      <c r="E25" s="9" t="n">
        <v>10747</v>
      </c>
      <c r="F25" s="9" t="n">
        <v>14159</v>
      </c>
    </row>
    <row r="26">
      <c r="A26" s="8" t="inlineStr">
        <is>
          <t xml:space="preserve">    14. Information technology</t>
        </is>
      </c>
      <c r="B26" s="9" t="n">
        <v>0</v>
      </c>
      <c r="C26" s="9" t="n">
        <v>0</v>
      </c>
      <c r="D26" s="14" t="inlineStr">
        <is>
          <t>not reported</t>
        </is>
      </c>
      <c r="E26" s="14" t="inlineStr">
        <is>
          <t>not reported</t>
        </is>
      </c>
      <c r="F26" s="14" t="inlineStr">
        <is>
          <t>not reported</t>
        </is>
      </c>
    </row>
    <row r="27">
      <c r="A27" s="8" t="inlineStr">
        <is>
          <t xml:space="preserve">    15. Royalties</t>
        </is>
      </c>
      <c r="B27" s="9" t="n">
        <v>0</v>
      </c>
      <c r="C27" s="9" t="n">
        <v>0</v>
      </c>
      <c r="D27" s="14" t="inlineStr">
        <is>
          <t>not reported</t>
        </is>
      </c>
      <c r="E27" s="14" t="inlineStr">
        <is>
          <t>not reported</t>
        </is>
      </c>
      <c r="F27" s="14" t="inlineStr">
        <is>
          <t>not reported</t>
        </is>
      </c>
    </row>
    <row r="28">
      <c r="A28" s="8" t="inlineStr">
        <is>
          <t xml:space="preserve">    16. Occupancy</t>
        </is>
      </c>
      <c r="B28" s="9" t="n">
        <v>3072</v>
      </c>
      <c r="C28" s="9" t="n">
        <v>3072</v>
      </c>
      <c r="D28" s="9" t="n">
        <v>3021</v>
      </c>
      <c r="E28" s="9" t="n">
        <v>31374</v>
      </c>
      <c r="F28" s="9" t="n">
        <v>45363</v>
      </c>
    </row>
    <row r="29">
      <c r="A29" s="8" t="inlineStr">
        <is>
          <t xml:space="preserve">    17. Travel</t>
        </is>
      </c>
      <c r="B29" s="9" t="n">
        <v>0</v>
      </c>
      <c r="C29" s="9" t="n">
        <v>0</v>
      </c>
      <c r="D29" s="14" t="inlineStr">
        <is>
          <t>not reported</t>
        </is>
      </c>
      <c r="E29" s="14" t="inlineStr">
        <is>
          <t>not reported</t>
        </is>
      </c>
      <c r="F29" s="14" t="inlineStr">
        <is>
          <t>not reported</t>
        </is>
      </c>
    </row>
    <row r="30">
      <c r="A30" s="8" t="inlineStr">
        <is>
          <t xml:space="preserve">    18. Payments of travel/entertainment for public officials</t>
        </is>
      </c>
      <c r="B30" s="9" t="n">
        <v>0</v>
      </c>
      <c r="C30" s="9" t="n">
        <v>0</v>
      </c>
      <c r="D30" s="14" t="inlineStr">
        <is>
          <t>not reported</t>
        </is>
      </c>
      <c r="E30" s="14" t="inlineStr">
        <is>
          <t>not reported</t>
        </is>
      </c>
      <c r="F30" s="14" t="inlineStr">
        <is>
          <t>not reported</t>
        </is>
      </c>
    </row>
    <row r="31">
      <c r="A31" s="8" t="inlineStr">
        <is>
          <t xml:space="preserve">    19. Conferences, conventions, and meetings</t>
        </is>
      </c>
      <c r="B31" s="9" t="n">
        <v>0</v>
      </c>
      <c r="C31" s="9" t="n">
        <v>0</v>
      </c>
      <c r="D31" s="14" t="inlineStr">
        <is>
          <t>not reported</t>
        </is>
      </c>
      <c r="E31" s="14" t="inlineStr">
        <is>
          <t>not reported</t>
        </is>
      </c>
      <c r="F31" s="14" t="inlineStr">
        <is>
          <t>not reported</t>
        </is>
      </c>
    </row>
    <row r="32">
      <c r="A32" s="8" t="inlineStr">
        <is>
          <t xml:space="preserve">    20. Interest</t>
        </is>
      </c>
      <c r="B32" s="9" t="n">
        <v>16160</v>
      </c>
      <c r="C32" s="9" t="n">
        <v>14078</v>
      </c>
      <c r="D32" s="9" t="n">
        <v>12083</v>
      </c>
      <c r="E32" s="9" t="n">
        <v>10026</v>
      </c>
      <c r="F32" s="9" t="n">
        <v>7856</v>
      </c>
    </row>
    <row r="33">
      <c r="A33" s="8" t="inlineStr">
        <is>
          <t xml:space="preserve">    21. Payments to affiliates</t>
        </is>
      </c>
      <c r="B33" s="9" t="n">
        <v>0</v>
      </c>
      <c r="C33" s="9" t="n">
        <v>0</v>
      </c>
      <c r="D33" s="14" t="inlineStr">
        <is>
          <t>not reported</t>
        </is>
      </c>
      <c r="E33" s="14" t="inlineStr">
        <is>
          <t>not reported</t>
        </is>
      </c>
      <c r="F33" s="14" t="inlineStr">
        <is>
          <t>not reported</t>
        </is>
      </c>
    </row>
    <row r="34">
      <c r="A34" s="8" t="inlineStr">
        <is>
          <t xml:space="preserve">    22. Depreciation, depletion, and amortization</t>
        </is>
      </c>
      <c r="B34" s="9" t="n">
        <v>83806</v>
      </c>
      <c r="C34" s="9" t="n">
        <v>82990</v>
      </c>
      <c r="D34" s="9" t="n">
        <v>84612</v>
      </c>
      <c r="E34" s="9" t="n">
        <v>90188</v>
      </c>
      <c r="F34" s="9" t="n">
        <v>98520</v>
      </c>
    </row>
    <row r="35">
      <c r="A35" s="8" t="inlineStr">
        <is>
          <t xml:space="preserve">    23. Insurance</t>
        </is>
      </c>
      <c r="B35" s="9" t="n">
        <v>7969</v>
      </c>
      <c r="C35" s="9" t="n">
        <v>9149</v>
      </c>
      <c r="D35" s="9" t="n">
        <v>9422</v>
      </c>
      <c r="E35" s="9" t="n">
        <v>5480</v>
      </c>
      <c r="F35" s="9" t="n">
        <v>12590</v>
      </c>
    </row>
    <row r="36">
      <c r="A36" s="8" t="inlineStr">
        <is>
          <t xml:space="preserve">    24. REPAIRS &amp; MAINTENANCE</t>
        </is>
      </c>
      <c r="B36" s="9" t="n">
        <v>114533</v>
      </c>
      <c r="C36" s="9" t="n">
        <v>104744</v>
      </c>
      <c r="D36" s="9" t="n">
        <v>132276</v>
      </c>
      <c r="E36" s="14" t="inlineStr">
        <is>
          <t>not reported</t>
        </is>
      </c>
      <c r="F36" s="14" t="inlineStr">
        <is>
          <t>not reported</t>
        </is>
      </c>
    </row>
    <row r="37">
      <c r="A37" s="8" t="inlineStr">
        <is>
          <t xml:space="preserve">    24. UTILITIES</t>
        </is>
      </c>
      <c r="B37" s="9" t="n">
        <v>39390</v>
      </c>
      <c r="C37" s="9" t="n">
        <v>34690</v>
      </c>
      <c r="D37" s="9" t="n">
        <v>37276</v>
      </c>
      <c r="E37" s="14" t="inlineStr">
        <is>
          <t>not reported</t>
        </is>
      </c>
      <c r="F37" s="14" t="inlineStr">
        <is>
          <t>not reported</t>
        </is>
      </c>
    </row>
    <row r="38">
      <c r="A38" s="8" t="inlineStr">
        <is>
          <t xml:space="preserve">    24. MYSTERIOUS WATER LOSS</t>
        </is>
      </c>
      <c r="B38" s="9" t="n">
        <v>25318</v>
      </c>
      <c r="C38" s="9" t="n">
        <v>11779</v>
      </c>
      <c r="D38" s="14" t="inlineStr">
        <is>
          <t>not reported</t>
        </is>
      </c>
      <c r="E38" s="14" t="inlineStr">
        <is>
          <t>not reported</t>
        </is>
      </c>
      <c r="F38" s="9" t="n">
        <v>51138</v>
      </c>
    </row>
    <row r="39">
      <c r="A39" s="8" t="inlineStr">
        <is>
          <t xml:space="preserve">    24. LAB TESTS</t>
        </is>
      </c>
      <c r="B39" s="9" t="n">
        <v>15526</v>
      </c>
      <c r="C39" s="9" t="n">
        <v>13276</v>
      </c>
      <c r="D39" s="14" t="inlineStr">
        <is>
          <t>not reported</t>
        </is>
      </c>
      <c r="E39" s="14" t="inlineStr">
        <is>
          <t>not reported</t>
        </is>
      </c>
      <c r="F39" s="14" t="inlineStr">
        <is>
          <t>not reported</t>
        </is>
      </c>
    </row>
    <row r="40">
      <c r="A40" s="8" t="inlineStr">
        <is>
          <t xml:space="preserve">    24. OPERATIONS:MATERIALS</t>
        </is>
      </c>
      <c r="B40" s="14" t="inlineStr">
        <is>
          <t>not reported</t>
        </is>
      </c>
      <c r="C40" s="14" t="inlineStr">
        <is>
          <t>not reported</t>
        </is>
      </c>
      <c r="D40" s="9" t="n">
        <v>43759</v>
      </c>
      <c r="E40" s="14" t="inlineStr">
        <is>
          <t>not reported</t>
        </is>
      </c>
      <c r="F40" s="14" t="inlineStr">
        <is>
          <t>not reported</t>
        </is>
      </c>
    </row>
    <row r="41">
      <c r="A41" s="8" t="inlineStr">
        <is>
          <t xml:space="preserve">    24. CLERICAL LABOR</t>
        </is>
      </c>
      <c r="B41" s="14" t="inlineStr">
        <is>
          <t>not reported</t>
        </is>
      </c>
      <c r="C41" s="14" t="inlineStr">
        <is>
          <t>not reported</t>
        </is>
      </c>
      <c r="D41" s="9" t="n">
        <v>36138</v>
      </c>
      <c r="E41" s="9" t="n">
        <v>42256</v>
      </c>
      <c r="F41" s="9" t="n">
        <v>45470</v>
      </c>
    </row>
    <row r="42">
      <c r="A42" s="8" t="inlineStr">
        <is>
          <t xml:space="preserve">    24. REPAIRS AND MAINTENANCE</t>
        </is>
      </c>
      <c r="B42" s="14" t="inlineStr">
        <is>
          <t>not reported</t>
        </is>
      </c>
      <c r="C42" s="14" t="inlineStr">
        <is>
          <t>not reported</t>
        </is>
      </c>
      <c r="D42" s="14" t="inlineStr">
        <is>
          <t>not reported</t>
        </is>
      </c>
      <c r="E42" s="9" t="n">
        <v>188545</v>
      </c>
      <c r="F42" s="9" t="n">
        <v>214685</v>
      </c>
    </row>
    <row r="43">
      <c r="A43" s="8" t="inlineStr">
        <is>
          <t xml:space="preserve">    24. MANAGERIAL LABOR</t>
        </is>
      </c>
      <c r="B43" s="14" t="inlineStr">
        <is>
          <t>not reported</t>
        </is>
      </c>
      <c r="C43" s="14" t="inlineStr">
        <is>
          <t>not reported</t>
        </is>
      </c>
      <c r="D43" s="14" t="inlineStr">
        <is>
          <t>not reported</t>
        </is>
      </c>
      <c r="E43" s="9" t="n">
        <v>29738</v>
      </c>
      <c r="F43" s="14" t="inlineStr">
        <is>
          <t>not reported</t>
        </is>
      </c>
    </row>
    <row r="44">
      <c r="A44" s="8" t="inlineStr">
        <is>
          <t xml:space="preserve">    24. MATERIALS</t>
        </is>
      </c>
      <c r="B44" s="14" t="inlineStr">
        <is>
          <t>not reported</t>
        </is>
      </c>
      <c r="C44" s="14" t="inlineStr">
        <is>
          <t>not reported</t>
        </is>
      </c>
      <c r="D44" s="14" t="inlineStr">
        <is>
          <t>not reported</t>
        </is>
      </c>
      <c r="E44" s="9" t="n">
        <v>25361</v>
      </c>
      <c r="F44" s="9" t="n">
        <v>53583</v>
      </c>
    </row>
    <row r="45">
      <c r="A45" s="8" t="inlineStr">
        <is>
          <t xml:space="preserve">    24e. All other expenses</t>
        </is>
      </c>
      <c r="B45" s="9" t="n">
        <v>18512</v>
      </c>
      <c r="C45" s="9" t="n">
        <v>11655</v>
      </c>
      <c r="D45" s="9" t="n">
        <v>78533</v>
      </c>
      <c r="E45" s="9" t="n">
        <v>22919</v>
      </c>
      <c r="F45" s="9" t="n">
        <v>68496</v>
      </c>
    </row>
    <row r="46">
      <c r="A46" s="10" t="inlineStr">
        <is>
          <t>25. Total functional expenses</t>
        </is>
      </c>
      <c r="B46" s="11">
        <f>SUM(B7:B45)</f>
        <v/>
      </c>
      <c r="C46" s="11">
        <f>SUM(C7:C45)</f>
        <v/>
      </c>
      <c r="D46" s="11">
        <f>SUM(D7:D45)</f>
        <v/>
      </c>
      <c r="E46" s="11">
        <f>SUM(E7:E45)</f>
        <v/>
      </c>
      <c r="F46" s="11">
        <f>SUM(F7:F45)</f>
        <v/>
      </c>
    </row>
    <row r="48">
      <c r="A48" s="6" t="inlineStr">
        <is>
          <t>Functional column split - FY2024</t>
        </is>
      </c>
      <c r="B48" s="7" t="n"/>
      <c r="C48" s="7" t="n"/>
      <c r="D48" s="7" t="n"/>
      <c r="E48" s="7" t="n"/>
      <c r="F48" s="7" t="n"/>
    </row>
    <row r="49" ht="42" customHeight="1">
      <c r="A49" s="3" t="inlineStr">
        <is>
          <t>Not reported. This filer reports only column A (Total) of Part IX; the program / management / fundraising split (columns B-D) is not filed, so it is left as not reported rather than shown empty or inferred.</t>
        </is>
      </c>
    </row>
    <row r="50" ht="42" customHeight="1">
      <c r="A50"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2:F2"/>
    <mergeCell ref="A49:F49"/>
    <mergeCell ref="A1:F1"/>
    <mergeCell ref="A50:F50"/>
    <mergeCell ref="A3:F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Carmel Riviera Mutual Water Company</t>
        </is>
      </c>
    </row>
    <row r="2">
      <c r="A2" s="2" t="inlineStr">
        <is>
          <t>Balance Sheet - Form 990 Part X (end of year, USD)</t>
        </is>
      </c>
    </row>
    <row r="3">
      <c r="A3" s="2" t="inlineStr">
        <is>
          <t>Entity ID: cawc_0044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834046</v>
      </c>
      <c r="C7" s="9" t="n">
        <v>968612</v>
      </c>
      <c r="D7" s="9" t="n">
        <v>1020121</v>
      </c>
      <c r="E7" s="9" t="n">
        <v>867085</v>
      </c>
      <c r="F7" s="9" t="n">
        <v>769632</v>
      </c>
    </row>
    <row r="8">
      <c r="A8" s="8" t="inlineStr">
        <is>
          <t xml:space="preserve">    2. Savings and temporary cash investments</t>
        </is>
      </c>
      <c r="B8" s="9" t="n">
        <v>0</v>
      </c>
      <c r="C8" s="9" t="n">
        <v>0</v>
      </c>
      <c r="D8" s="14" t="inlineStr">
        <is>
          <t>not reported</t>
        </is>
      </c>
      <c r="E8" s="14" t="inlineStr">
        <is>
          <t>not reported</t>
        </is>
      </c>
      <c r="F8" s="14" t="inlineStr">
        <is>
          <t>not reported</t>
        </is>
      </c>
    </row>
    <row r="9">
      <c r="A9" s="8" t="inlineStr">
        <is>
          <t xml:space="preserve">    3. Pledges and grants receivable, net</t>
        </is>
      </c>
      <c r="B9" s="9" t="n">
        <v>0</v>
      </c>
      <c r="C9" s="9" t="n">
        <v>0</v>
      </c>
      <c r="D9" s="14" t="inlineStr">
        <is>
          <t>not reported</t>
        </is>
      </c>
      <c r="E9" s="14" t="inlineStr">
        <is>
          <t>not reported</t>
        </is>
      </c>
      <c r="F9" s="14" t="inlineStr">
        <is>
          <t>not reported</t>
        </is>
      </c>
    </row>
    <row r="10">
      <c r="A10" s="8" t="inlineStr">
        <is>
          <t xml:space="preserve">    4. Accounts receivable, net</t>
        </is>
      </c>
      <c r="B10" s="9" t="n">
        <v>40754</v>
      </c>
      <c r="C10" s="9" t="n">
        <v>25195</v>
      </c>
      <c r="D10" s="9" t="n">
        <v>45255</v>
      </c>
      <c r="E10" s="9" t="n">
        <v>62492</v>
      </c>
      <c r="F10" s="9" t="n">
        <v>53050</v>
      </c>
    </row>
    <row r="11">
      <c r="A11" s="8" t="inlineStr">
        <is>
          <t xml:space="preserve">    5. Receivables from officers/directors/trustees</t>
        </is>
      </c>
      <c r="B11" s="9" t="n">
        <v>0</v>
      </c>
      <c r="C11" s="9" t="n">
        <v>0</v>
      </c>
      <c r="D11" s="14" t="inlineStr">
        <is>
          <t>not reported</t>
        </is>
      </c>
      <c r="E11" s="14" t="inlineStr">
        <is>
          <t>not reported</t>
        </is>
      </c>
      <c r="F11" s="14" t="inlineStr">
        <is>
          <t>not reported</t>
        </is>
      </c>
    </row>
    <row r="12">
      <c r="A12" s="8" t="inlineStr">
        <is>
          <t xml:space="preserve">    6. Receivables from disqualified persons</t>
        </is>
      </c>
      <c r="B12" s="9" t="n">
        <v>0</v>
      </c>
      <c r="C12" s="9" t="n">
        <v>0</v>
      </c>
      <c r="D12" s="14" t="inlineStr">
        <is>
          <t>not reported</t>
        </is>
      </c>
      <c r="E12" s="14" t="inlineStr">
        <is>
          <t>not reported</t>
        </is>
      </c>
      <c r="F12" s="14" t="inlineStr">
        <is>
          <t>not reported</t>
        </is>
      </c>
    </row>
    <row r="13">
      <c r="A13" s="8" t="inlineStr">
        <is>
          <t xml:space="preserve">    7. Notes and loans receivable, net</t>
        </is>
      </c>
      <c r="B13" s="9" t="n">
        <v>0</v>
      </c>
      <c r="C13" s="9" t="n">
        <v>0</v>
      </c>
      <c r="D13" s="14" t="inlineStr">
        <is>
          <t>not reported</t>
        </is>
      </c>
      <c r="E13" s="14" t="inlineStr">
        <is>
          <t>not reported</t>
        </is>
      </c>
      <c r="F13" s="14" t="inlineStr">
        <is>
          <t>not reported</t>
        </is>
      </c>
    </row>
    <row r="14">
      <c r="A14" s="8" t="inlineStr">
        <is>
          <t xml:space="preserve">    8. Inventories for sale or use</t>
        </is>
      </c>
      <c r="B14" s="9" t="n">
        <v>0</v>
      </c>
      <c r="C14" s="9" t="n">
        <v>0</v>
      </c>
      <c r="D14" s="14" t="inlineStr">
        <is>
          <t>not reported</t>
        </is>
      </c>
      <c r="E14" s="14" t="inlineStr">
        <is>
          <t>not reported</t>
        </is>
      </c>
      <c r="F14" s="14" t="inlineStr">
        <is>
          <t>not reported</t>
        </is>
      </c>
    </row>
    <row r="15">
      <c r="A15" s="8" t="inlineStr">
        <is>
          <t xml:space="preserve">    9. Prepaid expenses and deferred charges</t>
        </is>
      </c>
      <c r="B15" s="9" t="n">
        <v>0</v>
      </c>
      <c r="C15" s="9" t="n">
        <v>0</v>
      </c>
      <c r="D15" s="14" t="inlineStr">
        <is>
          <t>not reported</t>
        </is>
      </c>
      <c r="E15" s="14" t="inlineStr">
        <is>
          <t>not reported</t>
        </is>
      </c>
      <c r="F15" s="14" t="inlineStr">
        <is>
          <t>not reported</t>
        </is>
      </c>
    </row>
    <row r="16">
      <c r="A16" s="8" t="inlineStr">
        <is>
          <t xml:space="preserve">    10c. Land, buildings, and equipment, net</t>
        </is>
      </c>
      <c r="B16" s="9" t="n">
        <v>862389</v>
      </c>
      <c r="C16" s="9" t="n">
        <v>852367</v>
      </c>
      <c r="D16" s="9" t="n">
        <v>819479</v>
      </c>
      <c r="E16" s="9" t="n">
        <v>847092</v>
      </c>
      <c r="F16" s="9" t="n">
        <v>909604</v>
      </c>
    </row>
    <row r="17">
      <c r="A17" s="8" t="inlineStr">
        <is>
          <t xml:space="preserve">    11. Investments - publicly traded securities</t>
        </is>
      </c>
      <c r="B17" s="9" t="n">
        <v>0</v>
      </c>
      <c r="C17" s="9" t="n">
        <v>0</v>
      </c>
      <c r="D17" s="14" t="inlineStr">
        <is>
          <t>not reported</t>
        </is>
      </c>
      <c r="E17" s="14" t="inlineStr">
        <is>
          <t>not reported</t>
        </is>
      </c>
      <c r="F17" s="14" t="inlineStr">
        <is>
          <t>not reported</t>
        </is>
      </c>
    </row>
    <row r="18">
      <c r="A18" s="8" t="inlineStr">
        <is>
          <t xml:space="preserve">    12. Investments - other securities</t>
        </is>
      </c>
      <c r="B18" s="9" t="n">
        <v>0</v>
      </c>
      <c r="C18" s="9" t="n">
        <v>0</v>
      </c>
      <c r="D18" s="14" t="inlineStr">
        <is>
          <t>not reported</t>
        </is>
      </c>
      <c r="E18" s="14" t="inlineStr">
        <is>
          <t>not reported</t>
        </is>
      </c>
      <c r="F18" s="14" t="inlineStr">
        <is>
          <t>not reported</t>
        </is>
      </c>
    </row>
    <row r="19">
      <c r="A19" s="8" t="inlineStr">
        <is>
          <t xml:space="preserve">    13. Investments - program-related</t>
        </is>
      </c>
      <c r="B19" s="9" t="n">
        <v>0</v>
      </c>
      <c r="C19" s="9" t="n">
        <v>0</v>
      </c>
      <c r="D19" s="14" t="inlineStr">
        <is>
          <t>not reported</t>
        </is>
      </c>
      <c r="E19" s="14" t="inlineStr">
        <is>
          <t>not reported</t>
        </is>
      </c>
      <c r="F19" s="14" t="inlineStr">
        <is>
          <t>not reported</t>
        </is>
      </c>
    </row>
    <row r="20">
      <c r="A20" s="8" t="inlineStr">
        <is>
          <t xml:space="preserve">    14. Intangible assets</t>
        </is>
      </c>
      <c r="B20" s="9" t="n">
        <v>0</v>
      </c>
      <c r="C20" s="9" t="n">
        <v>0</v>
      </c>
      <c r="D20" s="14" t="inlineStr">
        <is>
          <t>not reported</t>
        </is>
      </c>
      <c r="E20" s="14" t="inlineStr">
        <is>
          <t>not reported</t>
        </is>
      </c>
      <c r="F20" s="14" t="inlineStr">
        <is>
          <t>not reported</t>
        </is>
      </c>
    </row>
    <row r="21">
      <c r="A21" s="8" t="inlineStr">
        <is>
          <t xml:space="preserve">    15. Other assets</t>
        </is>
      </c>
      <c r="B21" s="9" t="n">
        <v>0</v>
      </c>
      <c r="C21" s="9" t="n">
        <v>0</v>
      </c>
      <c r="D21" s="14" t="inlineStr">
        <is>
          <t>not reported</t>
        </is>
      </c>
      <c r="E21" s="14" t="inlineStr">
        <is>
          <t>not reported</t>
        </is>
      </c>
      <c r="F21" s="14" t="inlineStr">
        <is>
          <t>not reported</t>
        </is>
      </c>
    </row>
    <row r="22">
      <c r="A22" s="10" t="inlineStr">
        <is>
          <t>16. Total assets</t>
        </is>
      </c>
      <c r="B22" s="11">
        <f>SUM(B7:B21)</f>
        <v/>
      </c>
      <c r="C22" s="11">
        <f>SUM(C7:C21)</f>
        <v/>
      </c>
      <c r="D22" s="11">
        <f>SUM(D7:D21)</f>
        <v/>
      </c>
      <c r="E22" s="11">
        <f>SUM(E7:E21)</f>
        <v/>
      </c>
      <c r="F22" s="11">
        <f>SUM(F7:F21)</f>
        <v/>
      </c>
    </row>
    <row r="24">
      <c r="A24" s="6" t="inlineStr">
        <is>
          <t>Liabilities</t>
        </is>
      </c>
      <c r="B24" s="7" t="n"/>
      <c r="C24" s="7" t="n"/>
      <c r="D24" s="7" t="n"/>
      <c r="E24" s="7" t="n"/>
      <c r="F24" s="7" t="n"/>
    </row>
    <row r="25">
      <c r="A25" s="8" t="inlineStr">
        <is>
          <t xml:space="preserve">    23. Secured mortgages and notes payable</t>
        </is>
      </c>
      <c r="B25" s="9" t="n">
        <v>375813</v>
      </c>
      <c r="C25" s="9" t="n">
        <v>325739</v>
      </c>
      <c r="D25" s="14" t="inlineStr">
        <is>
          <t>not reported</t>
        </is>
      </c>
      <c r="E25" s="14" t="inlineStr">
        <is>
          <t>not reported</t>
        </is>
      </c>
      <c r="F25" s="14" t="inlineStr">
        <is>
          <t>not reported</t>
        </is>
      </c>
    </row>
    <row r="26">
      <c r="A26" s="8" t="inlineStr">
        <is>
          <t xml:space="preserve">    25. Other liabilities</t>
        </is>
      </c>
      <c r="B26" s="9" t="n">
        <v>68702</v>
      </c>
      <c r="C26" s="9" t="n">
        <v>67463</v>
      </c>
      <c r="D26" s="9" t="n">
        <v>339894</v>
      </c>
      <c r="E26" s="9" t="n">
        <v>284530</v>
      </c>
      <c r="F26" s="9" t="n">
        <v>226912</v>
      </c>
    </row>
    <row r="27">
      <c r="A27" s="10" t="inlineStr">
        <is>
          <t>26. Total liabilities</t>
        </is>
      </c>
      <c r="B27" s="11">
        <f>SUM(B25:B26)</f>
        <v/>
      </c>
      <c r="C27" s="11">
        <f>SUM(C25:C26)</f>
        <v/>
      </c>
      <c r="D27" s="11">
        <f>SUM(D25:D26)</f>
        <v/>
      </c>
      <c r="E27" s="11">
        <f>SUM(E25:E26)</f>
        <v/>
      </c>
      <c r="F27" s="11">
        <f>SUM(F25:F26)</f>
        <v/>
      </c>
    </row>
    <row r="29">
      <c r="A29" s="6" t="inlineStr">
        <is>
          <t>Net assets / fund balances</t>
        </is>
      </c>
      <c r="B29" s="7" t="n"/>
      <c r="C29" s="7" t="n"/>
      <c r="D29" s="7" t="n"/>
      <c r="E29" s="7" t="n"/>
      <c r="F29" s="7" t="n"/>
    </row>
    <row r="30">
      <c r="A30" s="8" t="inlineStr">
        <is>
          <t xml:space="preserve">    29. Capital stock or trust principal</t>
        </is>
      </c>
      <c r="B30" s="14" t="inlineStr">
        <is>
          <t>not reported</t>
        </is>
      </c>
      <c r="C30" s="14" t="inlineStr">
        <is>
          <t>not reported</t>
        </is>
      </c>
      <c r="D30" s="9" t="n">
        <v>0</v>
      </c>
      <c r="E30" s="9" t="n">
        <v>0</v>
      </c>
      <c r="F30" s="9" t="n">
        <v>0</v>
      </c>
    </row>
    <row r="31">
      <c r="A31" s="8" t="inlineStr">
        <is>
          <t xml:space="preserve">    30. Paid-in or capital surplus</t>
        </is>
      </c>
      <c r="B31" s="14" t="inlineStr">
        <is>
          <t>not reported</t>
        </is>
      </c>
      <c r="C31" s="14" t="inlineStr">
        <is>
          <t>not reported</t>
        </is>
      </c>
      <c r="D31" s="9" t="n">
        <v>0</v>
      </c>
      <c r="E31" s="9" t="n">
        <v>0</v>
      </c>
      <c r="F31" s="9" t="n">
        <v>0</v>
      </c>
    </row>
    <row r="32">
      <c r="A32" s="8" t="inlineStr">
        <is>
          <t xml:space="preserve">    31. Retained earnings / accumulated funds</t>
        </is>
      </c>
      <c r="B32" s="9" t="n">
        <v>1292674</v>
      </c>
      <c r="C32" s="9" t="n">
        <v>1452972</v>
      </c>
      <c r="D32" s="9" t="n">
        <v>1544961</v>
      </c>
      <c r="E32" s="9" t="n">
        <v>1492139</v>
      </c>
      <c r="F32" s="9" t="n">
        <v>1505374</v>
      </c>
    </row>
    <row r="33">
      <c r="A33" s="10" t="inlineStr">
        <is>
          <t>32. Total net assets / fund balances</t>
        </is>
      </c>
      <c r="B33" s="11">
        <f>SUM(B30:B32)</f>
        <v/>
      </c>
      <c r="C33" s="11">
        <f>SUM(C30:C32)</f>
        <v/>
      </c>
      <c r="D33" s="11">
        <f>SUM(D30:D32)</f>
        <v/>
      </c>
      <c r="E33" s="11">
        <f>SUM(E30:E32)</f>
        <v/>
      </c>
      <c r="F33" s="11">
        <f>SUM(F30:F32)</f>
        <v/>
      </c>
    </row>
    <row r="35" ht="42" customHeight="1">
      <c r="A35"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35:F3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Carmel Riviera Mutual Water Company</t>
        </is>
      </c>
    </row>
    <row r="2">
      <c r="A2" s="2" t="inlineStr">
        <is>
          <t>Reconciliation of Net Assets - Form 990 Part XI (USD)</t>
        </is>
      </c>
    </row>
    <row r="3">
      <c r="A3" s="2" t="inlineStr">
        <is>
          <t>Entity ID: cawc_0044   |   Fiscal year ends December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1233038</v>
      </c>
      <c r="C7" s="9" t="n">
        <v>1292674</v>
      </c>
      <c r="D7" s="9" t="n">
        <v>1452972</v>
      </c>
      <c r="E7" s="9" t="n">
        <v>1544961</v>
      </c>
      <c r="F7" s="9" t="n">
        <v>1492139</v>
      </c>
    </row>
    <row r="8">
      <c r="A8" s="8" t="inlineStr">
        <is>
          <t xml:space="preserve">    3. Revenue less expenses</t>
        </is>
      </c>
      <c r="B8" s="9" t="n">
        <v>59636</v>
      </c>
      <c r="C8" s="9" t="n">
        <v>160298</v>
      </c>
      <c r="D8" s="9" t="n">
        <v>91989</v>
      </c>
      <c r="E8" s="9" t="n">
        <v>-52822</v>
      </c>
      <c r="F8" s="9" t="n">
        <v>13235</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row>
    <row r="10">
      <c r="A10" s="8" t="inlineStr">
        <is>
          <t xml:space="preserve">    9. Other changes in net assets</t>
        </is>
      </c>
      <c r="B10" s="14" t="inlineStr">
        <is>
          <t>not reported</t>
        </is>
      </c>
      <c r="C10" s="14" t="inlineStr">
        <is>
          <t>not reported</t>
        </is>
      </c>
      <c r="D10" s="9" t="n">
        <v>0</v>
      </c>
      <c r="E10" s="9" t="n">
        <v>0</v>
      </c>
      <c r="F10" s="9" t="n">
        <v>0</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Carmel Riviera Mutual Water Company</t>
        </is>
      </c>
    </row>
    <row r="2">
      <c r="A2" s="2" t="inlineStr">
        <is>
          <t>Cash Flow Proxies - derived (USD)</t>
        </is>
      </c>
    </row>
    <row r="3">
      <c r="A3" s="2" t="inlineStr">
        <is>
          <t>Entity ID: cawc_0044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59636</v>
      </c>
      <c r="C9" s="9" t="n">
        <v>160298</v>
      </c>
      <c r="D9" s="9" t="n">
        <v>91989</v>
      </c>
      <c r="E9" s="9" t="n">
        <v>-52822</v>
      </c>
      <c r="F9" s="9" t="n">
        <v>13235</v>
      </c>
    </row>
    <row r="10">
      <c r="A10" s="8" t="inlineStr">
        <is>
          <t xml:space="preserve">    + Depreciation (reported)</t>
        </is>
      </c>
      <c r="B10" s="9" t="n">
        <v>83806</v>
      </c>
      <c r="C10" s="9" t="n">
        <v>82990</v>
      </c>
      <c r="D10" s="9" t="n">
        <v>84612</v>
      </c>
      <c r="E10" s="9" t="n">
        <v>90188</v>
      </c>
      <c r="F10" s="9" t="n">
        <v>98520</v>
      </c>
    </row>
    <row r="11">
      <c r="A11" s="8" t="inlineStr">
        <is>
          <t xml:space="preserve">    − Δ Accounts receivable</t>
        </is>
      </c>
      <c r="B11" s="9" t="n"/>
      <c r="C11" s="9" t="n">
        <v>15559</v>
      </c>
      <c r="D11" s="9" t="n">
        <v>-20060</v>
      </c>
      <c r="E11" s="9" t="n">
        <v>-17237</v>
      </c>
      <c r="F11" s="9" t="n">
        <v>9442</v>
      </c>
    </row>
    <row r="12">
      <c r="A12" s="8" t="inlineStr">
        <is>
          <t xml:space="preserve">    − Δ Inventories</t>
        </is>
      </c>
      <c r="B12" s="9" t="n"/>
      <c r="C12" s="9" t="n">
        <v>0</v>
      </c>
      <c r="D12" s="9" t="n"/>
      <c r="E12" s="9" t="n"/>
      <c r="F12" s="9" t="n"/>
    </row>
    <row r="13">
      <c r="A13" s="8" t="inlineStr">
        <is>
          <t xml:space="preserve">    − Δ Prepaid expenses</t>
        </is>
      </c>
      <c r="B13" s="9" t="n"/>
      <c r="C13" s="9" t="n">
        <v>0</v>
      </c>
      <c r="D13" s="9" t="n"/>
      <c r="E13" s="9" t="n"/>
      <c r="F13" s="9" t="n"/>
    </row>
    <row r="14">
      <c r="A14" s="8" t="inlineStr">
        <is>
          <t xml:space="preserve">    + Δ Accounts payable</t>
        </is>
      </c>
      <c r="B14" s="9" t="n"/>
      <c r="C14" s="9" t="n"/>
      <c r="D14" s="9" t="n"/>
      <c r="E14" s="9" t="n"/>
      <c r="F14" s="9" t="n"/>
    </row>
    <row r="15">
      <c r="A15" s="10" t="inlineStr">
        <is>
          <t xml:space="preserve">    Operating cash flow proxy</t>
        </is>
      </c>
      <c r="B15" s="11" t="n"/>
      <c r="C15" s="11" t="n">
        <v>258847</v>
      </c>
      <c r="D15" s="11" t="n">
        <v>156541</v>
      </c>
      <c r="E15" s="11" t="n">
        <v>20129</v>
      </c>
      <c r="F15" s="11" t="n">
        <v>121197</v>
      </c>
    </row>
    <row r="17">
      <c r="A17" s="6" t="inlineStr">
        <is>
          <t>Investing</t>
        </is>
      </c>
      <c r="B17" s="7" t="n"/>
      <c r="C17" s="7" t="n"/>
      <c r="D17" s="7" t="n"/>
      <c r="E17" s="7" t="n"/>
      <c r="F17" s="7" t="n"/>
    </row>
    <row r="18">
      <c r="A18" s="8" t="inlineStr">
        <is>
          <t xml:space="preserve">    − Δ PP&amp;E gross (capex proxy)</t>
        </is>
      </c>
      <c r="B18" s="9" t="n"/>
      <c r="C18" s="9" t="n">
        <v>-72968</v>
      </c>
      <c r="D18" s="9" t="n">
        <v>-51724</v>
      </c>
      <c r="E18" s="9" t="n">
        <v>-117801</v>
      </c>
      <c r="F18" s="9" t="n">
        <v>-161032</v>
      </c>
    </row>
    <row r="20">
      <c r="A20" s="6" t="inlineStr">
        <is>
          <t>Financing</t>
        </is>
      </c>
      <c r="B20" s="7" t="n"/>
      <c r="C20" s="7" t="n"/>
      <c r="D20" s="7" t="n"/>
      <c r="E20" s="7" t="n"/>
      <c r="F20" s="7" t="n"/>
    </row>
    <row r="21">
      <c r="A21" s="8" t="inlineStr">
        <is>
          <t xml:space="preserve">    Δ Mortgages &amp; notes payable</t>
        </is>
      </c>
      <c r="B21" s="9" t="n"/>
      <c r="C21" s="9" t="n">
        <v>-50074</v>
      </c>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134566</v>
      </c>
      <c r="D24" s="11" t="n">
        <v>51509</v>
      </c>
      <c r="E24" s="11" t="n">
        <v>-153036</v>
      </c>
      <c r="F24" s="11" t="n">
        <v>-97453</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Carmel Riviera Mutual Water Company</t>
        </is>
      </c>
    </row>
    <row r="2">
      <c r="A2" s="2" t="inlineStr">
        <is>
          <t>Financial Ratios</t>
        </is>
      </c>
    </row>
    <row r="3">
      <c r="A3" s="2" t="inlineStr">
        <is>
          <t>Entity ID: cawc_0044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0.1129942646448608</v>
      </c>
      <c r="C7" s="12" t="n">
        <v>0.2711097881494962</v>
      </c>
      <c r="D7" s="12" t="n">
        <v>0.148671493680706</v>
      </c>
      <c r="E7" s="12" t="n">
        <v>-0.107304646712523</v>
      </c>
      <c r="F7" s="12" t="n">
        <v>0.01813821221776818</v>
      </c>
    </row>
    <row r="8">
      <c r="A8" s="8" t="inlineStr">
        <is>
          <t xml:space="preserve">    Expense ratio (expenses / revenue)</t>
        </is>
      </c>
      <c r="B8" s="12" t="n">
        <v>0.8870057353551392</v>
      </c>
      <c r="C8" s="12" t="n">
        <v>0.7288902118505038</v>
      </c>
      <c r="D8" s="12" t="n">
        <v>0.851328506319294</v>
      </c>
      <c r="E8" s="12" t="n">
        <v>1.107304646712523</v>
      </c>
      <c r="F8" s="12" t="n">
        <v>0.9818617877822318</v>
      </c>
    </row>
    <row r="9">
      <c r="A9" s="8" t="inlineStr">
        <is>
          <t xml:space="preserve">    Return on assets (NI / assets)</t>
        </is>
      </c>
      <c r="B9" s="12" t="n">
        <v>0.03432902234587026</v>
      </c>
      <c r="C9" s="12" t="n">
        <v>0.08682713547043779</v>
      </c>
      <c r="D9" s="12" t="n">
        <v>0.04880428467972337</v>
      </c>
      <c r="E9" s="12" t="n">
        <v>-0.02973091780179651</v>
      </c>
      <c r="F9" s="12" t="n">
        <v>0.007640193362989714</v>
      </c>
    </row>
    <row r="10">
      <c r="A10" s="8" t="inlineStr">
        <is>
          <t xml:space="preserve">    Revenue growth (YoY)</t>
        </is>
      </c>
      <c r="B10" s="12" t="n">
        <v>0.1138596413474059</v>
      </c>
      <c r="C10" s="12" t="n">
        <v>0.1202908793263847</v>
      </c>
      <c r="D10" s="12" t="n">
        <v>0.04646639583537697</v>
      </c>
      <c r="E10" s="12" t="n">
        <v>-0.2044121925202831</v>
      </c>
      <c r="F10" s="12" t="n">
        <v>0.4822899187830871</v>
      </c>
    </row>
    <row r="12">
      <c r="A12" s="6" t="inlineStr">
        <is>
          <t>Leverage &amp; solvency</t>
        </is>
      </c>
      <c r="B12" s="7" t="n"/>
      <c r="C12" s="7" t="n"/>
      <c r="D12" s="7" t="n"/>
      <c r="E12" s="7" t="n"/>
      <c r="F12" s="7" t="n"/>
    </row>
    <row r="13">
      <c r="A13" s="8" t="inlineStr">
        <is>
          <t xml:space="preserve">    Debt-to-assets (liab. / assets)</t>
        </is>
      </c>
      <c r="B13" s="12" t="n">
        <v>0.2558817722193728</v>
      </c>
      <c r="C13" s="12" t="n">
        <v>0.2129820916121666</v>
      </c>
      <c r="D13" s="12" t="n">
        <v>0.1803289908242278</v>
      </c>
      <c r="E13" s="12" t="n">
        <v>0.1601480073103093</v>
      </c>
      <c r="F13" s="12" t="n">
        <v>0.1309899173693028</v>
      </c>
    </row>
    <row r="14">
      <c r="A14" s="8" t="inlineStr">
        <is>
          <t xml:space="preserve">    Equity ratio (net assets / assets)</t>
        </is>
      </c>
      <c r="B14" s="12" t="n">
        <v>0.7441182277806272</v>
      </c>
      <c r="C14" s="12" t="n">
        <v>0.7870179083878335</v>
      </c>
      <c r="D14" s="12" t="n">
        <v>0.8196710091757722</v>
      </c>
      <c r="E14" s="12" t="n">
        <v>0.8398519926896907</v>
      </c>
      <c r="F14" s="12" t="n">
        <v>0.8690100826306972</v>
      </c>
    </row>
    <row r="16">
      <c r="A16" s="6" t="inlineStr">
        <is>
          <t>Liquidity &amp; asset profile (derived here)</t>
        </is>
      </c>
      <c r="B16" s="7" t="n"/>
      <c r="C16" s="7" t="n"/>
      <c r="D16" s="7" t="n"/>
      <c r="E16" s="7" t="n"/>
      <c r="F16" s="7" t="n"/>
    </row>
    <row r="17">
      <c r="A17" s="8" t="inlineStr">
        <is>
          <t xml:space="preserve">    Current ratio (current assets / AP)</t>
        </is>
      </c>
      <c r="B17" s="18" t="n"/>
      <c r="C17" s="18" t="n"/>
      <c r="D17" s="18" t="n"/>
      <c r="E17" s="18" t="n"/>
      <c r="F17" s="18" t="n"/>
    </row>
    <row r="18">
      <c r="A18" s="8" t="inlineStr">
        <is>
          <t xml:space="preserve">    Cash ratio ((cash+temp inv.) / total liab.)</t>
        </is>
      </c>
      <c r="B18" s="18" t="n">
        <v>1.876305636480209</v>
      </c>
      <c r="C18" s="18" t="n">
        <v>2.463395404906384</v>
      </c>
      <c r="D18" s="18" t="n">
        <v>3.001291579139379</v>
      </c>
      <c r="E18" s="18" t="n">
        <v>3.047429093592943</v>
      </c>
      <c r="F18" s="18" t="n">
        <v>3.391764208151177</v>
      </c>
    </row>
    <row r="19">
      <c r="A19" s="8" t="inlineStr">
        <is>
          <t xml:space="preserve">    Asset age proxy (accum. deprec. / gross PP&amp;E)</t>
        </is>
      </c>
      <c r="B19" s="12" t="n">
        <v>0.6340358627362364</v>
      </c>
      <c r="C19" s="12" t="n">
        <v>0.6491527105072623</v>
      </c>
      <c r="D19" s="12" t="n">
        <v>0.669721668385609</v>
      </c>
      <c r="E19" s="12" t="n">
        <v>0.6740672679799521</v>
      </c>
      <c r="F19" s="12" t="n">
        <v>0.6704345274111325</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Carmel Riviera Mutual Water Company</t>
        </is>
      </c>
    </row>
    <row r="2">
      <c r="A2" s="2" t="inlineStr">
        <is>
          <t>Unit economics - per-customer revenue by category (USD)</t>
        </is>
      </c>
    </row>
    <row r="3">
      <c r="A3" s="2" t="inlineStr">
        <is>
          <t>Entity ID: cawc_0044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9" t="inlineStr">
        <is>
          <t>Per-customer denominator (service connections)</t>
        </is>
      </c>
      <c r="B6" s="20" t="n">
        <v>176</v>
      </c>
      <c r="C6" s="21" t="inlineStr">
        <is>
          <t>State Water Board eAR Section 4 (CurTotalConnections), reporting year 2024</t>
        </is>
      </c>
    </row>
    <row r="7">
      <c r="A7" s="19" t="inlineStr">
        <is>
          <t>Total annual revenue (eAR Section 8b B1.8)</t>
        </is>
      </c>
      <c r="B7" s="9" t="n">
        <v>635820</v>
      </c>
      <c r="C7" s="21" t="inlineStr">
        <is>
          <t>State Water Board eAR Section 8b, question B1.8 (total annual revenue), reporting year 2024</t>
        </is>
      </c>
    </row>
    <row r="8">
      <c r="A8" s="19" t="inlineStr">
        <is>
          <t>Primary source</t>
        </is>
      </c>
      <c r="B8" s="22" t="inlineStr"/>
      <c r="C8" s="21" t="inlineStr">
        <is>
          <t>State Water Board eAR Section 8b (revenue by rate/fee), reporting year 2024</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DIRECT</t>
        </is>
      </c>
      <c r="C12" s="9" t="n">
        <v>576008</v>
      </c>
      <c r="D12" s="24" t="n">
        <v>3272.77</v>
      </c>
      <c r="E12" s="25" t="n">
        <v>0.9059</v>
      </c>
    </row>
    <row r="13">
      <c r="A13" s="8" t="inlineStr">
        <is>
          <t>Assessment revenue (990 program-service revenue not matched to eAR water-rate revenue)</t>
        </is>
      </c>
      <c r="B13" s="23" t="inlineStr">
        <is>
          <t>DERIVED</t>
        </is>
      </c>
      <c r="C13" s="9" t="n">
        <v>119766</v>
      </c>
      <c r="D13" s="24" t="n">
        <v>680.49</v>
      </c>
      <c r="E13" s="25" t="n">
        <v>0.1721</v>
      </c>
    </row>
    <row r="14">
      <c r="A14" s="8" t="inlineStr">
        <is>
          <t>Meter revenue</t>
        </is>
      </c>
      <c r="B14" s="23" t="inlineStr">
        <is>
          <t>not reported</t>
        </is>
      </c>
      <c r="C14" s="26" t="inlineStr">
        <is>
          <t>not reported</t>
        </is>
      </c>
      <c r="D14" s="26" t="inlineStr">
        <is>
          <t>not reported</t>
        </is>
      </c>
      <c r="E14" s="26" t="inlineStr">
        <is>
          <t>not reported</t>
        </is>
      </c>
    </row>
    <row r="15">
      <c r="A15" s="8" t="inlineStr">
        <is>
          <t>Overage or tiered penalty revenue</t>
        </is>
      </c>
      <c r="B15" s="23" t="inlineStr">
        <is>
          <t>not reported</t>
        </is>
      </c>
      <c r="C15" s="26" t="inlineStr">
        <is>
          <t>not reported</t>
        </is>
      </c>
      <c r="D15" s="26" t="inlineStr">
        <is>
          <t>not reported</t>
        </is>
      </c>
      <c r="E15" s="26"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19" t="inlineStr">
        <is>
          <t>Numerator: Water rate revenue</t>
        </is>
      </c>
      <c r="B19" s="9" t="n">
        <v>576008</v>
      </c>
      <c r="C19" s="21" t="inlineStr">
        <is>
          <t>eAR Section 8b field B1.1 (residential water rates) only (this filer reported no non-residential water-rate revenue). State Water Board eAR Section 8b, question B1.1 + B1.2 (revenue from water rates), reporting year 2024</t>
        </is>
      </c>
    </row>
    <row r="20">
      <c r="A20" s="19" t="inlineStr">
        <is>
          <t>Denominator: Total service connections</t>
        </is>
      </c>
      <c r="B20" s="20" t="n">
        <v>176</v>
      </c>
      <c r="C20" s="21" t="inlineStr">
        <is>
          <t>eAR Section 4 CurTotalConnections, reporting year 2024. State Water Board eAR Section 4 (CurTotalConnections), reporting year 2024</t>
        </is>
      </c>
    </row>
    <row r="21" ht="36" customHeight="1">
      <c r="A21" s="3" t="inlineStr">
        <is>
          <t>Per customer: water rate revenue $576,008 / 176 connections = $3,272.77 per connection</t>
        </is>
      </c>
    </row>
    <row r="22" ht="36" customHeight="1">
      <c r="A22" s="3" t="inlineStr">
        <is>
          <t>Share of revenue: water rate revenue $576,008 / total annual revenue (eAR Section 8b B1.8) $635,820 = 90.59%</t>
        </is>
      </c>
    </row>
    <row r="23" ht="66" customHeight="1">
      <c r="A23" s="3" t="inlineStr">
        <is>
          <t>Period treatment: Numerator (eAR Section 8b, the calendar year 2024) and denominator (eAR Section 4 connections reported in the same eAR filing) are both the eAR reporting year 2024,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19" t="inlineStr">
        <is>
          <t>Input A: Form 990 program-service revenue</t>
        </is>
      </c>
      <c r="B28" s="9" t="n">
        <v>695774</v>
      </c>
      <c r="C28" s="21" t="inlineStr">
        <is>
          <t>Form 990 Part VIII line 2 (total program-service revenue), fiscal year 2024 ending December 31, 2024</t>
        </is>
      </c>
    </row>
    <row r="29">
      <c r="A29" s="19" t="inlineStr">
        <is>
          <t>Input B: eAR water-rate revenue</t>
        </is>
      </c>
      <c r="B29" s="9" t="n">
        <v>576008</v>
      </c>
      <c r="C29" s="21" t="inlineStr">
        <is>
          <t>State Water Board eAR Section 8b, question B1.1 + B1.2 (revenue from water rates), reporting year 2024</t>
        </is>
      </c>
    </row>
    <row r="30">
      <c r="A30" s="15" t="inlineStr">
        <is>
          <t>Residual (A minus B) = assessment revenue</t>
        </is>
      </c>
      <c r="B30" s="16">
        <f>B28-B29</f>
        <v/>
      </c>
      <c r="C30" s="21" t="inlineStr">
        <is>
          <t>$695,774 (990 program-service revenue) minus $576,008 (eAR water-rate revenue) = $119,766</t>
        </is>
      </c>
    </row>
    <row r="31" ht="66" customHeight="1">
      <c r="A31" s="3" t="inlineStr">
        <is>
          <t>Period alignment: Both inputs cover the same period: the eAR Section 8b is the calendar year 2024 and the Form 990 fiscal year 2024 ends December 31, 2024,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19" t="inlineStr">
        <is>
          <t>Denominator: Total service connections</t>
        </is>
      </c>
      <c r="B34" s="20" t="n">
        <v>176</v>
      </c>
      <c r="C34" s="21" t="inlineStr">
        <is>
          <t>eAR Section 4 CurTotalConnections, reporting year 2024. State Water Board eAR Section 4 (CurTotalConnections), reporting year 2024</t>
        </is>
      </c>
    </row>
    <row r="35" ht="36" customHeight="1">
      <c r="A35" s="3" t="inlineStr">
        <is>
          <t>Per customer: residual $119,766 / 176 connections = $680.49 per connection</t>
        </is>
      </c>
    </row>
    <row r="36" ht="36" customHeight="1">
      <c r="A36" s="3" t="inlineStr">
        <is>
          <t>Share of revenue: residual $119,766 / 990 program-service revenue $695,774 = 17.21%</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4"/>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Carmel Riviera Mutual Water Company</t>
        </is>
      </c>
    </row>
    <row r="2">
      <c r="A2" s="2" t="inlineStr">
        <is>
          <t>Rate structure and representative bill - eAR Section 8a (RY2024)</t>
        </is>
      </c>
    </row>
    <row r="3">
      <c r="A3" s="2" t="inlineStr">
        <is>
          <t>Entity ID: cawc_0044   |   Fiscal year ends December 31.</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51" customHeight="1">
      <c r="A6" s="28" t="inlineStr">
        <is>
          <t>Structure: Tiered increasing-block with a fixed base, billed monthly, priced per Gallons. Rate schedule last updated 03/01/2022.</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29" t="inlineStr"/>
      <c r="B10" s="5" t="inlineStr">
        <is>
          <t>Low</t>
        </is>
      </c>
      <c r="C10" s="5" t="inlineStr">
        <is>
          <t>Median</t>
        </is>
      </c>
      <c r="D10" s="5" t="inlineStr">
        <is>
          <t>High</t>
        </is>
      </c>
    </row>
    <row r="11">
      <c r="A11" s="8" t="inlineStr">
        <is>
          <t>Defined usage level (HCF per month)</t>
        </is>
      </c>
      <c r="B11" s="30" t="n">
        <v>5</v>
      </c>
      <c r="C11" s="30" t="n">
        <v>10</v>
      </c>
      <c r="D11" s="30" t="n">
        <v>25</v>
      </c>
    </row>
    <row r="12">
      <c r="A12" s="8" t="inlineStr">
        <is>
          <t>Conversion: one HCF is this many Gallons</t>
        </is>
      </c>
      <c r="B12" s="31" t="n">
        <v>748</v>
      </c>
      <c r="C12" s="13" t="inlineStr">
        <is>
          <t>1 HCF = 748 gallons</t>
        </is>
      </c>
    </row>
    <row r="13">
      <c r="A13" s="8" t="inlineStr">
        <is>
          <t>Monthly usage (Gallons)</t>
        </is>
      </c>
      <c r="B13" s="30">
        <f>B11*$B$12</f>
        <v/>
      </c>
      <c r="C13" s="30">
        <f>C11*$B$12</f>
        <v/>
      </c>
      <c r="D13" s="30">
        <f>D11*$B$12</f>
        <v/>
      </c>
    </row>
    <row r="14">
      <c r="A14" s="8" t="inlineStr">
        <is>
          <t>Months per bill (from filed billing frequency)</t>
        </is>
      </c>
      <c r="B14" s="32" t="n">
        <v>1</v>
      </c>
      <c r="C14" s="13" t="inlineStr">
        <is>
          <t>monthly biller</t>
        </is>
      </c>
    </row>
    <row r="16">
      <c r="A16" s="6" t="inlineStr">
        <is>
          <t>Filed rate table - single-family residential (as filed, eAR Section 8a)</t>
        </is>
      </c>
      <c r="B16" s="7" t="n"/>
      <c r="C16" s="7" t="n"/>
      <c r="D16" s="7" t="n"/>
    </row>
    <row r="17">
      <c r="A17" s="8" t="inlineStr">
        <is>
          <t>Base / fixed charge per monthly bill ($)</t>
        </is>
      </c>
      <c r="B17" s="24" t="n">
        <v>122.5</v>
      </c>
    </row>
    <row r="18">
      <c r="A18" s="4" t="inlineStr">
        <is>
          <t>Tier</t>
        </is>
      </c>
      <c r="B18" s="4" t="inlineStr">
        <is>
          <t>Range (Gallons)</t>
        </is>
      </c>
      <c r="C18" s="33" t="inlineStr">
        <is>
          <t>Price ($/Gallons)</t>
        </is>
      </c>
      <c r="D18" s="33" t="inlineStr">
        <is>
          <t>Upper limit (Gallons)</t>
        </is>
      </c>
    </row>
    <row r="19">
      <c r="A19" s="8" t="inlineStr">
        <is>
          <t>Tier 1</t>
        </is>
      </c>
      <c r="B19" s="8" t="inlineStr">
        <is>
          <t>0 to 7500 Gallons</t>
        </is>
      </c>
      <c r="C19" s="34" t="n">
        <v>0.00347</v>
      </c>
      <c r="D19" s="35" t="n">
        <v>7500</v>
      </c>
    </row>
    <row r="20">
      <c r="A20" s="8" t="inlineStr">
        <is>
          <t>Tier 2</t>
        </is>
      </c>
      <c r="B20" s="8" t="inlineStr">
        <is>
          <t>7500 to 15000 Gallons</t>
        </is>
      </c>
      <c r="C20" s="34" t="n">
        <v>0.0348</v>
      </c>
      <c r="D20" s="35" t="n">
        <v>15000</v>
      </c>
    </row>
    <row r="21">
      <c r="A21" s="8" t="inlineStr">
        <is>
          <t>Tier 3</t>
        </is>
      </c>
      <c r="B21" s="8" t="inlineStr">
        <is>
          <t>15000 to 25000 Gallons</t>
        </is>
      </c>
      <c r="C21" s="34" t="n">
        <v>0.074016</v>
      </c>
      <c r="D21" s="35" t="n">
        <v>25000</v>
      </c>
    </row>
    <row r="22">
      <c r="A22" s="8" t="inlineStr">
        <is>
          <t>Tier 4</t>
        </is>
      </c>
      <c r="B22" s="8" t="inlineStr">
        <is>
          <t>25000 to 30000 Gallons</t>
        </is>
      </c>
      <c r="C22" s="34" t="n">
        <v>0.128016</v>
      </c>
      <c r="D22" s="35" t="n">
        <v>30000</v>
      </c>
    </row>
    <row r="23">
      <c r="A23" s="8" t="inlineStr">
        <is>
          <t>Tier 5</t>
        </is>
      </c>
      <c r="B23" s="8" t="inlineStr">
        <is>
          <t>over 30000 Gallons</t>
        </is>
      </c>
      <c r="C23" s="34" t="n">
        <v>0.139448</v>
      </c>
      <c r="D23" s="35" t="inlineStr">
        <is>
          <t>no limit</t>
        </is>
      </c>
    </row>
    <row r="25">
      <c r="A25" s="6" t="inlineStr">
        <is>
          <t>Flags on the filed rate table (nothing below is corrected)</t>
        </is>
      </c>
      <c r="B25" s="7" t="n"/>
      <c r="C25" s="7" t="n"/>
      <c r="D25" s="7" t="n"/>
    </row>
    <row r="26" ht="111" customHeight="1">
      <c r="A26" s="3" t="inlineStr">
        <is>
          <t>Tier 3 price: implausible as filed; checked against source. The filed tier 3 price of $0.07 per unit implies $55.36 per HCF, outside the $0.50 to $50.00 per HCF range a residential water rate plausibly takes. Carried exactly as filed and not corrected. Source: State Water Board eAR Section 8 / WRSFUsageCost3</t>
        </is>
      </c>
    </row>
    <row r="27" ht="111" customHeight="1">
      <c r="A27" s="3" t="inlineStr">
        <is>
          <t>Tier 4 price: implausible as filed; checked against source. The filed tier 4 price of $0.13 per unit implies $95.76 per HCF, outside the $0.50 to $50.00 per HCF range a residential water rate plausibly takes. Carried exactly as filed and not corrected. Source: State Water Board eAR Section 8 / WRSFUsageCost4</t>
        </is>
      </c>
    </row>
    <row r="28" ht="111" customHeight="1">
      <c r="A28" s="3" t="inlineStr">
        <is>
          <t>Tier 5 price: implausible as filed; checked against source. The filed tier 5 price of $0.14 per unit implies $104.31 per HCF, outside the $0.50 to $50.00 per HCF range a residential water rate plausibly takes. Carried exactly as filed and not corrected. Source: State Water Board eAR Section 8 / WRSFUsageCost5</t>
        </is>
      </c>
    </row>
    <row r="30">
      <c r="A30" s="6" t="inlineStr">
        <is>
          <t>Representative monthly bill - LIVE (edit a yellow usage cell to recompute)</t>
        </is>
      </c>
      <c r="B30" s="7" t="n"/>
      <c r="C30" s="7" t="n"/>
      <c r="D30" s="7" t="n"/>
    </row>
    <row r="31">
      <c r="A31" s="29" t="inlineStr"/>
      <c r="B31" s="5" t="inlineStr">
        <is>
          <t>Low</t>
        </is>
      </c>
      <c r="C31" s="5" t="inlineStr">
        <is>
          <t>Median</t>
        </is>
      </c>
      <c r="D31" s="5" t="inlineStr">
        <is>
          <t>High</t>
        </is>
      </c>
    </row>
    <row r="32">
      <c r="A32" s="8" t="inlineStr">
        <is>
          <t>Usage per bill (Gallons)</t>
        </is>
      </c>
      <c r="B32" s="36">
        <f>B13*$B$14</f>
        <v/>
      </c>
      <c r="C32" s="36">
        <f>C13*$B$14</f>
        <v/>
      </c>
      <c r="D32" s="36">
        <f>D13*$B$14</f>
        <v/>
      </c>
    </row>
    <row r="33">
      <c r="A33" s="8" t="inlineStr">
        <is>
          <t xml:space="preserve">    Tier 1 charge per bill ($)</t>
        </is>
      </c>
      <c r="B33" s="37">
        <f>$C$19*MAX(0,MIN(B32,$D$19)-0)</f>
        <v/>
      </c>
      <c r="C33" s="37">
        <f>$C$19*MAX(0,MIN(C32,$D$19)-0)</f>
        <v/>
      </c>
      <c r="D33" s="37">
        <f>$C$19*MAX(0,MIN(D32,$D$19)-0)</f>
        <v/>
      </c>
    </row>
    <row r="34">
      <c r="A34" s="8" t="inlineStr">
        <is>
          <t xml:space="preserve">    Tier 2 charge per bill ($)</t>
        </is>
      </c>
      <c r="B34" s="37">
        <f>$C$20*MAX(0,MIN(B32,$D$20)-$D$19)</f>
        <v/>
      </c>
      <c r="C34" s="37">
        <f>$C$20*MAX(0,MIN(C32,$D$20)-$D$19)</f>
        <v/>
      </c>
      <c r="D34" s="37">
        <f>$C$20*MAX(0,MIN(D32,$D$20)-$D$19)</f>
        <v/>
      </c>
    </row>
    <row r="35">
      <c r="A35" s="8" t="inlineStr">
        <is>
          <t xml:space="preserve">    Tier 3 charge per bill ($)</t>
        </is>
      </c>
      <c r="B35" s="37">
        <f>$C$21*MAX(0,MIN(B32,$D$21)-$D$20)</f>
        <v/>
      </c>
      <c r="C35" s="37">
        <f>$C$21*MAX(0,MIN(C32,$D$21)-$D$20)</f>
        <v/>
      </c>
      <c r="D35" s="37">
        <f>$C$21*MAX(0,MIN(D32,$D$21)-$D$20)</f>
        <v/>
      </c>
    </row>
    <row r="36">
      <c r="A36" s="8" t="inlineStr">
        <is>
          <t xml:space="preserve">    Tier 4 charge per bill ($)</t>
        </is>
      </c>
      <c r="B36" s="37">
        <f>$C$22*MAX(0,MIN(B32,$D$22)-$D$21)</f>
        <v/>
      </c>
      <c r="C36" s="37">
        <f>$C$22*MAX(0,MIN(C32,$D$22)-$D$21)</f>
        <v/>
      </c>
      <c r="D36" s="37">
        <f>$C$22*MAX(0,MIN(D32,$D$22)-$D$21)</f>
        <v/>
      </c>
    </row>
    <row r="37">
      <c r="A37" s="8" t="inlineStr">
        <is>
          <t xml:space="preserve">    Tier 5 charge per bill ($)</t>
        </is>
      </c>
      <c r="B37" s="37">
        <f>$C$23*MAX(0,B32-$D$22)</f>
        <v/>
      </c>
      <c r="C37" s="37">
        <f>$C$23*MAX(0,C32-$D$22)</f>
        <v/>
      </c>
      <c r="D37" s="37">
        <f>$C$23*MAX(0,D32-$D$22)</f>
        <v/>
      </c>
    </row>
    <row r="38">
      <c r="A38" s="8" t="inlineStr">
        <is>
          <t>Volumetric charge per bill ($)</t>
        </is>
      </c>
      <c r="B38" s="37">
        <f>SUM(B33,B34,B35,B36,B37)</f>
        <v/>
      </c>
      <c r="C38" s="37">
        <f>SUM(C33,C34,C35,C36,C37)</f>
        <v/>
      </c>
      <c r="D38" s="37">
        <f>SUM(D33,D34,D35,D36,D37)</f>
        <v/>
      </c>
    </row>
    <row r="39">
      <c r="A39" s="8" t="inlineStr">
        <is>
          <t>Base charge per bill ($)</t>
        </is>
      </c>
      <c r="B39" s="37">
        <f>$B$17</f>
        <v/>
      </c>
      <c r="C39" s="37">
        <f>$B$17</f>
        <v/>
      </c>
      <c r="D39" s="37">
        <f>$B$17</f>
        <v/>
      </c>
    </row>
    <row r="40">
      <c r="A40" s="8" t="inlineStr">
        <is>
          <t>Total per bill ($)</t>
        </is>
      </c>
      <c r="B40" s="37">
        <f>B39+B38</f>
        <v/>
      </c>
      <c r="C40" s="37">
        <f>C39+C38</f>
        <v/>
      </c>
      <c r="D40" s="37">
        <f>D39+D38</f>
        <v/>
      </c>
    </row>
    <row r="41">
      <c r="A41" s="10" t="inlineStr">
        <is>
          <t>Total per MONTH ($)</t>
        </is>
      </c>
      <c r="B41" s="38">
        <f>B40/$B$14</f>
        <v/>
      </c>
      <c r="C41" s="38">
        <f>C40/$B$14</f>
        <v/>
      </c>
      <c r="D41" s="38">
        <f>D40/$B$14</f>
        <v/>
      </c>
    </row>
    <row r="42">
      <c r="A42" s="8" t="inlineStr">
        <is>
          <t xml:space="preserve">    Fixed per month ($)</t>
        </is>
      </c>
      <c r="B42" s="37">
        <f>$B$17/$B$14</f>
        <v/>
      </c>
      <c r="C42" s="37">
        <f>$B$17/$B$14</f>
        <v/>
      </c>
      <c r="D42" s="37">
        <f>$B$17/$B$14</f>
        <v/>
      </c>
    </row>
    <row r="43">
      <c r="A43" s="8" t="inlineStr">
        <is>
          <t xml:space="preserve">    Volumetric per month ($)</t>
        </is>
      </c>
      <c r="B43" s="37">
        <f>B38/$B$14</f>
        <v/>
      </c>
      <c r="C43" s="37">
        <f>C38/$B$14</f>
        <v/>
      </c>
      <c r="D43" s="37">
        <f>D38/$B$14</f>
        <v/>
      </c>
    </row>
    <row r="44">
      <c r="A44" s="8" t="inlineStr">
        <is>
          <t>Effective price ($/HCF)</t>
        </is>
      </c>
      <c r="B44" s="37">
        <f>IF(B11=0,"",B41/B11)</f>
        <v/>
      </c>
      <c r="C44" s="37">
        <f>IF(C11=0,"",C41/C11)</f>
        <v/>
      </c>
      <c r="D44" s="37">
        <f>IF(D11=0,"",D41/D11)</f>
        <v/>
      </c>
    </row>
    <row r="46">
      <c r="A46" s="6" t="inlineStr">
        <is>
          <t>Rate-structure comparison metrics</t>
        </is>
      </c>
      <c r="B46" s="7" t="n"/>
      <c r="C46" s="7" t="n"/>
      <c r="D46" s="7" t="n"/>
    </row>
    <row r="47">
      <c r="A47" s="8" t="inlineStr">
        <is>
          <t>Fixed share of the bill at median usage</t>
        </is>
      </c>
      <c r="B47" s="39">
        <f>C42/C41</f>
        <v/>
      </c>
      <c r="C47" s="13" t="inlineStr">
        <is>
          <t>fixed / total at 10 HCF/month</t>
        </is>
      </c>
    </row>
    <row r="48">
      <c r="A48" s="8" t="inlineStr">
        <is>
          <t>Tier price ratio (highest to lowest positive tier)</t>
        </is>
      </c>
      <c r="B48" s="40">
        <f>$C$23/$C$19</f>
        <v/>
      </c>
      <c r="C48" s="13" t="inlineStr">
        <is>
          <t>highest filed tier price divided by lowest filed tier price.</t>
        </is>
      </c>
    </row>
    <row r="49">
      <c r="A49" s="8" t="inlineStr">
        <is>
          <t>Rate structure (as filed)</t>
        </is>
      </c>
      <c r="B49" s="41" t="inlineStr">
        <is>
          <t>tiered (Variable Base)</t>
        </is>
      </c>
    </row>
    <row r="51">
      <c r="A51" s="6" t="inlineStr">
        <is>
          <t>Flagged (carried as filed, never reconciled)</t>
        </is>
      </c>
      <c r="B51" s="7" t="n"/>
      <c r="C51" s="7" t="n"/>
      <c r="D51" s="7" t="n"/>
    </row>
    <row r="52" ht="81" customHeight="1">
      <c r="A52" s="28" t="inlineStr">
        <is>
          <t>The single-family base charge or tier thresholds filed for RY2024 differ from RY2023, yet the eAR answer to whether rates changed is "No". Carried exactly as filed; both years are preserved and the difference is surfaced, never reconciled.</t>
        </is>
      </c>
    </row>
    <row r="53" ht="66" customHeight="1">
      <c r="A53" s="3" t="inlineStr">
        <is>
          <t>RY2023: base $110.00, tier upper thresholds [7500.0, 15000.0, 25000.0, 30000.0, None]. RY2024: base $122.50, tier upper thresholds [7500.0, 15000.0, 25000.0, 30000.0, None].</t>
        </is>
      </c>
    </row>
    <row r="54" ht="66" customHeight="1">
      <c r="A54" s="3" t="inlineStr">
        <is>
          <t>State Water Board eAR Section 8a (Customer Charges), single- and multi-family residential charges grid, reporting year 2024. Rate structure only; no revenue.</t>
        </is>
      </c>
    </row>
  </sheetData>
  <mergeCells count="12">
    <mergeCell ref="A1:D1"/>
    <mergeCell ref="A5:D5"/>
    <mergeCell ref="A27:D27"/>
    <mergeCell ref="A6:D6"/>
    <mergeCell ref="A53:D53"/>
    <mergeCell ref="A3:D3"/>
    <mergeCell ref="A26:D26"/>
    <mergeCell ref="A54:D54"/>
    <mergeCell ref="A52:D52"/>
    <mergeCell ref="A7:D7"/>
    <mergeCell ref="A2:D2"/>
    <mergeCell ref="A28:D28"/>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Carmel Riviera Mutual Water Company</t>
        </is>
      </c>
    </row>
    <row r="2">
      <c r="A2" s="2" t="inlineStr">
        <is>
          <t>eAR annual revenue and expenses - State Water Board eAR Section 8b (USD)</t>
        </is>
      </c>
    </row>
    <row r="3">
      <c r="A3" s="2" t="inlineStr">
        <is>
          <t>Entity ID: cawc_0044   |   Fiscal year ends December 31.</t>
        </is>
      </c>
    </row>
    <row r="5" ht="141" customHeight="1">
      <c r="A5" s="3" t="inlineStr">
        <is>
          <t>The water system's own annual figures from the public eAR Section 8b, on the calendar year 2024 the filer self-reported (B0.1/B0.2). Shown beside the period-aligned Form 990 with the variance flagged: a different source (a State Water Board self-report vs an IRS filing). Preserved as filed, never reconciled.</t>
        </is>
      </c>
    </row>
    <row r="6">
      <c r="A6" s="19" t="inlineStr">
        <is>
          <t>Reporting period basis (self-reported)</t>
        </is>
      </c>
      <c r="B6" s="22" t="inlineStr">
        <is>
          <t>calendar year 2024</t>
        </is>
      </c>
      <c r="C6" s="21"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19" t="inlineStr">
        <is>
          <t>Water rate revenue</t>
        </is>
      </c>
      <c r="B10" s="9" t="n">
        <v>576008</v>
      </c>
      <c r="C10" s="21" t="inlineStr">
        <is>
          <t>State Water Board eAR Section 8b, question B1.1 + B1.2 (revenue from water rates), reporting year 2024</t>
        </is>
      </c>
    </row>
    <row r="11">
      <c r="A11" s="19" t="inlineStr">
        <is>
          <t>Other fees and charges</t>
        </is>
      </c>
      <c r="B11" s="9" t="n">
        <v>59812</v>
      </c>
      <c r="C11" s="21" t="inlineStr">
        <is>
          <t>State Water Board eAR Section 8b, question B1.3 + B1.4 (revenue from other fees), reporting year 2024</t>
        </is>
      </c>
    </row>
    <row r="12">
      <c r="A12" s="19" t="inlineStr">
        <is>
          <t>Non-customer revenue</t>
        </is>
      </c>
      <c r="B12" s="9" t="n">
        <v>0</v>
      </c>
      <c r="C12" s="21" t="inlineStr">
        <is>
          <t>State Water Board eAR Section 8b, question B1.7 (grants, interest, and other non-customer), reporting year 2024</t>
        </is>
      </c>
    </row>
    <row r="13">
      <c r="A13" s="19" t="inlineStr">
        <is>
          <t>Total annual revenue</t>
        </is>
      </c>
      <c r="B13" s="42" t="n">
        <v>635820</v>
      </c>
      <c r="C13" s="21" t="inlineStr">
        <is>
          <t>State Water Board eAR Section 8b, question B1.8 (total annual revenue for the reporting year), reporting year 2024</t>
        </is>
      </c>
    </row>
    <row r="15">
      <c r="A15" s="6" t="inlineStr">
        <is>
          <t>Expenses (eAR Section 8b, questions B2.x)</t>
        </is>
      </c>
      <c r="B15" s="7" t="n"/>
      <c r="C15" s="7" t="n"/>
    </row>
    <row r="16">
      <c r="A16" s="5" t="inlineStr">
        <is>
          <t>Line</t>
        </is>
      </c>
      <c r="B16" s="5" t="inlineStr">
        <is>
          <t>Amount (USD)</t>
        </is>
      </c>
      <c r="C16" s="5" t="inlineStr">
        <is>
          <t>Citation</t>
        </is>
      </c>
    </row>
    <row r="17">
      <c r="A17" s="19" t="inlineStr">
        <is>
          <t>Operations and maintenance</t>
        </is>
      </c>
      <c r="B17" s="9" t="n">
        <v>682286</v>
      </c>
      <c r="C17" s="21" t="inlineStr">
        <is>
          <t>State Water Board eAR Section 8b, question B2.1 (annual O and M expense), reporting year 2024</t>
        </is>
      </c>
    </row>
    <row r="18">
      <c r="A18" s="19" t="inlineStr">
        <is>
          <t>Capital</t>
        </is>
      </c>
      <c r="B18" s="9" t="n">
        <v>0</v>
      </c>
      <c r="C18" s="21" t="inlineStr">
        <is>
          <t>State Water Board eAR Section 8b, question B2.2 (annual expenses from investing or capital), reporting year 2024</t>
        </is>
      </c>
    </row>
    <row r="19">
      <c r="A19" s="19" t="inlineStr">
        <is>
          <t>Financing</t>
        </is>
      </c>
      <c r="B19" s="9" t="n">
        <v>0</v>
      </c>
      <c r="C19" s="21" t="inlineStr">
        <is>
          <t>State Water Board eAR Section 8b, question B2.3 (annual expenses from financing), reporting year 2024</t>
        </is>
      </c>
    </row>
    <row r="20">
      <c r="A20" s="19" t="inlineStr">
        <is>
          <t>Other</t>
        </is>
      </c>
      <c r="B20" s="9" t="n">
        <v>0</v>
      </c>
      <c r="C20" s="21" t="inlineStr">
        <is>
          <t>State Water Board eAR Section 8b, question B2.4 (total other annual expenses), reporting year 2024</t>
        </is>
      </c>
    </row>
    <row r="21">
      <c r="A21" s="19" t="inlineStr">
        <is>
          <t>Total annual expenses</t>
        </is>
      </c>
      <c r="B21" s="42" t="n">
        <v>682286</v>
      </c>
      <c r="C21" s="21" t="inlineStr">
        <is>
          <t>State Water Board eAR Section 8b, question B2.5 (total annual expenses), reporting year 2024</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635820</v>
      </c>
      <c r="C25" s="9" t="n">
        <v>729675</v>
      </c>
    </row>
    <row r="26">
      <c r="A26" s="15" t="inlineStr">
        <is>
          <t>Variance (eAR minus Form 990)</t>
        </is>
      </c>
      <c r="B26" s="16">
        <f>B25-C25</f>
        <v/>
      </c>
      <c r="C26" s="43" t="n"/>
    </row>
    <row r="27" ht="126" customHeight="1">
      <c r="A27" s="3" t="inlineStr">
        <is>
          <t>The eAR Section 8b total revenue (State Water Board self-report, calendar year 2024) and the Form 990 total revenue (IRS filing) are a different source and cover the same calendar year 2024. Both are carried as filed; the variance is surfaced, never reconciled.</t>
        </is>
      </c>
    </row>
    <row r="28">
      <c r="A28" s="8" t="inlineStr">
        <is>
          <t>total expenses</t>
        </is>
      </c>
      <c r="B28" s="9" t="n">
        <v>682286</v>
      </c>
      <c r="C28" s="9" t="n">
        <v>716440</v>
      </c>
    </row>
    <row r="29">
      <c r="A29" s="15" t="inlineStr">
        <is>
          <t>Variance (eAR minus Form 990)</t>
        </is>
      </c>
      <c r="B29" s="16">
        <f>B28-C28</f>
        <v/>
      </c>
      <c r="C29" s="43" t="n"/>
    </row>
    <row r="30" ht="126" customHeight="1">
      <c r="A30" s="3" t="inlineStr">
        <is>
          <t>The eAR Section 8b total expenses (State Water Board self-report, calendar year 2024) and the Form 990 total expenses (IRS filing) are a different source and cover the same calendar year 2024.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Carmel Riviera Mutual Water Company</t>
        </is>
      </c>
    </row>
    <row r="2">
      <c r="A2" s="2" t="inlineStr">
        <is>
          <t>Denominators and calendar alignment</t>
        </is>
      </c>
    </row>
    <row r="3">
      <c r="A3" s="2" t="inlineStr">
        <is>
          <t>Entity ID: cawc_0044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19" t="inlineStr">
        <is>
          <t>Customer (service connection)</t>
        </is>
      </c>
      <c r="B7" s="20" t="n">
        <v>176</v>
      </c>
      <c r="C7" s="21" t="inlineStr">
        <is>
          <t>State Water Board eAR Section 4 (CurTotalConnections), reporting year 2024</t>
        </is>
      </c>
    </row>
    <row r="8">
      <c r="A8" s="19" t="inlineStr">
        <is>
          <t>Member (shareholder)</t>
        </is>
      </c>
      <c r="B8" s="22" t="n"/>
      <c r="C8" s="21" t="inlineStr">
        <is>
          <t>No published shareholder count</t>
        </is>
      </c>
    </row>
    <row r="9" ht="96" customHeight="1">
      <c r="A9"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1">
      <c r="A11" s="6" t="inlineStr">
        <is>
          <t>Denominator layer by fiscal year</t>
        </is>
      </c>
      <c r="B11" s="7" t="n"/>
      <c r="C11" s="7" t="n"/>
      <c r="D11" s="7" t="n"/>
      <c r="E11" s="7" t="n"/>
      <c r="F11" s="7" t="n"/>
      <c r="G11" s="7" t="n"/>
    </row>
    <row r="12">
      <c r="A12" s="5" t="inlineStr">
        <is>
          <t>Fiscal year (end)</t>
        </is>
      </c>
      <c r="B12" s="5" t="inlineStr">
        <is>
          <t>Connections</t>
        </is>
      </c>
      <c r="C12" s="5" t="inlineStr">
        <is>
          <t>Population</t>
        </is>
      </c>
      <c r="D12" s="5" t="inlineStr">
        <is>
          <t>Service-area acres</t>
        </is>
      </c>
      <c r="E12" s="5" t="inlineStr">
        <is>
          <t>Water produced (AF)</t>
        </is>
      </c>
      <c r="F12" s="5" t="inlineStr">
        <is>
          <t>Water delivered (AF)</t>
        </is>
      </c>
      <c r="G12" s="5" t="inlineStr">
        <is>
          <t>Alignment method</t>
        </is>
      </c>
    </row>
    <row r="13" ht="40" customHeight="1">
      <c r="A13" s="8" t="inlineStr">
        <is>
          <t>FY2020 (2020-12-31)</t>
        </is>
      </c>
      <c r="B13" s="20" t="n">
        <v>177</v>
      </c>
      <c r="C13" s="14" t="inlineStr">
        <is>
          <t>not reported</t>
        </is>
      </c>
      <c r="D13" s="20" t="n">
        <v>211.9</v>
      </c>
      <c r="E13" s="14" t="inlineStr">
        <is>
          <t>not reported</t>
        </is>
      </c>
      <c r="F13" s="14" t="inlineStr">
        <is>
          <t>not reported</t>
        </is>
      </c>
      <c r="G13" s="22" t="inlineStr">
        <is>
          <t>eAR annual total, calendar filer, equals fiscal year (not a monthly recast)</t>
        </is>
      </c>
    </row>
    <row r="14" ht="40" customHeight="1">
      <c r="A14" s="8" t="inlineStr">
        <is>
          <t>FY2021 (2021-12-31)</t>
        </is>
      </c>
      <c r="B14" s="20" t="n">
        <v>177</v>
      </c>
      <c r="C14" s="14" t="inlineStr">
        <is>
          <t>not reported</t>
        </is>
      </c>
      <c r="D14" s="20" t="n">
        <v>211.9</v>
      </c>
      <c r="E14" s="14" t="inlineStr">
        <is>
          <t>not reported</t>
        </is>
      </c>
      <c r="F14" s="14" t="inlineStr">
        <is>
          <t>not reported</t>
        </is>
      </c>
      <c r="G14" s="22" t="inlineStr">
        <is>
          <t>eAR annual total, calendar filer, equals fiscal year (not a monthly recast)</t>
        </is>
      </c>
    </row>
    <row r="15" ht="40" customHeight="1">
      <c r="A15" s="8" t="inlineStr">
        <is>
          <t>FY2022 (2022-12-31)</t>
        </is>
      </c>
      <c r="B15" s="20" t="n">
        <v>176</v>
      </c>
      <c r="C15" s="14" t="inlineStr">
        <is>
          <t>not reported</t>
        </is>
      </c>
      <c r="D15" s="20" t="n">
        <v>211.9</v>
      </c>
      <c r="E15" s="14" t="inlineStr">
        <is>
          <t>not reported</t>
        </is>
      </c>
      <c r="F15" s="14" t="inlineStr">
        <is>
          <t>not reported</t>
        </is>
      </c>
      <c r="G15" s="22" t="inlineStr">
        <is>
          <t>eAR annual total, calendar filer, equals fiscal year (not a monthly recast)</t>
        </is>
      </c>
    </row>
    <row r="16" ht="40" customHeight="1">
      <c r="A16" s="8" t="inlineStr">
        <is>
          <t>FY2023 (2023-12-31)</t>
        </is>
      </c>
      <c r="B16" s="20" t="n">
        <v>177</v>
      </c>
      <c r="C16" s="20" t="n">
        <v>584</v>
      </c>
      <c r="D16" s="20" t="n">
        <v>211.9</v>
      </c>
      <c r="E16" s="14" t="inlineStr">
        <is>
          <t>not reported</t>
        </is>
      </c>
      <c r="F16" s="14" t="inlineStr">
        <is>
          <t>not reported</t>
        </is>
      </c>
      <c r="G16" s="22" t="inlineStr">
        <is>
          <t>eAR annual total, calendar filer, equals fiscal year (not a monthly recast)</t>
        </is>
      </c>
    </row>
    <row r="17" ht="40" customHeight="1">
      <c r="A17" s="8" t="inlineStr">
        <is>
          <t>FY2024 (2024-12-31)</t>
        </is>
      </c>
      <c r="B17" s="20" t="n">
        <v>176</v>
      </c>
      <c r="C17" s="20" t="n">
        <v>584</v>
      </c>
      <c r="D17" s="20" t="n">
        <v>211.9</v>
      </c>
      <c r="E17" s="14" t="inlineStr">
        <is>
          <t>not reported</t>
        </is>
      </c>
      <c r="F17" s="14" t="inlineStr">
        <is>
          <t>not reported</t>
        </is>
      </c>
      <c r="G17" s="22" t="inlineStr">
        <is>
          <t>eAR annual total, calendar filer, equals fiscal year (not a monthly recast)</t>
        </is>
      </c>
    </row>
    <row r="19">
      <c r="A19" s="6" t="inlineStr">
        <is>
          <t>Connections by class - FY2024 (eAR Section 4)</t>
        </is>
      </c>
      <c r="B19" s="7" t="n"/>
      <c r="C19" s="7" t="n"/>
      <c r="D19" s="7" t="n"/>
      <c r="E19" s="7" t="n"/>
      <c r="F19" s="7" t="n"/>
      <c r="G19" s="7" t="n"/>
    </row>
    <row r="20">
      <c r="A20" s="19" t="inlineStr">
        <is>
          <t>Single-family residential</t>
        </is>
      </c>
      <c r="B20" s="20" t="n">
        <v>176</v>
      </c>
      <c r="C20" s="21" t="inlineStr"/>
    </row>
    <row r="21" ht="81" customHeight="1">
      <c r="A21"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9:G9"/>
    <mergeCell ref="A3:G3"/>
    <mergeCell ref="A21:G21"/>
    <mergeCell ref="A2:G2"/>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Carmel Riviera Mutual Water Company</t>
        </is>
      </c>
    </row>
    <row r="2">
      <c r="A2" s="2" t="inlineStr">
        <is>
          <t>Operational metrics - plant per acre, density, terrain</t>
        </is>
      </c>
    </row>
    <row r="3">
      <c r="A3" s="2" t="inlineStr">
        <is>
          <t>Entity ID: cawc_0044   |   Fiscal year ends December 31.</t>
        </is>
      </c>
    </row>
    <row r="5">
      <c r="A5" s="6" t="inlineStr">
        <is>
          <t>Plant assets per acre</t>
        </is>
      </c>
      <c r="B5" s="7" t="n"/>
      <c r="C5" s="7" t="n"/>
    </row>
    <row r="6">
      <c r="A6" s="19" t="inlineStr">
        <is>
          <t>Service-area acres</t>
        </is>
      </c>
      <c r="B6" s="44" t="n">
        <v>211.9</v>
      </c>
      <c r="C6" s="21" t="inlineStr">
        <is>
          <t>Geodesic area (WGS84 spherical excess) of the SABL service-area polygon.</t>
        </is>
      </c>
    </row>
    <row r="7">
      <c r="A7" s="5" t="inlineStr">
        <is>
          <t>Fiscal year</t>
        </is>
      </c>
      <c r="B7" s="5" t="inlineStr">
        <is>
          <t>Gross plant per acre (primary)</t>
        </is>
      </c>
      <c r="C7" s="5" t="inlineStr">
        <is>
          <t>Net plant per acre</t>
        </is>
      </c>
    </row>
    <row r="8">
      <c r="A8" s="45" t="inlineStr">
        <is>
          <t>FY2020</t>
        </is>
      </c>
      <c r="B8" s="9" t="n">
        <v>11120.7409</v>
      </c>
      <c r="C8" s="9" t="n">
        <v>4069.7924</v>
      </c>
    </row>
    <row r="9">
      <c r="A9" s="45" t="inlineStr">
        <is>
          <t>FY2021</t>
        </is>
      </c>
      <c r="B9" s="9" t="n">
        <v>11465.092</v>
      </c>
      <c r="C9" s="9" t="n">
        <v>4022.4965</v>
      </c>
    </row>
    <row r="10">
      <c r="A10" s="45" t="inlineStr">
        <is>
          <t>FY2022</t>
        </is>
      </c>
      <c r="B10" s="9" t="n">
        <v>11709.1883</v>
      </c>
      <c r="C10" s="9" t="n">
        <v>3867.2912</v>
      </c>
    </row>
    <row r="11">
      <c r="A11" s="45" t="inlineStr">
        <is>
          <t>FY2023</t>
        </is>
      </c>
      <c r="B11" s="9" t="n">
        <v>12265.1156</v>
      </c>
      <c r="C11" s="9" t="n">
        <v>3997.6026</v>
      </c>
    </row>
    <row r="12">
      <c r="A12" s="45" t="inlineStr">
        <is>
          <t>FY2024</t>
        </is>
      </c>
      <c r="B12" s="9" t="n">
        <v>13025.059</v>
      </c>
      <c r="C12" s="9" t="n">
        <v>4292.6097</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19" t="inlineStr">
        <is>
          <t>Connections per acre</t>
        </is>
      </c>
      <c r="B19" s="18" t="n">
        <v>0.83</v>
      </c>
      <c r="C19" s="21" t="inlineStr">
        <is>
          <t>176 connections / 211.9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Carmel Riviera Mutual Water Company</t>
        </is>
      </c>
    </row>
    <row r="2">
      <c r="A2" s="2" t="inlineStr">
        <is>
          <t>Supply and weather indicators (DWR water year)</t>
        </is>
      </c>
    </row>
    <row r="3">
      <c r="A3" s="2" t="inlineStr">
        <is>
          <t>Entity ID: cawc_0044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46" t="inlineStr">
        <is>
          <t>Dry</t>
        </is>
      </c>
      <c r="C8" s="46" t="inlineStr">
        <is>
          <t>Critical</t>
        </is>
      </c>
      <c r="D8" s="46" t="inlineStr">
        <is>
          <t>Critical</t>
        </is>
      </c>
      <c r="E8" s="46" t="inlineStr">
        <is>
          <t>Wet</t>
        </is>
      </c>
      <c r="F8" s="46" t="inlineStr">
        <is>
          <t>Above Normal</t>
        </is>
      </c>
    </row>
    <row r="9">
      <c r="A9" s="8" t="inlineStr">
        <is>
          <t>Peak drought, Monterey County</t>
        </is>
      </c>
      <c r="B9" s="46" t="inlineStr">
        <is>
          <t>D1</t>
        </is>
      </c>
      <c r="C9" s="46" t="inlineStr">
        <is>
          <t>D4</t>
        </is>
      </c>
      <c r="D9" s="46" t="inlineStr">
        <is>
          <t>D4</t>
        </is>
      </c>
      <c r="E9" s="46" t="inlineStr">
        <is>
          <t>D4</t>
        </is>
      </c>
      <c r="F9" s="46" t="inlineStr">
        <is>
          <t>None (no D0-D4 during the fiscal year)</t>
        </is>
      </c>
    </row>
    <row r="10">
      <c r="A10" s="8" t="inlineStr">
        <is>
          <t>Precip, percent of normal (8-Station Index)</t>
        </is>
      </c>
      <c r="B10" s="46" t="inlineStr">
        <is>
          <t>63</t>
        </is>
      </c>
      <c r="C10" s="46" t="inlineStr">
        <is>
          <t>48</t>
        </is>
      </c>
      <c r="D10" s="46" t="inlineStr">
        <is>
          <t>86</t>
        </is>
      </c>
      <c r="E10" s="46" t="inlineStr">
        <is>
          <t>133</t>
        </is>
      </c>
      <c r="F10" s="46" t="inlineStr">
        <is>
          <t>96</t>
        </is>
      </c>
    </row>
    <row r="11">
      <c r="A11" s="8" t="inlineStr">
        <is>
          <t>Snowpack, April 1 percent of average</t>
        </is>
      </c>
      <c r="B11" s="46" t="inlineStr">
        <is>
          <t>53%</t>
        </is>
      </c>
      <c r="C11" s="46" t="inlineStr">
        <is>
          <t>59%</t>
        </is>
      </c>
      <c r="D11" s="46" t="inlineStr">
        <is>
          <t>38%</t>
        </is>
      </c>
      <c r="E11" s="46" t="inlineStr">
        <is>
          <t>237%</t>
        </is>
      </c>
      <c r="F11" s="46" t="inlineStr">
        <is>
          <t>110%</t>
        </is>
      </c>
    </row>
    <row r="12">
      <c r="A12" s="8" t="inlineStr">
        <is>
          <t>State Water Project allocation</t>
        </is>
      </c>
      <c r="B12" s="46" t="inlineStr">
        <is>
          <t>20%</t>
        </is>
      </c>
      <c r="C12" s="46" t="inlineStr">
        <is>
          <t>5%</t>
        </is>
      </c>
      <c r="D12" s="46" t="inlineStr">
        <is>
          <t>5%</t>
        </is>
      </c>
      <c r="E12" s="46" t="inlineStr">
        <is>
          <t>100%</t>
        </is>
      </c>
      <c r="F12" s="46"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Carmel Riviera Mutual Water Company</t>
        </is>
      </c>
    </row>
    <row r="2">
      <c r="A2" s="2" t="inlineStr">
        <is>
          <t>How this was built - forensic lineage</t>
        </is>
      </c>
    </row>
    <row r="3">
      <c r="A3" s="2" t="inlineStr">
        <is>
          <t>Entity ID: cawc_0044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19" t="inlineStr">
        <is>
          <t>Sources checked</t>
        </is>
      </c>
      <c r="B8" s="21" t="inlineStr">
        <is>
          <t>State Water Board eAR Section 8b (water-rate revenue B1.1/B1.2); State Water Board eAR Section 4 (connection count, same reporting year); audited financial statement (secondary cross-check, where published)</t>
        </is>
      </c>
    </row>
    <row r="9" ht="72" customHeight="1">
      <c r="A9" s="19" t="inlineStr">
        <is>
          <t>What was found</t>
        </is>
      </c>
      <c r="B9" s="21" t="inlineStr">
        <is>
          <t>The eAR Section 8b reports water-rate revenue for reporting year 2024,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19" t="inlineStr">
        <is>
          <t>Sources checked</t>
        </is>
      </c>
      <c r="B12" s="21" t="inlineStr">
        <is>
          <t>Form 990 Part VIII line 2 (program-service revenue); State Water Board eAR Section 8b (water-rate revenue B1.1/B1.2)</t>
        </is>
      </c>
    </row>
    <row r="13" ht="72" customHeight="1">
      <c r="A13" s="19" t="inlineStr">
        <is>
          <t>What was found</t>
        </is>
      </c>
      <c r="B13" s="21" t="inlineStr">
        <is>
          <t>No source separately reports a member assessment, so it is DERIVED as a residual: $695,774 (990 program-service revenue) minus $576,008 (eAR water-rate revenue) = $119,766. Period-aligned; medium confidence.</t>
        </is>
      </c>
    </row>
    <row r="14" ht="72" customHeight="1">
      <c r="A14" s="19" t="inlineStr">
        <is>
          <t>Caveat</t>
        </is>
      </c>
      <c r="B14" s="21"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19" t="inlineStr">
        <is>
          <t>Sources checked</t>
        </is>
      </c>
      <c r="B17" s="21" t="inlineStr">
        <is>
          <t>State Water Board eAR Section 8a (rate prices); State Water Board eAR Section 8b (revenue lines); audited financial statement</t>
        </is>
      </c>
    </row>
    <row r="18" ht="72" customHeight="1">
      <c r="A18" s="19" t="inlineStr">
        <is>
          <t>What was found</t>
        </is>
      </c>
      <c r="B18" s="21" t="inlineStr">
        <is>
          <t>The rate price exists in Section 8a but no revenue or tier volume is reported, and the base charge is already inside water sales.</t>
        </is>
      </c>
    </row>
    <row r="19" ht="72" customHeight="1">
      <c r="A19" s="19" t="inlineStr">
        <is>
          <t>Caveat</t>
        </is>
      </c>
      <c r="B19" s="21"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9" t="inlineStr">
        <is>
          <t>Sources checked</t>
        </is>
      </c>
      <c r="B22" s="21" t="inlineStr">
        <is>
          <t>State Water Board eAR Section 8a (rate prices); State Water Board eAR Section 8b (revenue lines); audited financial statement</t>
        </is>
      </c>
    </row>
    <row r="23" ht="72" customHeight="1">
      <c r="A23" s="19" t="inlineStr">
        <is>
          <t>What was found</t>
        </is>
      </c>
      <c r="B23" s="21" t="inlineStr">
        <is>
          <t>The rate price exists in Section 8a but no revenue or tier volume is reported, and the base charge is already inside water sales.</t>
        </is>
      </c>
    </row>
    <row r="24" ht="72" customHeight="1">
      <c r="A24" s="19" t="inlineStr">
        <is>
          <t>Caveat</t>
        </is>
      </c>
      <c r="B24" s="21"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9" t="inlineStr">
        <is>
          <t>Sources checked</t>
        </is>
      </c>
      <c r="B27" s="21" t="inlineStr">
        <is>
          <t>eAR Section 8b B0.1 (WRFinancialReportingPeriod); eAR Section 8b B0.2 (WRFiscalYearStartDate)</t>
        </is>
      </c>
    </row>
    <row r="28" ht="72" customHeight="1">
      <c r="A28" s="19" t="inlineStr">
        <is>
          <t>What was found</t>
        </is>
      </c>
      <c r="B28" s="21"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9" t="inlineStr">
        <is>
          <t>Sources checked</t>
        </is>
      </c>
      <c r="B31" s="21" t="inlineStr">
        <is>
          <t>Form 990 (no member count stated); company website</t>
        </is>
      </c>
    </row>
    <row r="32" ht="72" customHeight="1">
      <c r="A32" s="19" t="inlineStr">
        <is>
          <t>What was found</t>
        </is>
      </c>
      <c r="B32" s="21"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9" t="inlineStr">
        <is>
          <t>Sources checked</t>
        </is>
      </c>
      <c r="B35" s="21" t="inlineStr">
        <is>
          <t>Form 990 (not in the filing); Consumer Confidence Report; eAR Section 6 (PRA-gated)</t>
        </is>
      </c>
    </row>
    <row r="36" ht="72" customHeight="1">
      <c r="A36" s="19" t="inlineStr">
        <is>
          <t>What was found</t>
        </is>
      </c>
      <c r="B36" s="21"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253"/>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Carmel Riviera Mutual Water Company</t>
        </is>
      </c>
    </row>
    <row r="2">
      <c r="A2" s="2" t="inlineStr">
        <is>
          <t>Sources &amp; audit - full provenance and tie-outs (kept off the statements so they read clean)</t>
        </is>
      </c>
    </row>
    <row r="3">
      <c r="A3" s="2" t="inlineStr">
        <is>
          <t>Entity ID: cawc_0044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7"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6" t="inlineStr">
        <is>
          <t>FY2020</t>
        </is>
      </c>
      <c r="B10" s="8" t="inlineStr">
        <is>
          <t>2020-12-31</t>
        </is>
      </c>
      <c r="C10" s="8" t="inlineStr">
        <is>
          <t>990</t>
        </is>
      </c>
      <c r="D10" s="8" t="inlineStr">
        <is>
          <t>high</t>
        </is>
      </c>
      <c r="E10" s="8" t="inlineStr">
        <is>
          <t>e497f72d-e4da-48ab-ac2b-f56032eafe97</t>
        </is>
      </c>
      <c r="F10" s="8" t="inlineStr">
        <is>
          <t>202142359349301334</t>
        </is>
      </c>
      <c r="G10" s="8" t="inlineStr">
        <is>
          <t>claude-opus-5</t>
        </is>
      </c>
      <c r="H10" s="8" t="inlineStr">
        <is>
          <t>2026-09-16T21:34:13+00:00</t>
        </is>
      </c>
      <c r="I10" s="8" t="inlineStr">
        <is>
          <t>https://apps.irs.gov/pub/epostcard/990/xml/2021/2021_TEOS_XML_01A.zip#202142359349301334_public.xml</t>
        </is>
      </c>
    </row>
    <row r="11">
      <c r="A11" s="46" t="inlineStr">
        <is>
          <t>FY2021</t>
        </is>
      </c>
      <c r="B11" s="8" t="inlineStr">
        <is>
          <t>2021-12-31</t>
        </is>
      </c>
      <c r="C11" s="8" t="inlineStr">
        <is>
          <t>990</t>
        </is>
      </c>
      <c r="D11" s="8" t="inlineStr">
        <is>
          <t>high</t>
        </is>
      </c>
      <c r="E11" s="8" t="inlineStr">
        <is>
          <t>4c8a32c4-8bdf-4b61-8847-e510ca03d5b9</t>
        </is>
      </c>
      <c r="F11" s="8" t="inlineStr">
        <is>
          <t>202222599349300747</t>
        </is>
      </c>
      <c r="G11" s="8" t="inlineStr">
        <is>
          <t>claude-opus-5</t>
        </is>
      </c>
      <c r="H11" s="8" t="inlineStr">
        <is>
          <t>2026-09-16T21:34:13+00:00</t>
        </is>
      </c>
      <c r="I11" s="8" t="inlineStr">
        <is>
          <t>https://apps.irs.gov/pub/epostcard/990/xml/2022/2022_TEOS_XML_01A.zip#202222599349300747_public.xml</t>
        </is>
      </c>
    </row>
    <row r="12">
      <c r="A12" s="46" t="inlineStr">
        <is>
          <t>FY2022</t>
        </is>
      </c>
      <c r="B12" s="8" t="inlineStr">
        <is>
          <t>2022-12-31</t>
        </is>
      </c>
      <c r="C12" s="8" t="inlineStr">
        <is>
          <t>990</t>
        </is>
      </c>
      <c r="D12" s="8" t="inlineStr">
        <is>
          <t>high</t>
        </is>
      </c>
      <c r="E12" s="8" t="inlineStr">
        <is>
          <t>bcdeb367-f313-4332-b1f7-5433aaa531f4</t>
        </is>
      </c>
      <c r="F12" s="8" t="inlineStr">
        <is>
          <t>202323129349304612</t>
        </is>
      </c>
      <c r="G12" s="8" t="inlineStr">
        <is>
          <t>claude-opus-5</t>
        </is>
      </c>
      <c r="H12" s="8" t="inlineStr">
        <is>
          <t>2026-09-14T20:40:26+00:00</t>
        </is>
      </c>
      <c r="I12" s="8" t="inlineStr">
        <is>
          <t>https://apps.irs.gov/pub/epostcard/990/xml/2023/2023_TEOS_XML_11A.zip#202323129349304612_public.xml</t>
        </is>
      </c>
    </row>
    <row r="13">
      <c r="A13" s="46" t="inlineStr">
        <is>
          <t>FY2023</t>
        </is>
      </c>
      <c r="B13" s="8" t="inlineStr">
        <is>
          <t>2023-12-31</t>
        </is>
      </c>
      <c r="C13" s="8" t="inlineStr">
        <is>
          <t>990</t>
        </is>
      </c>
      <c r="D13" s="8" t="inlineStr">
        <is>
          <t>high</t>
        </is>
      </c>
      <c r="E13" s="8" t="inlineStr">
        <is>
          <t>d348f35a-07ab-45f4-96e6-70b84d50a3ae</t>
        </is>
      </c>
      <c r="F13" s="8" t="inlineStr">
        <is>
          <t>202423209349309032</t>
        </is>
      </c>
      <c r="G13" s="8" t="inlineStr">
        <is>
          <t>claude-opus-5</t>
        </is>
      </c>
      <c r="H13" s="8" t="inlineStr">
        <is>
          <t>2026-09-14T20:40:26+00:00</t>
        </is>
      </c>
      <c r="I13" s="8" t="inlineStr">
        <is>
          <t>https://apps.irs.gov/pub/epostcard/990/xml/2024/2024_TEOS_XML_11A.zip#202423209349309032_public.xml</t>
        </is>
      </c>
    </row>
    <row r="14">
      <c r="A14" s="46" t="inlineStr">
        <is>
          <t>FY2024</t>
        </is>
      </c>
      <c r="B14" s="8" t="inlineStr">
        <is>
          <t>2024-12-31</t>
        </is>
      </c>
      <c r="C14" s="8" t="inlineStr">
        <is>
          <t>990</t>
        </is>
      </c>
      <c r="D14" s="8" t="inlineStr">
        <is>
          <t>high</t>
        </is>
      </c>
      <c r="E14" s="8" t="inlineStr">
        <is>
          <t>b02a7e76-e007-47e8-988a-41e4741e340f</t>
        </is>
      </c>
      <c r="F14" s="8" t="inlineStr">
        <is>
          <t>202502469349300725</t>
        </is>
      </c>
      <c r="G14" s="8" t="inlineStr">
        <is>
          <t>claude-opus-5</t>
        </is>
      </c>
      <c r="H14" s="8" t="inlineStr">
        <is>
          <t>2026-09-14T20:40:26+00:00</t>
        </is>
      </c>
      <c r="I14" s="8" t="inlineStr">
        <is>
          <t>https://apps.irs.gov/pub/epostcard/990/xml/2025/2025_TEOS_XML_09A.zip#202502469349300725_public.xml</t>
        </is>
      </c>
    </row>
    <row r="16">
      <c r="A16" s="47"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525506</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591208</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618740</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492262</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729675</v>
      </c>
    </row>
    <row r="23">
      <c r="A23" s="8" t="inlineStr">
        <is>
          <t>Financial Statements</t>
        </is>
      </c>
      <c r="B23" s="8" t="inlineStr">
        <is>
          <t>D74</t>
        </is>
      </c>
      <c r="C23" s="8" t="inlineStr">
        <is>
          <t>11b. Gross income from other sources</t>
        </is>
      </c>
      <c r="D23" s="8" t="inlineStr">
        <is>
          <t>11b</t>
        </is>
      </c>
      <c r="E23" s="8" t="inlineStr">
        <is>
          <t>part_v_other_irs_filings.other_sources_gross_income</t>
        </is>
      </c>
      <c r="F23" s="8" t="inlineStr">
        <is>
          <t>high</t>
        </is>
      </c>
      <c r="G23" s="9" t="n">
        <v>0</v>
      </c>
    </row>
    <row r="24">
      <c r="A24" s="8" t="inlineStr">
        <is>
          <t>Financial Statements</t>
        </is>
      </c>
      <c r="B24" s="8" t="inlineStr">
        <is>
          <t>E74</t>
        </is>
      </c>
      <c r="C24" s="8" t="inlineStr">
        <is>
          <t>11b. Gross income from other sources</t>
        </is>
      </c>
      <c r="D24" s="8" t="inlineStr">
        <is>
          <t>11b</t>
        </is>
      </c>
      <c r="E24" s="8" t="inlineStr">
        <is>
          <t>part_v_other_irs_filings.other_sources_gross_income</t>
        </is>
      </c>
      <c r="F24" s="8" t="inlineStr">
        <is>
          <t>high</t>
        </is>
      </c>
      <c r="G24" s="9" t="n">
        <v>0</v>
      </c>
    </row>
    <row r="25">
      <c r="A25" s="8" t="inlineStr">
        <is>
          <t>Financial Statements</t>
        </is>
      </c>
      <c r="B25" s="8" t="inlineStr">
        <is>
          <t>F74</t>
        </is>
      </c>
      <c r="C25" s="8" t="inlineStr">
        <is>
          <t>11b. Gross income from other sources</t>
        </is>
      </c>
      <c r="D25" s="8" t="inlineStr">
        <is>
          <t>11b</t>
        </is>
      </c>
      <c r="E25" s="8" t="inlineStr">
        <is>
          <t>part_v_other_irs_filings.other_sources_gross_income</t>
        </is>
      </c>
      <c r="F25" s="8" t="inlineStr">
        <is>
          <t>high</t>
        </is>
      </c>
      <c r="G25" s="9" t="n">
        <v>0</v>
      </c>
    </row>
    <row r="26">
      <c r="A26" s="8" t="inlineStr">
        <is>
          <t>Revenue (detail)</t>
        </is>
      </c>
      <c r="B26" s="8" t="inlineStr">
        <is>
          <t>B7</t>
        </is>
      </c>
      <c r="C26" s="8" t="inlineStr">
        <is>
          <t>1h. Total contributions, gifts, grants</t>
        </is>
      </c>
      <c r="D26" s="8" t="inlineStr">
        <is>
          <t>1h</t>
        </is>
      </c>
      <c r="E26" s="8" t="inlineStr">
        <is>
          <t>part_viii_revenue.total_contributions</t>
        </is>
      </c>
      <c r="F26" s="8" t="inlineStr">
        <is>
          <t>high</t>
        </is>
      </c>
      <c r="G26" s="9" t="n">
        <v>0</v>
      </c>
    </row>
    <row r="27">
      <c r="A27" s="8" t="inlineStr">
        <is>
          <t>Revenue (detail)</t>
        </is>
      </c>
      <c r="B27" s="8" t="inlineStr">
        <is>
          <t>C7</t>
        </is>
      </c>
      <c r="C27" s="8" t="inlineStr">
        <is>
          <t>1h. Total contributions, gifts, grants</t>
        </is>
      </c>
      <c r="D27" s="8" t="inlineStr">
        <is>
          <t>1h</t>
        </is>
      </c>
      <c r="E27" s="8" t="inlineStr">
        <is>
          <t>part_viii_revenue.total_contributions</t>
        </is>
      </c>
      <c r="F27" s="8" t="inlineStr">
        <is>
          <t>high</t>
        </is>
      </c>
      <c r="G27" s="9" t="n">
        <v>0</v>
      </c>
    </row>
    <row r="28">
      <c r="A28" s="8" t="inlineStr">
        <is>
          <t>Revenue (detail)</t>
        </is>
      </c>
      <c r="B28" s="8" t="inlineStr">
        <is>
          <t>B8</t>
        </is>
      </c>
      <c r="C28" s="8" t="inlineStr">
        <is>
          <t>2g. Total program service revenue</t>
        </is>
      </c>
      <c r="D28" s="8" t="inlineStr">
        <is>
          <t>2g</t>
        </is>
      </c>
      <c r="E28" s="8" t="inlineStr">
        <is>
          <t>part_viii_revenue.total_program_service_revenue</t>
        </is>
      </c>
      <c r="F28" s="8" t="inlineStr">
        <is>
          <t>high</t>
        </is>
      </c>
      <c r="G28" s="9" t="n">
        <v>525506</v>
      </c>
    </row>
    <row r="29">
      <c r="A29" s="8" t="inlineStr">
        <is>
          <t>Revenue (detail)</t>
        </is>
      </c>
      <c r="B29" s="8" t="inlineStr">
        <is>
          <t>C8</t>
        </is>
      </c>
      <c r="C29" s="8" t="inlineStr">
        <is>
          <t>2g. Total program service revenue</t>
        </is>
      </c>
      <c r="D29" s="8" t="inlineStr">
        <is>
          <t>2g</t>
        </is>
      </c>
      <c r="E29" s="8" t="inlineStr">
        <is>
          <t>part_viii_revenue.total_program_service_revenue</t>
        </is>
      </c>
      <c r="F29" s="8" t="inlineStr">
        <is>
          <t>high</t>
        </is>
      </c>
      <c r="G29" s="9" t="n">
        <v>591208</v>
      </c>
    </row>
    <row r="30">
      <c r="A30" s="8" t="inlineStr">
        <is>
          <t>Revenue (detail)</t>
        </is>
      </c>
      <c r="B30" s="8" t="inlineStr">
        <is>
          <t>D8</t>
        </is>
      </c>
      <c r="C30" s="8" t="inlineStr">
        <is>
          <t>2g. Total program service revenue</t>
        </is>
      </c>
      <c r="D30" s="8" t="inlineStr">
        <is>
          <t>2g</t>
        </is>
      </c>
      <c r="E30" s="8" t="inlineStr">
        <is>
          <t>part_viii_revenue.total_program_service_revenue</t>
        </is>
      </c>
      <c r="F30" s="8" t="inlineStr">
        <is>
          <t>high</t>
        </is>
      </c>
      <c r="G30" s="9" t="n">
        <v>611163</v>
      </c>
    </row>
    <row r="31">
      <c r="A31" s="8" t="inlineStr">
        <is>
          <t>Revenue (detail)</t>
        </is>
      </c>
      <c r="B31" s="8" t="inlineStr">
        <is>
          <t>E8</t>
        </is>
      </c>
      <c r="C31" s="8" t="inlineStr">
        <is>
          <t>2g. Total program service revenue</t>
        </is>
      </c>
      <c r="D31" s="8" t="inlineStr">
        <is>
          <t>2g</t>
        </is>
      </c>
      <c r="E31" s="8" t="inlineStr">
        <is>
          <t>part_viii_revenue.total_program_service_revenue</t>
        </is>
      </c>
      <c r="F31" s="8" t="inlineStr">
        <is>
          <t>high</t>
        </is>
      </c>
      <c r="G31" s="9" t="n">
        <v>456103</v>
      </c>
    </row>
    <row r="32">
      <c r="A32" s="8" t="inlineStr">
        <is>
          <t>Revenue (detail)</t>
        </is>
      </c>
      <c r="B32" s="8" t="inlineStr">
        <is>
          <t>F8</t>
        </is>
      </c>
      <c r="C32" s="8" t="inlineStr">
        <is>
          <t>2g. Total program service revenue</t>
        </is>
      </c>
      <c r="D32" s="8" t="inlineStr">
        <is>
          <t>2g</t>
        </is>
      </c>
      <c r="E32" s="8" t="inlineStr">
        <is>
          <t>part_viii_revenue.total_program_service_revenue</t>
        </is>
      </c>
      <c r="F32" s="8" t="inlineStr">
        <is>
          <t>high</t>
        </is>
      </c>
      <c r="G32" s="9" t="n">
        <v>695774</v>
      </c>
    </row>
    <row r="33">
      <c r="A33" s="8" t="inlineStr">
        <is>
          <t>Revenue (detail)</t>
        </is>
      </c>
      <c r="B33" s="8" t="inlineStr">
        <is>
          <t>B9</t>
        </is>
      </c>
      <c r="C33" s="8" t="inlineStr">
        <is>
          <t>3. Investment income</t>
        </is>
      </c>
      <c r="D33" s="8" t="inlineStr">
        <is>
          <t>3</t>
        </is>
      </c>
      <c r="E33" s="8" t="inlineStr">
        <is>
          <t>part_viii_revenue.investment_income</t>
        </is>
      </c>
      <c r="F33" s="8" t="inlineStr">
        <is>
          <t>high</t>
        </is>
      </c>
      <c r="G33" s="9" t="n">
        <v>2273</v>
      </c>
    </row>
    <row r="34">
      <c r="A34" s="8" t="inlineStr">
        <is>
          <t>Revenue (detail)</t>
        </is>
      </c>
      <c r="B34" s="8" t="inlineStr">
        <is>
          <t>C9</t>
        </is>
      </c>
      <c r="C34" s="8" t="inlineStr">
        <is>
          <t>3. Investment income</t>
        </is>
      </c>
      <c r="D34" s="8" t="inlineStr">
        <is>
          <t>3</t>
        </is>
      </c>
      <c r="E34" s="8" t="inlineStr">
        <is>
          <t>part_viii_revenue.investment_income</t>
        </is>
      </c>
      <c r="F34" s="8" t="inlineStr">
        <is>
          <t>high</t>
        </is>
      </c>
      <c r="G34" s="9" t="n">
        <v>58</v>
      </c>
    </row>
    <row r="35">
      <c r="A35" s="8" t="inlineStr">
        <is>
          <t>Revenue (detail)</t>
        </is>
      </c>
      <c r="B35" s="8" t="inlineStr">
        <is>
          <t>D9</t>
        </is>
      </c>
      <c r="C35" s="8" t="inlineStr">
        <is>
          <t>3. Investment income</t>
        </is>
      </c>
      <c r="D35" s="8" t="inlineStr">
        <is>
          <t>3</t>
        </is>
      </c>
      <c r="E35" s="8" t="inlineStr">
        <is>
          <t>part_viii_revenue.investment_income</t>
        </is>
      </c>
      <c r="F35" s="8" t="inlineStr">
        <is>
          <t>high</t>
        </is>
      </c>
      <c r="G35" s="9" t="n">
        <v>7577</v>
      </c>
    </row>
    <row r="36">
      <c r="A36" s="8" t="inlineStr">
        <is>
          <t>Revenue (detail)</t>
        </is>
      </c>
      <c r="B36" s="8" t="inlineStr">
        <is>
          <t>E9</t>
        </is>
      </c>
      <c r="C36" s="8" t="inlineStr">
        <is>
          <t>3. Investment income</t>
        </is>
      </c>
      <c r="D36" s="8" t="inlineStr">
        <is>
          <t>3</t>
        </is>
      </c>
      <c r="E36" s="8" t="inlineStr">
        <is>
          <t>part_viii_revenue.investment_income</t>
        </is>
      </c>
      <c r="F36" s="8" t="inlineStr">
        <is>
          <t>high</t>
        </is>
      </c>
      <c r="G36" s="9" t="n">
        <v>36159</v>
      </c>
    </row>
    <row r="37">
      <c r="A37" s="8" t="inlineStr">
        <is>
          <t>Revenue (detail)</t>
        </is>
      </c>
      <c r="B37" s="8" t="inlineStr">
        <is>
          <t>F9</t>
        </is>
      </c>
      <c r="C37" s="8" t="inlineStr">
        <is>
          <t>3. Investment income</t>
        </is>
      </c>
      <c r="D37" s="8" t="inlineStr">
        <is>
          <t>3</t>
        </is>
      </c>
      <c r="E37" s="8" t="inlineStr">
        <is>
          <t>part_viii_revenue.investment_income</t>
        </is>
      </c>
      <c r="F37" s="8" t="inlineStr">
        <is>
          <t>high</t>
        </is>
      </c>
      <c r="G37" s="9" t="n">
        <v>33901</v>
      </c>
    </row>
    <row r="38">
      <c r="A38" s="8" t="inlineStr">
        <is>
          <t>Revenue (detail)</t>
        </is>
      </c>
      <c r="B38" s="8" t="inlineStr">
        <is>
          <t>B10</t>
        </is>
      </c>
      <c r="C38" s="8" t="inlineStr">
        <is>
          <t>6d. Net rental income</t>
        </is>
      </c>
      <c r="D38" s="8" t="inlineStr">
        <is>
          <t>6d</t>
        </is>
      </c>
      <c r="E38" s="8" t="inlineStr">
        <is>
          <t>part_viii_revenue.net_rental_income</t>
        </is>
      </c>
      <c r="F38" s="8" t="inlineStr">
        <is>
          <t>high</t>
        </is>
      </c>
      <c r="G38" s="9" t="n">
        <v>0</v>
      </c>
    </row>
    <row r="39">
      <c r="A39" s="8" t="inlineStr">
        <is>
          <t>Revenue (detail)</t>
        </is>
      </c>
      <c r="B39" s="8" t="inlineStr">
        <is>
          <t>C10</t>
        </is>
      </c>
      <c r="C39" s="8" t="inlineStr">
        <is>
          <t>6d. Net rental income</t>
        </is>
      </c>
      <c r="D39" s="8" t="inlineStr">
        <is>
          <t>6d</t>
        </is>
      </c>
      <c r="E39" s="8" t="inlineStr">
        <is>
          <t>part_viii_revenue.net_rental_income</t>
        </is>
      </c>
      <c r="F39" s="8" t="inlineStr">
        <is>
          <t>high</t>
        </is>
      </c>
      <c r="G39" s="9" t="n">
        <v>0</v>
      </c>
    </row>
    <row r="40">
      <c r="A40" s="8" t="inlineStr">
        <is>
          <t>Revenue (detail)</t>
        </is>
      </c>
      <c r="B40" s="8" t="inlineStr">
        <is>
          <t>B11</t>
        </is>
      </c>
      <c r="C40" s="8" t="inlineStr">
        <is>
          <t>7d. Net gain/(loss) from investment sales</t>
        </is>
      </c>
      <c r="D40" s="8" t="inlineStr">
        <is>
          <t>7d</t>
        </is>
      </c>
      <c r="E40" s="8" t="inlineStr">
        <is>
          <t>part_viii_revenue.net_gain_or_loss_investments</t>
        </is>
      </c>
      <c r="F40" s="8" t="inlineStr">
        <is>
          <t>high</t>
        </is>
      </c>
      <c r="G40" s="9" t="n">
        <v>0</v>
      </c>
    </row>
    <row r="41">
      <c r="A41" s="8" t="inlineStr">
        <is>
          <t>Revenue (detail)</t>
        </is>
      </c>
      <c r="B41" s="8" t="inlineStr">
        <is>
          <t>C11</t>
        </is>
      </c>
      <c r="C41" s="8" t="inlineStr">
        <is>
          <t>7d. Net gain/(loss) from investment sales</t>
        </is>
      </c>
      <c r="D41" s="8" t="inlineStr">
        <is>
          <t>7d</t>
        </is>
      </c>
      <c r="E41" s="8" t="inlineStr">
        <is>
          <t>part_viii_revenue.net_gain_or_loss_investments</t>
        </is>
      </c>
      <c r="F41" s="8" t="inlineStr">
        <is>
          <t>high</t>
        </is>
      </c>
      <c r="G41" s="9" t="n">
        <v>0</v>
      </c>
    </row>
    <row r="42">
      <c r="A42" s="8" t="inlineStr">
        <is>
          <t>Revenue (detail)</t>
        </is>
      </c>
      <c r="B42" s="8" t="inlineStr">
        <is>
          <t>B12</t>
        </is>
      </c>
      <c r="C42" s="8" t="inlineStr">
        <is>
          <t>11e. Other revenue</t>
        </is>
      </c>
      <c r="D42" s="8" t="inlineStr">
        <is>
          <t>11e</t>
        </is>
      </c>
      <c r="E42" s="8" t="inlineStr">
        <is>
          <t>part_viii_revenue.other_revenue_total</t>
        </is>
      </c>
      <c r="F42" s="8" t="inlineStr">
        <is>
          <t>high</t>
        </is>
      </c>
      <c r="G42" s="9" t="n">
        <v>0</v>
      </c>
    </row>
    <row r="43">
      <c r="A43" s="8" t="inlineStr">
        <is>
          <t>Revenue (detail)</t>
        </is>
      </c>
      <c r="B43" s="8" t="inlineStr">
        <is>
          <t>C12</t>
        </is>
      </c>
      <c r="C43" s="8" t="inlineStr">
        <is>
          <t>11e. Other revenue</t>
        </is>
      </c>
      <c r="D43" s="8" t="inlineStr">
        <is>
          <t>11e</t>
        </is>
      </c>
      <c r="E43" s="8" t="inlineStr">
        <is>
          <t>part_viii_revenue.other_revenue_total</t>
        </is>
      </c>
      <c r="F43" s="8" t="inlineStr">
        <is>
          <t>high</t>
        </is>
      </c>
      <c r="G43" s="9" t="n">
        <v>0</v>
      </c>
    </row>
    <row r="44">
      <c r="A44" s="8" t="inlineStr">
        <is>
          <t>Operating expenses (detail)</t>
        </is>
      </c>
      <c r="B44" s="8" t="inlineStr">
        <is>
          <t>B7</t>
        </is>
      </c>
      <c r="C44" s="8" t="inlineStr">
        <is>
          <t>1. Grants to domestic organizations and governments</t>
        </is>
      </c>
      <c r="D44" s="8" t="inlineStr">
        <is>
          <t>1</t>
        </is>
      </c>
      <c r="E44" s="8" t="inlineStr">
        <is>
          <t>part_ix_expenses.grants_domestic_orgs</t>
        </is>
      </c>
      <c r="F44" s="8" t="inlineStr">
        <is>
          <t>high</t>
        </is>
      </c>
      <c r="G44" s="9" t="n">
        <v>0</v>
      </c>
    </row>
    <row r="45">
      <c r="A45" s="8" t="inlineStr">
        <is>
          <t>Operating expenses (detail)</t>
        </is>
      </c>
      <c r="B45" s="8" t="inlineStr">
        <is>
          <t>C7</t>
        </is>
      </c>
      <c r="C45" s="8" t="inlineStr">
        <is>
          <t>1. Grants to domestic organizations and governments</t>
        </is>
      </c>
      <c r="D45" s="8" t="inlineStr">
        <is>
          <t>1</t>
        </is>
      </c>
      <c r="E45" s="8" t="inlineStr">
        <is>
          <t>part_ix_expenses.grants_domestic_orgs</t>
        </is>
      </c>
      <c r="F45" s="8" t="inlineStr">
        <is>
          <t>high</t>
        </is>
      </c>
      <c r="G45" s="9" t="n">
        <v>0</v>
      </c>
    </row>
    <row r="46">
      <c r="A46" s="8" t="inlineStr">
        <is>
          <t>Operating expenses (detail)</t>
        </is>
      </c>
      <c r="B46" s="8" t="inlineStr">
        <is>
          <t>B8</t>
        </is>
      </c>
      <c r="C46" s="8" t="inlineStr">
        <is>
          <t>2. Grants to domestic individuals</t>
        </is>
      </c>
      <c r="D46" s="8" t="inlineStr">
        <is>
          <t>2</t>
        </is>
      </c>
      <c r="E46" s="8" t="inlineStr">
        <is>
          <t>part_ix_expenses.grants_domestic_individuals</t>
        </is>
      </c>
      <c r="F46" s="8" t="inlineStr">
        <is>
          <t>high</t>
        </is>
      </c>
      <c r="G46" s="9" t="n">
        <v>0</v>
      </c>
    </row>
    <row r="47">
      <c r="A47" s="8" t="inlineStr">
        <is>
          <t>Operating expenses (detail)</t>
        </is>
      </c>
      <c r="B47" s="8" t="inlineStr">
        <is>
          <t>C8</t>
        </is>
      </c>
      <c r="C47" s="8" t="inlineStr">
        <is>
          <t>2. Grants to domestic individuals</t>
        </is>
      </c>
      <c r="D47" s="8" t="inlineStr">
        <is>
          <t>2</t>
        </is>
      </c>
      <c r="E47" s="8" t="inlineStr">
        <is>
          <t>part_ix_expenses.grants_domestic_individuals</t>
        </is>
      </c>
      <c r="F47" s="8" t="inlineStr">
        <is>
          <t>high</t>
        </is>
      </c>
      <c r="G47" s="9" t="n">
        <v>0</v>
      </c>
    </row>
    <row r="48">
      <c r="A48" s="8" t="inlineStr">
        <is>
          <t>Operating expenses (detail)</t>
        </is>
      </c>
      <c r="B48" s="8" t="inlineStr">
        <is>
          <t>B9</t>
        </is>
      </c>
      <c r="C48" s="8" t="inlineStr">
        <is>
          <t>3. Grants to foreign organizations and individuals</t>
        </is>
      </c>
      <c r="D48" s="8" t="inlineStr">
        <is>
          <t>3</t>
        </is>
      </c>
      <c r="E48" s="8" t="inlineStr">
        <is>
          <t>part_ix_expenses.foreign_grants</t>
        </is>
      </c>
      <c r="F48" s="8" t="inlineStr">
        <is>
          <t>high</t>
        </is>
      </c>
      <c r="G48" s="9" t="n">
        <v>0</v>
      </c>
    </row>
    <row r="49">
      <c r="A49" s="8" t="inlineStr">
        <is>
          <t>Operating expenses (detail)</t>
        </is>
      </c>
      <c r="B49" s="8" t="inlineStr">
        <is>
          <t>C9</t>
        </is>
      </c>
      <c r="C49" s="8" t="inlineStr">
        <is>
          <t>3. Grants to foreign organizations and individuals</t>
        </is>
      </c>
      <c r="D49" s="8" t="inlineStr">
        <is>
          <t>3</t>
        </is>
      </c>
      <c r="E49" s="8" t="inlineStr">
        <is>
          <t>part_ix_expenses.foreign_grants</t>
        </is>
      </c>
      <c r="F49" s="8" t="inlineStr">
        <is>
          <t>high</t>
        </is>
      </c>
      <c r="G49" s="9" t="n">
        <v>0</v>
      </c>
    </row>
    <row r="50">
      <c r="A50" s="8" t="inlineStr">
        <is>
          <t>Operating expenses (detail)</t>
        </is>
      </c>
      <c r="B50" s="8" t="inlineStr">
        <is>
          <t>B10</t>
        </is>
      </c>
      <c r="C50" s="8" t="inlineStr">
        <is>
          <t>4. Benefits paid to or for members</t>
        </is>
      </c>
      <c r="D50" s="8" t="inlineStr">
        <is>
          <t>4</t>
        </is>
      </c>
      <c r="E50" s="8" t="inlineStr">
        <is>
          <t>part_ix_expenses.benefits_to_members</t>
        </is>
      </c>
      <c r="F50" s="8" t="inlineStr">
        <is>
          <t>high</t>
        </is>
      </c>
      <c r="G50" s="9" t="n">
        <v>0</v>
      </c>
    </row>
    <row r="51">
      <c r="A51" s="8" t="inlineStr">
        <is>
          <t>Operating expenses (detail)</t>
        </is>
      </c>
      <c r="B51" s="8" t="inlineStr">
        <is>
          <t>C10</t>
        </is>
      </c>
      <c r="C51" s="8" t="inlineStr">
        <is>
          <t>4. Benefits paid to or for members</t>
        </is>
      </c>
      <c r="D51" s="8" t="inlineStr">
        <is>
          <t>4</t>
        </is>
      </c>
      <c r="E51" s="8" t="inlineStr">
        <is>
          <t>part_ix_expenses.benefits_to_members</t>
        </is>
      </c>
      <c r="F51" s="8" t="inlineStr">
        <is>
          <t>high</t>
        </is>
      </c>
      <c r="G51" s="9" t="n">
        <v>0</v>
      </c>
    </row>
    <row r="52">
      <c r="A52" s="8" t="inlineStr">
        <is>
          <t>Operating expenses (detail)</t>
        </is>
      </c>
      <c r="B52" s="8" t="inlineStr">
        <is>
          <t>B11</t>
        </is>
      </c>
      <c r="C52" s="8" t="inlineStr">
        <is>
          <t>5. Compensation of current officers, directors, trustees</t>
        </is>
      </c>
      <c r="D52" s="8" t="inlineStr">
        <is>
          <t>5</t>
        </is>
      </c>
      <c r="E52" s="8" t="inlineStr">
        <is>
          <t>part_ix_expenses.comp_current_officers</t>
        </is>
      </c>
      <c r="F52" s="8" t="inlineStr">
        <is>
          <t>high</t>
        </is>
      </c>
      <c r="G52" s="9" t="n">
        <v>0</v>
      </c>
    </row>
    <row r="53">
      <c r="A53" s="8" t="inlineStr">
        <is>
          <t>Operating expenses (detail)</t>
        </is>
      </c>
      <c r="B53" s="8" t="inlineStr">
        <is>
          <t>C11</t>
        </is>
      </c>
      <c r="C53" s="8" t="inlineStr">
        <is>
          <t>5. Compensation of current officers, directors, trustees</t>
        </is>
      </c>
      <c r="D53" s="8" t="inlineStr">
        <is>
          <t>5</t>
        </is>
      </c>
      <c r="E53" s="8" t="inlineStr">
        <is>
          <t>part_ix_expenses.comp_current_officers</t>
        </is>
      </c>
      <c r="F53" s="8" t="inlineStr">
        <is>
          <t>high</t>
        </is>
      </c>
      <c r="G53" s="9" t="n">
        <v>0</v>
      </c>
    </row>
    <row r="54">
      <c r="A54" s="8" t="inlineStr">
        <is>
          <t>Operating expenses (detail)</t>
        </is>
      </c>
      <c r="B54" s="8" t="inlineStr">
        <is>
          <t>B12</t>
        </is>
      </c>
      <c r="C54" s="8" t="inlineStr">
        <is>
          <t>6. Compensation to disqualified persons</t>
        </is>
      </c>
      <c r="D54" s="8" t="inlineStr">
        <is>
          <t>6</t>
        </is>
      </c>
      <c r="E54" s="8" t="inlineStr">
        <is>
          <t>part_ix_expenses.comp_disqualified_persons</t>
        </is>
      </c>
      <c r="F54" s="8" t="inlineStr">
        <is>
          <t>high</t>
        </is>
      </c>
      <c r="G54" s="9" t="n">
        <v>0</v>
      </c>
    </row>
    <row r="55">
      <c r="A55" s="8" t="inlineStr">
        <is>
          <t>Operating expenses (detail)</t>
        </is>
      </c>
      <c r="B55" s="8" t="inlineStr">
        <is>
          <t>C12</t>
        </is>
      </c>
      <c r="C55" s="8" t="inlineStr">
        <is>
          <t>6. Compensation to disqualified persons</t>
        </is>
      </c>
      <c r="D55" s="8" t="inlineStr">
        <is>
          <t>6</t>
        </is>
      </c>
      <c r="E55" s="8" t="inlineStr">
        <is>
          <t>part_ix_expenses.comp_disqualified_persons</t>
        </is>
      </c>
      <c r="F55" s="8" t="inlineStr">
        <is>
          <t>high</t>
        </is>
      </c>
      <c r="G55" s="9" t="n">
        <v>0</v>
      </c>
    </row>
    <row r="56">
      <c r="A56" s="8" t="inlineStr">
        <is>
          <t>Operating expenses (detail)</t>
        </is>
      </c>
      <c r="B56" s="8" t="inlineStr">
        <is>
          <t>B13</t>
        </is>
      </c>
      <c r="C56" s="8" t="inlineStr">
        <is>
          <t>7. Other salaries and wages</t>
        </is>
      </c>
      <c r="D56" s="8" t="inlineStr">
        <is>
          <t>7</t>
        </is>
      </c>
      <c r="E56" s="8" t="inlineStr">
        <is>
          <t>part_ix_expenses.other_salaries_and_wages</t>
        </is>
      </c>
      <c r="F56" s="8" t="inlineStr">
        <is>
          <t>high</t>
        </is>
      </c>
      <c r="G56" s="9" t="n">
        <v>0</v>
      </c>
    </row>
    <row r="57">
      <c r="A57" s="8" t="inlineStr">
        <is>
          <t>Operating expenses (detail)</t>
        </is>
      </c>
      <c r="B57" s="8" t="inlineStr">
        <is>
          <t>C13</t>
        </is>
      </c>
      <c r="C57" s="8" t="inlineStr">
        <is>
          <t>7. Other salaries and wages</t>
        </is>
      </c>
      <c r="D57" s="8" t="inlineStr">
        <is>
          <t>7</t>
        </is>
      </c>
      <c r="E57" s="8" t="inlineStr">
        <is>
          <t>part_ix_expenses.other_salaries_and_wages</t>
        </is>
      </c>
      <c r="F57" s="8" t="inlineStr">
        <is>
          <t>high</t>
        </is>
      </c>
      <c r="G57" s="9" t="n">
        <v>0</v>
      </c>
    </row>
    <row r="58">
      <c r="A58" s="8" t="inlineStr">
        <is>
          <t>Operating expenses (detail)</t>
        </is>
      </c>
      <c r="B58" s="8" t="inlineStr">
        <is>
          <t>B14</t>
        </is>
      </c>
      <c r="C58" s="8" t="inlineStr">
        <is>
          <t>8. Pension plan accruals and contributions</t>
        </is>
      </c>
      <c r="D58" s="8" t="inlineStr">
        <is>
          <t>8</t>
        </is>
      </c>
      <c r="E58" s="8" t="inlineStr">
        <is>
          <t>part_ix_expenses.pension_plan_contributions</t>
        </is>
      </c>
      <c r="F58" s="8" t="inlineStr">
        <is>
          <t>high</t>
        </is>
      </c>
      <c r="G58" s="9" t="n">
        <v>0</v>
      </c>
    </row>
    <row r="59">
      <c r="A59" s="8" t="inlineStr">
        <is>
          <t>Operating expenses (detail)</t>
        </is>
      </c>
      <c r="B59" s="8" t="inlineStr">
        <is>
          <t>C14</t>
        </is>
      </c>
      <c r="C59" s="8" t="inlineStr">
        <is>
          <t>8. Pension plan accruals and contributions</t>
        </is>
      </c>
      <c r="D59" s="8" t="inlineStr">
        <is>
          <t>8</t>
        </is>
      </c>
      <c r="E59" s="8" t="inlineStr">
        <is>
          <t>part_ix_expenses.pension_plan_contributions</t>
        </is>
      </c>
      <c r="F59" s="8" t="inlineStr">
        <is>
          <t>high</t>
        </is>
      </c>
      <c r="G59" s="9" t="n">
        <v>0</v>
      </c>
    </row>
    <row r="60">
      <c r="A60" s="8" t="inlineStr">
        <is>
          <t>Operating expenses (detail)</t>
        </is>
      </c>
      <c r="B60" s="8" t="inlineStr">
        <is>
          <t>B15</t>
        </is>
      </c>
      <c r="C60" s="8" t="inlineStr">
        <is>
          <t>9. Other employee benefits</t>
        </is>
      </c>
      <c r="D60" s="8" t="inlineStr">
        <is>
          <t>9</t>
        </is>
      </c>
      <c r="E60" s="8" t="inlineStr">
        <is>
          <t>part_ix_expenses.other_employee_benefits</t>
        </is>
      </c>
      <c r="F60" s="8" t="inlineStr">
        <is>
          <t>high</t>
        </is>
      </c>
      <c r="G60" s="9" t="n">
        <v>0</v>
      </c>
    </row>
    <row r="61">
      <c r="A61" s="8" t="inlineStr">
        <is>
          <t>Operating expenses (detail)</t>
        </is>
      </c>
      <c r="B61" s="8" t="inlineStr">
        <is>
          <t>C15</t>
        </is>
      </c>
      <c r="C61" s="8" t="inlineStr">
        <is>
          <t>9. Other employee benefits</t>
        </is>
      </c>
      <c r="D61" s="8" t="inlineStr">
        <is>
          <t>9</t>
        </is>
      </c>
      <c r="E61" s="8" t="inlineStr">
        <is>
          <t>part_ix_expenses.other_employee_benefits</t>
        </is>
      </c>
      <c r="F61" s="8" t="inlineStr">
        <is>
          <t>high</t>
        </is>
      </c>
      <c r="G61" s="9" t="n">
        <v>0</v>
      </c>
    </row>
    <row r="62">
      <c r="A62" s="8" t="inlineStr">
        <is>
          <t>Operating expenses (detail)</t>
        </is>
      </c>
      <c r="B62" s="8" t="inlineStr">
        <is>
          <t>B16</t>
        </is>
      </c>
      <c r="C62" s="8" t="inlineStr">
        <is>
          <t>10. Payroll taxes</t>
        </is>
      </c>
      <c r="D62" s="8" t="inlineStr">
        <is>
          <t>10</t>
        </is>
      </c>
      <c r="E62" s="8" t="inlineStr">
        <is>
          <t>part_ix_expenses.payroll_taxes</t>
        </is>
      </c>
      <c r="F62" s="8" t="inlineStr">
        <is>
          <t>high</t>
        </is>
      </c>
      <c r="G62" s="9" t="n">
        <v>0</v>
      </c>
    </row>
    <row r="63">
      <c r="A63" s="8" t="inlineStr">
        <is>
          <t>Operating expenses (detail)</t>
        </is>
      </c>
      <c r="B63" s="8" t="inlineStr">
        <is>
          <t>C16</t>
        </is>
      </c>
      <c r="C63" s="8" t="inlineStr">
        <is>
          <t>10. Payroll taxes</t>
        </is>
      </c>
      <c r="D63" s="8" t="inlineStr">
        <is>
          <t>10</t>
        </is>
      </c>
      <c r="E63" s="8" t="inlineStr">
        <is>
          <t>part_ix_expenses.payroll_taxes</t>
        </is>
      </c>
      <c r="F63" s="8" t="inlineStr">
        <is>
          <t>high</t>
        </is>
      </c>
      <c r="G63" s="9" t="n">
        <v>0</v>
      </c>
    </row>
    <row r="64">
      <c r="A64" s="8" t="inlineStr">
        <is>
          <t>Operating expenses (detail)</t>
        </is>
      </c>
      <c r="B64" s="8" t="inlineStr">
        <is>
          <t>B17</t>
        </is>
      </c>
      <c r="C64" s="8" t="inlineStr">
        <is>
          <t>11a. Fees for services: management</t>
        </is>
      </c>
      <c r="D64" s="8" t="inlineStr">
        <is>
          <t>11a</t>
        </is>
      </c>
      <c r="E64" s="8" t="inlineStr">
        <is>
          <t>part_ix_expenses.fees_management</t>
        </is>
      </c>
      <c r="F64" s="8" t="inlineStr">
        <is>
          <t>high</t>
        </is>
      </c>
      <c r="G64" s="9" t="n">
        <v>59434</v>
      </c>
    </row>
    <row r="65">
      <c r="A65" s="8" t="inlineStr">
        <is>
          <t>Operating expenses (detail)</t>
        </is>
      </c>
      <c r="B65" s="8" t="inlineStr">
        <is>
          <t>C17</t>
        </is>
      </c>
      <c r="C65" s="8" t="inlineStr">
        <is>
          <t>11a. Fees for services: management</t>
        </is>
      </c>
      <c r="D65" s="8" t="inlineStr">
        <is>
          <t>11a</t>
        </is>
      </c>
      <c r="E65" s="8" t="inlineStr">
        <is>
          <t>part_ix_expenses.fees_management</t>
        </is>
      </c>
      <c r="F65" s="8" t="inlineStr">
        <is>
          <t>high</t>
        </is>
      </c>
      <c r="G65" s="9" t="n">
        <v>62192</v>
      </c>
    </row>
    <row r="66">
      <c r="A66" s="8" t="inlineStr">
        <is>
          <t>Operating expenses (detail)</t>
        </is>
      </c>
      <c r="B66" s="8" t="inlineStr">
        <is>
          <t>B18</t>
        </is>
      </c>
      <c r="C66" s="8" t="inlineStr">
        <is>
          <t>11b. Fees for services: legal</t>
        </is>
      </c>
      <c r="D66" s="8" t="inlineStr">
        <is>
          <t>11b</t>
        </is>
      </c>
      <c r="E66" s="8" t="inlineStr">
        <is>
          <t>part_ix_expenses.fees_legal</t>
        </is>
      </c>
      <c r="F66" s="8" t="inlineStr">
        <is>
          <t>high</t>
        </is>
      </c>
      <c r="G66" s="9" t="n">
        <v>159</v>
      </c>
    </row>
    <row r="67">
      <c r="A67" s="8" t="inlineStr">
        <is>
          <t>Operating expenses (detail)</t>
        </is>
      </c>
      <c r="B67" s="8" t="inlineStr">
        <is>
          <t>C18</t>
        </is>
      </c>
      <c r="C67" s="8" t="inlineStr">
        <is>
          <t>11b. Fees for services: legal</t>
        </is>
      </c>
      <c r="D67" s="8" t="inlineStr">
        <is>
          <t>11b</t>
        </is>
      </c>
      <c r="E67" s="8" t="inlineStr">
        <is>
          <t>part_ix_expenses.fees_legal</t>
        </is>
      </c>
      <c r="F67" s="8" t="inlineStr">
        <is>
          <t>high</t>
        </is>
      </c>
      <c r="G67" s="9" t="n">
        <v>369</v>
      </c>
    </row>
    <row r="68">
      <c r="A68" s="8" t="inlineStr">
        <is>
          <t>Operating expenses (detail)</t>
        </is>
      </c>
      <c r="B68" s="8" t="inlineStr">
        <is>
          <t>E18</t>
        </is>
      </c>
      <c r="C68" s="8" t="inlineStr">
        <is>
          <t>11b. Fees for services: legal</t>
        </is>
      </c>
      <c r="D68" s="8" t="inlineStr">
        <is>
          <t>11b</t>
        </is>
      </c>
      <c r="E68" s="8" t="inlineStr">
        <is>
          <t>part_ix_expenses.fees_legal</t>
        </is>
      </c>
      <c r="F68" s="8" t="inlineStr">
        <is>
          <t>high</t>
        </is>
      </c>
      <c r="G68" s="9" t="n">
        <v>1190</v>
      </c>
    </row>
    <row r="69">
      <c r="A69" s="8" t="inlineStr">
        <is>
          <t>Operating expenses (detail)</t>
        </is>
      </c>
      <c r="B69" s="8" t="inlineStr">
        <is>
          <t>F18</t>
        </is>
      </c>
      <c r="C69" s="8" t="inlineStr">
        <is>
          <t>11b. Fees for services: legal</t>
        </is>
      </c>
      <c r="D69" s="8" t="inlineStr">
        <is>
          <t>11b</t>
        </is>
      </c>
      <c r="E69" s="8" t="inlineStr">
        <is>
          <t>part_ix_expenses.fees_legal</t>
        </is>
      </c>
      <c r="F69" s="8" t="inlineStr">
        <is>
          <t>high</t>
        </is>
      </c>
      <c r="G69" s="9" t="n">
        <v>4723</v>
      </c>
    </row>
    <row r="70">
      <c r="A70" s="8" t="inlineStr">
        <is>
          <t>Operating expenses (detail)</t>
        </is>
      </c>
      <c r="B70" s="8" t="inlineStr">
        <is>
          <t>B19</t>
        </is>
      </c>
      <c r="C70" s="8" t="inlineStr">
        <is>
          <t>11c. Fees for services: accounting</t>
        </is>
      </c>
      <c r="D70" s="8" t="inlineStr">
        <is>
          <t>11c</t>
        </is>
      </c>
      <c r="E70" s="8" t="inlineStr">
        <is>
          <t>part_ix_expenses.fees_accounting</t>
        </is>
      </c>
      <c r="F70" s="8" t="inlineStr">
        <is>
          <t>high</t>
        </is>
      </c>
      <c r="G70" s="9" t="n">
        <v>9850</v>
      </c>
    </row>
    <row r="71">
      <c r="A71" s="8" t="inlineStr">
        <is>
          <t>Operating expenses (detail)</t>
        </is>
      </c>
      <c r="B71" s="8" t="inlineStr">
        <is>
          <t>C19</t>
        </is>
      </c>
      <c r="C71" s="8" t="inlineStr">
        <is>
          <t>11c. Fees for services: accounting</t>
        </is>
      </c>
      <c r="D71" s="8" t="inlineStr">
        <is>
          <t>11c</t>
        </is>
      </c>
      <c r="E71" s="8" t="inlineStr">
        <is>
          <t>part_ix_expenses.fees_accounting</t>
        </is>
      </c>
      <c r="F71" s="8" t="inlineStr">
        <is>
          <t>high</t>
        </is>
      </c>
      <c r="G71" s="9" t="n">
        <v>9242</v>
      </c>
    </row>
    <row r="72">
      <c r="A72" s="8" t="inlineStr">
        <is>
          <t>Operating expenses (detail)</t>
        </is>
      </c>
      <c r="B72" s="8" t="inlineStr">
        <is>
          <t>D19</t>
        </is>
      </c>
      <c r="C72" s="8" t="inlineStr">
        <is>
          <t>11c. Fees for services: accounting</t>
        </is>
      </c>
      <c r="D72" s="8" t="inlineStr">
        <is>
          <t>11c</t>
        </is>
      </c>
      <c r="E72" s="8" t="inlineStr">
        <is>
          <t>part_ix_expenses.fees_accounting</t>
        </is>
      </c>
      <c r="F72" s="8" t="inlineStr">
        <is>
          <t>high</t>
        </is>
      </c>
      <c r="G72" s="9" t="n">
        <v>10950</v>
      </c>
    </row>
    <row r="73">
      <c r="A73" s="8" t="inlineStr">
        <is>
          <t>Operating expenses (detail)</t>
        </is>
      </c>
      <c r="B73" s="8" t="inlineStr">
        <is>
          <t>E19</t>
        </is>
      </c>
      <c r="C73" s="8" t="inlineStr">
        <is>
          <t>11c. Fees for services: accounting</t>
        </is>
      </c>
      <c r="D73" s="8" t="inlineStr">
        <is>
          <t>11c</t>
        </is>
      </c>
      <c r="E73" s="8" t="inlineStr">
        <is>
          <t>part_ix_expenses.fees_accounting</t>
        </is>
      </c>
      <c r="F73" s="8" t="inlineStr">
        <is>
          <t>high</t>
        </is>
      </c>
      <c r="G73" s="9" t="n">
        <v>8065</v>
      </c>
    </row>
    <row r="74">
      <c r="A74" s="8" t="inlineStr">
        <is>
          <t>Operating expenses (detail)</t>
        </is>
      </c>
      <c r="B74" s="8" t="inlineStr">
        <is>
          <t>F19</t>
        </is>
      </c>
      <c r="C74" s="8" t="inlineStr">
        <is>
          <t>11c. Fees for services: accounting</t>
        </is>
      </c>
      <c r="D74" s="8" t="inlineStr">
        <is>
          <t>11c</t>
        </is>
      </c>
      <c r="E74" s="8" t="inlineStr">
        <is>
          <t>part_ix_expenses.fees_accounting</t>
        </is>
      </c>
      <c r="F74" s="8" t="inlineStr">
        <is>
          <t>high</t>
        </is>
      </c>
      <c r="G74" s="9" t="n">
        <v>16107</v>
      </c>
    </row>
    <row r="75">
      <c r="A75" s="8" t="inlineStr">
        <is>
          <t>Operating expenses (detail)</t>
        </is>
      </c>
      <c r="B75" s="8" t="inlineStr">
        <is>
          <t>B20</t>
        </is>
      </c>
      <c r="C75" s="8" t="inlineStr">
        <is>
          <t>11d. Fees for services: lobbying</t>
        </is>
      </c>
      <c r="D75" s="8" t="inlineStr">
        <is>
          <t>11d</t>
        </is>
      </c>
      <c r="E75" s="8" t="inlineStr">
        <is>
          <t>part_ix_expenses.fees_lobbying</t>
        </is>
      </c>
      <c r="F75" s="8" t="inlineStr">
        <is>
          <t>high</t>
        </is>
      </c>
      <c r="G75" s="9" t="n">
        <v>0</v>
      </c>
    </row>
    <row r="76">
      <c r="A76" s="8" t="inlineStr">
        <is>
          <t>Operating expenses (detail)</t>
        </is>
      </c>
      <c r="B76" s="8" t="inlineStr">
        <is>
          <t>C20</t>
        </is>
      </c>
      <c r="C76" s="8" t="inlineStr">
        <is>
          <t>11d. Fees for services: lobbying</t>
        </is>
      </c>
      <c r="D76" s="8" t="inlineStr">
        <is>
          <t>11d</t>
        </is>
      </c>
      <c r="E76" s="8" t="inlineStr">
        <is>
          <t>part_ix_expenses.fees_lobbying</t>
        </is>
      </c>
      <c r="F76" s="8" t="inlineStr">
        <is>
          <t>high</t>
        </is>
      </c>
      <c r="G76" s="9" t="n">
        <v>0</v>
      </c>
    </row>
    <row r="77">
      <c r="A77" s="8" t="inlineStr">
        <is>
          <t>Operating expenses (detail)</t>
        </is>
      </c>
      <c r="B77" s="8" t="inlineStr">
        <is>
          <t>B21</t>
        </is>
      </c>
      <c r="C77" s="8" t="inlineStr">
        <is>
          <t>11e. Fees for services: professional fundraising</t>
        </is>
      </c>
      <c r="D77" s="8" t="inlineStr">
        <is>
          <t>11e</t>
        </is>
      </c>
      <c r="E77" s="8" t="inlineStr">
        <is>
          <t>part_ix_expenses.fees_prof_fundraising</t>
        </is>
      </c>
      <c r="F77" s="8" t="inlineStr">
        <is>
          <t>high</t>
        </is>
      </c>
      <c r="G77" s="9" t="n">
        <v>0</v>
      </c>
    </row>
    <row r="78">
      <c r="A78" s="8" t="inlineStr">
        <is>
          <t>Operating expenses (detail)</t>
        </is>
      </c>
      <c r="B78" s="8" t="inlineStr">
        <is>
          <t>C21</t>
        </is>
      </c>
      <c r="C78" s="8" t="inlineStr">
        <is>
          <t>11e. Fees for services: professional fundraising</t>
        </is>
      </c>
      <c r="D78" s="8" t="inlineStr">
        <is>
          <t>11e</t>
        </is>
      </c>
      <c r="E78" s="8" t="inlineStr">
        <is>
          <t>part_ix_expenses.fees_prof_fundraising</t>
        </is>
      </c>
      <c r="F78" s="8" t="inlineStr">
        <is>
          <t>high</t>
        </is>
      </c>
      <c r="G78" s="9" t="n">
        <v>0</v>
      </c>
    </row>
    <row r="79">
      <c r="A79" s="8" t="inlineStr">
        <is>
          <t>Operating expenses (detail)</t>
        </is>
      </c>
      <c r="B79" s="8" t="inlineStr">
        <is>
          <t>B22</t>
        </is>
      </c>
      <c r="C79" s="8" t="inlineStr">
        <is>
          <t>11f. Fees for services: investment management</t>
        </is>
      </c>
      <c r="D79" s="8" t="inlineStr">
        <is>
          <t>11f</t>
        </is>
      </c>
      <c r="E79" s="8" t="inlineStr">
        <is>
          <t>part_ix_expenses.fees_investment_mgmt</t>
        </is>
      </c>
      <c r="F79" s="8" t="inlineStr">
        <is>
          <t>high</t>
        </is>
      </c>
      <c r="G79" s="9" t="n">
        <v>0</v>
      </c>
    </row>
    <row r="80">
      <c r="A80" s="8" t="inlineStr">
        <is>
          <t>Operating expenses (detail)</t>
        </is>
      </c>
      <c r="B80" s="8" t="inlineStr">
        <is>
          <t>C22</t>
        </is>
      </c>
      <c r="C80" s="8" t="inlineStr">
        <is>
          <t>11f. Fees for services: investment management</t>
        </is>
      </c>
      <c r="D80" s="8" t="inlineStr">
        <is>
          <t>11f</t>
        </is>
      </c>
      <c r="E80" s="8" t="inlineStr">
        <is>
          <t>part_ix_expenses.fees_investment_mgmt</t>
        </is>
      </c>
      <c r="F80" s="8" t="inlineStr">
        <is>
          <t>high</t>
        </is>
      </c>
      <c r="G80" s="9" t="n">
        <v>0</v>
      </c>
    </row>
    <row r="81">
      <c r="A81" s="8" t="inlineStr">
        <is>
          <t>Operating expenses (detail)</t>
        </is>
      </c>
      <c r="B81" s="8" t="inlineStr">
        <is>
          <t>B23</t>
        </is>
      </c>
      <c r="C81" s="8" t="inlineStr">
        <is>
          <t>11g. Fees for services: other</t>
        </is>
      </c>
      <c r="D81" s="8" t="inlineStr">
        <is>
          <t>11g</t>
        </is>
      </c>
      <c r="E81" s="8" t="inlineStr">
        <is>
          <t>part_ix_expenses.fees_other</t>
        </is>
      </c>
      <c r="F81" s="8" t="inlineStr">
        <is>
          <t>high</t>
        </is>
      </c>
      <c r="G81" s="9" t="n">
        <v>69167</v>
      </c>
    </row>
    <row r="82">
      <c r="A82" s="8" t="inlineStr">
        <is>
          <t>Operating expenses (detail)</t>
        </is>
      </c>
      <c r="B82" s="8" t="inlineStr">
        <is>
          <t>C23</t>
        </is>
      </c>
      <c r="C82" s="8" t="inlineStr">
        <is>
          <t>11g. Fees for services: other</t>
        </is>
      </c>
      <c r="D82" s="8" t="inlineStr">
        <is>
          <t>11g</t>
        </is>
      </c>
      <c r="E82" s="8" t="inlineStr">
        <is>
          <t>part_ix_expenses.fees_other</t>
        </is>
      </c>
      <c r="F82" s="8" t="inlineStr">
        <is>
          <t>high</t>
        </is>
      </c>
      <c r="G82" s="9" t="n">
        <v>70976</v>
      </c>
    </row>
    <row r="83">
      <c r="A83" s="8" t="inlineStr">
        <is>
          <t>Operating expenses (detail)</t>
        </is>
      </c>
      <c r="B83" s="8" t="inlineStr">
        <is>
          <t>D23</t>
        </is>
      </c>
      <c r="C83" s="8" t="inlineStr">
        <is>
          <t>11g. Fees for services: other</t>
        </is>
      </c>
      <c r="D83" s="8" t="inlineStr">
        <is>
          <t>11g</t>
        </is>
      </c>
      <c r="E83" s="8" t="inlineStr">
        <is>
          <t>part_ix_expenses.fees_other</t>
        </is>
      </c>
      <c r="F83" s="8" t="inlineStr">
        <is>
          <t>high</t>
        </is>
      </c>
      <c r="G83" s="9" t="n">
        <v>74639</v>
      </c>
    </row>
    <row r="84">
      <c r="A84" s="8" t="inlineStr">
        <is>
          <t>Operating expenses (detail)</t>
        </is>
      </c>
      <c r="B84" s="8" t="inlineStr">
        <is>
          <t>E23</t>
        </is>
      </c>
      <c r="C84" s="8" t="inlineStr">
        <is>
          <t>11g. Fees for services: other</t>
        </is>
      </c>
      <c r="D84" s="8" t="inlineStr">
        <is>
          <t>11g</t>
        </is>
      </c>
      <c r="E84" s="8" t="inlineStr">
        <is>
          <t>part_ix_expenses.fees_other</t>
        </is>
      </c>
      <c r="F84" s="8" t="inlineStr">
        <is>
          <t>high</t>
        </is>
      </c>
      <c r="G84" s="9" t="n">
        <v>79195</v>
      </c>
    </row>
    <row r="85">
      <c r="A85" s="8" t="inlineStr">
        <is>
          <t>Operating expenses (detail)</t>
        </is>
      </c>
      <c r="B85" s="8" t="inlineStr">
        <is>
          <t>F23</t>
        </is>
      </c>
      <c r="C85" s="8" t="inlineStr">
        <is>
          <t>11g. Fees for services: other</t>
        </is>
      </c>
      <c r="D85" s="8" t="inlineStr">
        <is>
          <t>11g</t>
        </is>
      </c>
      <c r="E85" s="8" t="inlineStr">
        <is>
          <t>part_ix_expenses.fees_other</t>
        </is>
      </c>
      <c r="F85" s="8" t="inlineStr">
        <is>
          <t>high</t>
        </is>
      </c>
      <c r="G85" s="9" t="n">
        <v>83750</v>
      </c>
    </row>
    <row r="86">
      <c r="A86" s="8" t="inlineStr">
        <is>
          <t>Operating expenses (detail)</t>
        </is>
      </c>
      <c r="B86" s="8" t="inlineStr">
        <is>
          <t>B24</t>
        </is>
      </c>
      <c r="C86" s="8" t="inlineStr">
        <is>
          <t>12. Advertising and promotion</t>
        </is>
      </c>
      <c r="D86" s="8" t="inlineStr">
        <is>
          <t>12</t>
        </is>
      </c>
      <c r="E86" s="8" t="inlineStr">
        <is>
          <t>part_ix_expenses.advertising</t>
        </is>
      </c>
      <c r="F86" s="8" t="inlineStr">
        <is>
          <t>high</t>
        </is>
      </c>
      <c r="G86" s="9" t="n">
        <v>0</v>
      </c>
    </row>
    <row r="87">
      <c r="A87" s="8" t="inlineStr">
        <is>
          <t>Operating expenses (detail)</t>
        </is>
      </c>
      <c r="B87" s="8" t="inlineStr">
        <is>
          <t>C24</t>
        </is>
      </c>
      <c r="C87" s="8" t="inlineStr">
        <is>
          <t>12. Advertising and promotion</t>
        </is>
      </c>
      <c r="D87" s="8" t="inlineStr">
        <is>
          <t>12</t>
        </is>
      </c>
      <c r="E87" s="8" t="inlineStr">
        <is>
          <t>part_ix_expenses.advertising</t>
        </is>
      </c>
      <c r="F87" s="8" t="inlineStr">
        <is>
          <t>high</t>
        </is>
      </c>
      <c r="G87" s="9" t="n">
        <v>0</v>
      </c>
    </row>
    <row r="88">
      <c r="A88" s="8" t="inlineStr">
        <is>
          <t>Operating expenses (detail)</t>
        </is>
      </c>
      <c r="B88" s="8" t="inlineStr">
        <is>
          <t>B25</t>
        </is>
      </c>
      <c r="C88" s="8" t="inlineStr">
        <is>
          <t>13. Office expenses</t>
        </is>
      </c>
      <c r="D88" s="8" t="inlineStr">
        <is>
          <t>13</t>
        </is>
      </c>
      <c r="E88" s="8" t="inlineStr">
        <is>
          <t>part_ix_expenses.office_expenses</t>
        </is>
      </c>
      <c r="F88" s="8" t="inlineStr">
        <is>
          <t>high</t>
        </is>
      </c>
      <c r="G88" s="9" t="n">
        <v>5247</v>
      </c>
    </row>
    <row r="89">
      <c r="A89" s="8" t="inlineStr">
        <is>
          <t>Operating expenses (detail)</t>
        </is>
      </c>
      <c r="B89" s="8" t="inlineStr">
        <is>
          <t>C25</t>
        </is>
      </c>
      <c r="C89" s="8" t="inlineStr">
        <is>
          <t>13. Office expenses</t>
        </is>
      </c>
      <c r="D89" s="8" t="inlineStr">
        <is>
          <t>13</t>
        </is>
      </c>
      <c r="E89" s="8" t="inlineStr">
        <is>
          <t>part_ix_expenses.office_expenses</t>
        </is>
      </c>
      <c r="F89" s="8" t="inlineStr">
        <is>
          <t>high</t>
        </is>
      </c>
      <c r="G89" s="9" t="n">
        <v>2756</v>
      </c>
    </row>
    <row r="90">
      <c r="A90" s="8" t="inlineStr">
        <is>
          <t>Operating expenses (detail)</t>
        </is>
      </c>
      <c r="B90" s="8" t="inlineStr">
        <is>
          <t>D25</t>
        </is>
      </c>
      <c r="C90" s="8" t="inlineStr">
        <is>
          <t>13. Office expenses</t>
        </is>
      </c>
      <c r="D90" s="8" t="inlineStr">
        <is>
          <t>13</t>
        </is>
      </c>
      <c r="E90" s="8" t="inlineStr">
        <is>
          <t>part_ix_expenses.office_expenses</t>
        </is>
      </c>
      <c r="F90" s="8" t="inlineStr">
        <is>
          <t>high</t>
        </is>
      </c>
      <c r="G90" s="9" t="n">
        <v>4042</v>
      </c>
    </row>
    <row r="91">
      <c r="A91" s="8" t="inlineStr">
        <is>
          <t>Operating expenses (detail)</t>
        </is>
      </c>
      <c r="B91" s="8" t="inlineStr">
        <is>
          <t>E25</t>
        </is>
      </c>
      <c r="C91" s="8" t="inlineStr">
        <is>
          <t>13. Office expenses</t>
        </is>
      </c>
      <c r="D91" s="8" t="inlineStr">
        <is>
          <t>13</t>
        </is>
      </c>
      <c r="E91" s="8" t="inlineStr">
        <is>
          <t>part_ix_expenses.office_expenses</t>
        </is>
      </c>
      <c r="F91" s="8" t="inlineStr">
        <is>
          <t>high</t>
        </is>
      </c>
      <c r="G91" s="9" t="n">
        <v>10747</v>
      </c>
    </row>
    <row r="92">
      <c r="A92" s="8" t="inlineStr">
        <is>
          <t>Operating expenses (detail)</t>
        </is>
      </c>
      <c r="B92" s="8" t="inlineStr">
        <is>
          <t>F25</t>
        </is>
      </c>
      <c r="C92" s="8" t="inlineStr">
        <is>
          <t>13. Office expenses</t>
        </is>
      </c>
      <c r="D92" s="8" t="inlineStr">
        <is>
          <t>13</t>
        </is>
      </c>
      <c r="E92" s="8" t="inlineStr">
        <is>
          <t>part_ix_expenses.office_expenses</t>
        </is>
      </c>
      <c r="F92" s="8" t="inlineStr">
        <is>
          <t>high</t>
        </is>
      </c>
      <c r="G92" s="9" t="n">
        <v>14159</v>
      </c>
    </row>
    <row r="93">
      <c r="A93" s="8" t="inlineStr">
        <is>
          <t>Operating expenses (detail)</t>
        </is>
      </c>
      <c r="B93" s="8" t="inlineStr">
        <is>
          <t>B26</t>
        </is>
      </c>
      <c r="C93" s="8" t="inlineStr">
        <is>
          <t>14. Information technology</t>
        </is>
      </c>
      <c r="D93" s="8" t="inlineStr">
        <is>
          <t>14</t>
        </is>
      </c>
      <c r="E93" s="8" t="inlineStr">
        <is>
          <t>part_ix_expenses.information_technology</t>
        </is>
      </c>
      <c r="F93" s="8" t="inlineStr">
        <is>
          <t>high</t>
        </is>
      </c>
      <c r="G93" s="9" t="n">
        <v>0</v>
      </c>
    </row>
    <row r="94">
      <c r="A94" s="8" t="inlineStr">
        <is>
          <t>Operating expenses (detail)</t>
        </is>
      </c>
      <c r="B94" s="8" t="inlineStr">
        <is>
          <t>C26</t>
        </is>
      </c>
      <c r="C94" s="8" t="inlineStr">
        <is>
          <t>14. Information technology</t>
        </is>
      </c>
      <c r="D94" s="8" t="inlineStr">
        <is>
          <t>14</t>
        </is>
      </c>
      <c r="E94" s="8" t="inlineStr">
        <is>
          <t>part_ix_expenses.information_technology</t>
        </is>
      </c>
      <c r="F94" s="8" t="inlineStr">
        <is>
          <t>high</t>
        </is>
      </c>
      <c r="G94" s="9" t="n">
        <v>0</v>
      </c>
    </row>
    <row r="95">
      <c r="A95" s="8" t="inlineStr">
        <is>
          <t>Operating expenses (detail)</t>
        </is>
      </c>
      <c r="B95" s="8" t="inlineStr">
        <is>
          <t>B27</t>
        </is>
      </c>
      <c r="C95" s="8" t="inlineStr">
        <is>
          <t>15. Royalties</t>
        </is>
      </c>
      <c r="D95" s="8" t="inlineStr">
        <is>
          <t>15</t>
        </is>
      </c>
      <c r="E95" s="8" t="inlineStr">
        <is>
          <t>part_ix_expenses.royalties</t>
        </is>
      </c>
      <c r="F95" s="8" t="inlineStr">
        <is>
          <t>high</t>
        </is>
      </c>
      <c r="G95" s="9" t="n">
        <v>0</v>
      </c>
    </row>
    <row r="96">
      <c r="A96" s="8" t="inlineStr">
        <is>
          <t>Operating expenses (detail)</t>
        </is>
      </c>
      <c r="B96" s="8" t="inlineStr">
        <is>
          <t>C27</t>
        </is>
      </c>
      <c r="C96" s="8" t="inlineStr">
        <is>
          <t>15. Royalties</t>
        </is>
      </c>
      <c r="D96" s="8" t="inlineStr">
        <is>
          <t>15</t>
        </is>
      </c>
      <c r="E96" s="8" t="inlineStr">
        <is>
          <t>part_ix_expenses.royalties</t>
        </is>
      </c>
      <c r="F96" s="8" t="inlineStr">
        <is>
          <t>high</t>
        </is>
      </c>
      <c r="G96" s="9" t="n">
        <v>0</v>
      </c>
    </row>
    <row r="97">
      <c r="A97" s="8" t="inlineStr">
        <is>
          <t>Operating expenses (detail)</t>
        </is>
      </c>
      <c r="B97" s="8" t="inlineStr">
        <is>
          <t>B28</t>
        </is>
      </c>
      <c r="C97" s="8" t="inlineStr">
        <is>
          <t>16. Occupancy</t>
        </is>
      </c>
      <c r="D97" s="8" t="inlineStr">
        <is>
          <t>16</t>
        </is>
      </c>
      <c r="E97" s="8" t="inlineStr">
        <is>
          <t>part_ix_expenses.occupancy</t>
        </is>
      </c>
      <c r="F97" s="8" t="inlineStr">
        <is>
          <t>high</t>
        </is>
      </c>
      <c r="G97" s="9" t="n">
        <v>3072</v>
      </c>
    </row>
    <row r="98">
      <c r="A98" s="8" t="inlineStr">
        <is>
          <t>Operating expenses (detail)</t>
        </is>
      </c>
      <c r="B98" s="8" t="inlineStr">
        <is>
          <t>C28</t>
        </is>
      </c>
      <c r="C98" s="8" t="inlineStr">
        <is>
          <t>16. Occupancy</t>
        </is>
      </c>
      <c r="D98" s="8" t="inlineStr">
        <is>
          <t>16</t>
        </is>
      </c>
      <c r="E98" s="8" t="inlineStr">
        <is>
          <t>part_ix_expenses.occupancy</t>
        </is>
      </c>
      <c r="F98" s="8" t="inlineStr">
        <is>
          <t>high</t>
        </is>
      </c>
      <c r="G98" s="9" t="n">
        <v>3072</v>
      </c>
    </row>
    <row r="99">
      <c r="A99" s="8" t="inlineStr">
        <is>
          <t>Operating expenses (detail)</t>
        </is>
      </c>
      <c r="B99" s="8" t="inlineStr">
        <is>
          <t>D28</t>
        </is>
      </c>
      <c r="C99" s="8" t="inlineStr">
        <is>
          <t>16. Occupancy</t>
        </is>
      </c>
      <c r="D99" s="8" t="inlineStr">
        <is>
          <t>16</t>
        </is>
      </c>
      <c r="E99" s="8" t="inlineStr">
        <is>
          <t>part_ix_expenses.occupancy</t>
        </is>
      </c>
      <c r="F99" s="8" t="inlineStr">
        <is>
          <t>high</t>
        </is>
      </c>
      <c r="G99" s="9" t="n">
        <v>3021</v>
      </c>
    </row>
    <row r="100">
      <c r="A100" s="8" t="inlineStr">
        <is>
          <t>Operating expenses (detail)</t>
        </is>
      </c>
      <c r="B100" s="8" t="inlineStr">
        <is>
          <t>E28</t>
        </is>
      </c>
      <c r="C100" s="8" t="inlineStr">
        <is>
          <t>16. Occupancy</t>
        </is>
      </c>
      <c r="D100" s="8" t="inlineStr">
        <is>
          <t>16</t>
        </is>
      </c>
      <c r="E100" s="8" t="inlineStr">
        <is>
          <t>part_ix_expenses.occupancy</t>
        </is>
      </c>
      <c r="F100" s="8" t="inlineStr">
        <is>
          <t>high</t>
        </is>
      </c>
      <c r="G100" s="9" t="n">
        <v>31374</v>
      </c>
    </row>
    <row r="101">
      <c r="A101" s="8" t="inlineStr">
        <is>
          <t>Operating expenses (detail)</t>
        </is>
      </c>
      <c r="B101" s="8" t="inlineStr">
        <is>
          <t>F28</t>
        </is>
      </c>
      <c r="C101" s="8" t="inlineStr">
        <is>
          <t>16. Occupancy</t>
        </is>
      </c>
      <c r="D101" s="8" t="inlineStr">
        <is>
          <t>16</t>
        </is>
      </c>
      <c r="E101" s="8" t="inlineStr">
        <is>
          <t>part_ix_expenses.occupancy</t>
        </is>
      </c>
      <c r="F101" s="8" t="inlineStr">
        <is>
          <t>high</t>
        </is>
      </c>
      <c r="G101" s="9" t="n">
        <v>45363</v>
      </c>
    </row>
    <row r="102">
      <c r="A102" s="8" t="inlineStr">
        <is>
          <t>Operating expenses (detail)</t>
        </is>
      </c>
      <c r="B102" s="8" t="inlineStr">
        <is>
          <t>B29</t>
        </is>
      </c>
      <c r="C102" s="8" t="inlineStr">
        <is>
          <t>17. Travel</t>
        </is>
      </c>
      <c r="D102" s="8" t="inlineStr">
        <is>
          <t>17</t>
        </is>
      </c>
      <c r="E102" s="8" t="inlineStr">
        <is>
          <t>part_ix_expenses.travel</t>
        </is>
      </c>
      <c r="F102" s="8" t="inlineStr">
        <is>
          <t>high</t>
        </is>
      </c>
      <c r="G102" s="9" t="n">
        <v>0</v>
      </c>
    </row>
    <row r="103">
      <c r="A103" s="8" t="inlineStr">
        <is>
          <t>Operating expenses (detail)</t>
        </is>
      </c>
      <c r="B103" s="8" t="inlineStr">
        <is>
          <t>C29</t>
        </is>
      </c>
      <c r="C103" s="8" t="inlineStr">
        <is>
          <t>17. Travel</t>
        </is>
      </c>
      <c r="D103" s="8" t="inlineStr">
        <is>
          <t>17</t>
        </is>
      </c>
      <c r="E103" s="8" t="inlineStr">
        <is>
          <t>part_ix_expenses.travel</t>
        </is>
      </c>
      <c r="F103" s="8" t="inlineStr">
        <is>
          <t>high</t>
        </is>
      </c>
      <c r="G103" s="9" t="n">
        <v>0</v>
      </c>
    </row>
    <row r="104">
      <c r="A104" s="8" t="inlineStr">
        <is>
          <t>Operating expenses (detail)</t>
        </is>
      </c>
      <c r="B104" s="8" t="inlineStr">
        <is>
          <t>B30</t>
        </is>
      </c>
      <c r="C104" s="8" t="inlineStr">
        <is>
          <t>18. Payments of travel/entertainment for public officials</t>
        </is>
      </c>
      <c r="D104" s="8" t="inlineStr">
        <is>
          <t>18</t>
        </is>
      </c>
      <c r="E104" s="8" t="inlineStr">
        <is>
          <t>part_ix_expenses.travel_entertainment_public_officials</t>
        </is>
      </c>
      <c r="F104" s="8" t="inlineStr">
        <is>
          <t>high</t>
        </is>
      </c>
      <c r="G104" s="9" t="n">
        <v>0</v>
      </c>
    </row>
    <row r="105">
      <c r="A105" s="8" t="inlineStr">
        <is>
          <t>Operating expenses (detail)</t>
        </is>
      </c>
      <c r="B105" s="8" t="inlineStr">
        <is>
          <t>C30</t>
        </is>
      </c>
      <c r="C105" s="8" t="inlineStr">
        <is>
          <t>18. Payments of travel/entertainment for public officials</t>
        </is>
      </c>
      <c r="D105" s="8" t="inlineStr">
        <is>
          <t>18</t>
        </is>
      </c>
      <c r="E105" s="8" t="inlineStr">
        <is>
          <t>part_ix_expenses.travel_entertainment_public_officials</t>
        </is>
      </c>
      <c r="F105" s="8" t="inlineStr">
        <is>
          <t>high</t>
        </is>
      </c>
      <c r="G105" s="9" t="n">
        <v>0</v>
      </c>
    </row>
    <row r="106">
      <c r="A106" s="8" t="inlineStr">
        <is>
          <t>Operating expenses (detail)</t>
        </is>
      </c>
      <c r="B106" s="8" t="inlineStr">
        <is>
          <t>B31</t>
        </is>
      </c>
      <c r="C106" s="8" t="inlineStr">
        <is>
          <t>19. Conferences, conventions, and meetings</t>
        </is>
      </c>
      <c r="D106" s="8" t="inlineStr">
        <is>
          <t>19</t>
        </is>
      </c>
      <c r="E106" s="8" t="inlineStr">
        <is>
          <t>part_ix_expenses.conferences_conventions_meetings</t>
        </is>
      </c>
      <c r="F106" s="8" t="inlineStr">
        <is>
          <t>high</t>
        </is>
      </c>
      <c r="G106" s="9" t="n">
        <v>0</v>
      </c>
    </row>
    <row r="107">
      <c r="A107" s="8" t="inlineStr">
        <is>
          <t>Operating expenses (detail)</t>
        </is>
      </c>
      <c r="B107" s="8" t="inlineStr">
        <is>
          <t>C31</t>
        </is>
      </c>
      <c r="C107" s="8" t="inlineStr">
        <is>
          <t>19. Conferences, conventions, and meetings</t>
        </is>
      </c>
      <c r="D107" s="8" t="inlineStr">
        <is>
          <t>19</t>
        </is>
      </c>
      <c r="E107" s="8" t="inlineStr">
        <is>
          <t>part_ix_expenses.conferences_conventions_meetings</t>
        </is>
      </c>
      <c r="F107" s="8" t="inlineStr">
        <is>
          <t>high</t>
        </is>
      </c>
      <c r="G107" s="9" t="n">
        <v>0</v>
      </c>
    </row>
    <row r="108">
      <c r="A108" s="8" t="inlineStr">
        <is>
          <t>Operating expenses (detail)</t>
        </is>
      </c>
      <c r="B108" s="8" t="inlineStr">
        <is>
          <t>B32</t>
        </is>
      </c>
      <c r="C108" s="8" t="inlineStr">
        <is>
          <t>20. Interest</t>
        </is>
      </c>
      <c r="D108" s="8" t="inlineStr">
        <is>
          <t>20</t>
        </is>
      </c>
      <c r="E108" s="8" t="inlineStr">
        <is>
          <t>part_ix_expenses.interest</t>
        </is>
      </c>
      <c r="F108" s="8" t="inlineStr">
        <is>
          <t>high</t>
        </is>
      </c>
      <c r="G108" s="9" t="n">
        <v>16160</v>
      </c>
    </row>
    <row r="109">
      <c r="A109" s="8" t="inlineStr">
        <is>
          <t>Operating expenses (detail)</t>
        </is>
      </c>
      <c r="B109" s="8" t="inlineStr">
        <is>
          <t>C32</t>
        </is>
      </c>
      <c r="C109" s="8" t="inlineStr">
        <is>
          <t>20. Interest</t>
        </is>
      </c>
      <c r="D109" s="8" t="inlineStr">
        <is>
          <t>20</t>
        </is>
      </c>
      <c r="E109" s="8" t="inlineStr">
        <is>
          <t>part_ix_expenses.interest</t>
        </is>
      </c>
      <c r="F109" s="8" t="inlineStr">
        <is>
          <t>high</t>
        </is>
      </c>
      <c r="G109" s="9" t="n">
        <v>14078</v>
      </c>
    </row>
    <row r="110">
      <c r="A110" s="8" t="inlineStr">
        <is>
          <t>Operating expenses (detail)</t>
        </is>
      </c>
      <c r="B110" s="8" t="inlineStr">
        <is>
          <t>D32</t>
        </is>
      </c>
      <c r="C110" s="8" t="inlineStr">
        <is>
          <t>20. Interest</t>
        </is>
      </c>
      <c r="D110" s="8" t="inlineStr">
        <is>
          <t>20</t>
        </is>
      </c>
      <c r="E110" s="8" t="inlineStr">
        <is>
          <t>part_ix_expenses.interest</t>
        </is>
      </c>
      <c r="F110" s="8" t="inlineStr">
        <is>
          <t>high</t>
        </is>
      </c>
      <c r="G110" s="9" t="n">
        <v>12083</v>
      </c>
    </row>
    <row r="111">
      <c r="A111" s="8" t="inlineStr">
        <is>
          <t>Operating expenses (detail)</t>
        </is>
      </c>
      <c r="B111" s="8" t="inlineStr">
        <is>
          <t>E32</t>
        </is>
      </c>
      <c r="C111" s="8" t="inlineStr">
        <is>
          <t>20. Interest</t>
        </is>
      </c>
      <c r="D111" s="8" t="inlineStr">
        <is>
          <t>20</t>
        </is>
      </c>
      <c r="E111" s="8" t="inlineStr">
        <is>
          <t>part_ix_expenses.interest</t>
        </is>
      </c>
      <c r="F111" s="8" t="inlineStr">
        <is>
          <t>high</t>
        </is>
      </c>
      <c r="G111" s="9" t="n">
        <v>10026</v>
      </c>
    </row>
    <row r="112">
      <c r="A112" s="8" t="inlineStr">
        <is>
          <t>Operating expenses (detail)</t>
        </is>
      </c>
      <c r="B112" s="8" t="inlineStr">
        <is>
          <t>F32</t>
        </is>
      </c>
      <c r="C112" s="8" t="inlineStr">
        <is>
          <t>20. Interest</t>
        </is>
      </c>
      <c r="D112" s="8" t="inlineStr">
        <is>
          <t>20</t>
        </is>
      </c>
      <c r="E112" s="8" t="inlineStr">
        <is>
          <t>part_ix_expenses.interest</t>
        </is>
      </c>
      <c r="F112" s="8" t="inlineStr">
        <is>
          <t>high</t>
        </is>
      </c>
      <c r="G112" s="9" t="n">
        <v>7856</v>
      </c>
    </row>
    <row r="113">
      <c r="A113" s="8" t="inlineStr">
        <is>
          <t>Operating expenses (detail)</t>
        </is>
      </c>
      <c r="B113" s="8" t="inlineStr">
        <is>
          <t>B33</t>
        </is>
      </c>
      <c r="C113" s="8" t="inlineStr">
        <is>
          <t>21. Payments to affiliates</t>
        </is>
      </c>
      <c r="D113" s="8" t="inlineStr">
        <is>
          <t>21</t>
        </is>
      </c>
      <c r="E113" s="8" t="inlineStr">
        <is>
          <t>part_ix_expenses.payments_to_affiliates</t>
        </is>
      </c>
      <c r="F113" s="8" t="inlineStr">
        <is>
          <t>high</t>
        </is>
      </c>
      <c r="G113" s="9" t="n">
        <v>0</v>
      </c>
    </row>
    <row r="114">
      <c r="A114" s="8" t="inlineStr">
        <is>
          <t>Operating expenses (detail)</t>
        </is>
      </c>
      <c r="B114" s="8" t="inlineStr">
        <is>
          <t>C33</t>
        </is>
      </c>
      <c r="C114" s="8" t="inlineStr">
        <is>
          <t>21. Payments to affiliates</t>
        </is>
      </c>
      <c r="D114" s="8" t="inlineStr">
        <is>
          <t>21</t>
        </is>
      </c>
      <c r="E114" s="8" t="inlineStr">
        <is>
          <t>part_ix_expenses.payments_to_affiliates</t>
        </is>
      </c>
      <c r="F114" s="8" t="inlineStr">
        <is>
          <t>high</t>
        </is>
      </c>
      <c r="G114" s="9" t="n">
        <v>0</v>
      </c>
    </row>
    <row r="115">
      <c r="A115" s="8" t="inlineStr">
        <is>
          <t>Operating expenses (detail)</t>
        </is>
      </c>
      <c r="B115" s="8" t="inlineStr">
        <is>
          <t>B34</t>
        </is>
      </c>
      <c r="C115" s="8" t="inlineStr">
        <is>
          <t>22. Depreciation, depletion, and amortization</t>
        </is>
      </c>
      <c r="D115" s="8" t="inlineStr">
        <is>
          <t>22</t>
        </is>
      </c>
      <c r="E115" s="8" t="inlineStr">
        <is>
          <t>part_ix_expenses.depreciation</t>
        </is>
      </c>
      <c r="F115" s="8" t="inlineStr">
        <is>
          <t>high</t>
        </is>
      </c>
      <c r="G115" s="9" t="n">
        <v>83806</v>
      </c>
    </row>
    <row r="116">
      <c r="A116" s="8" t="inlineStr">
        <is>
          <t>Operating expenses (detail)</t>
        </is>
      </c>
      <c r="B116" s="8" t="inlineStr">
        <is>
          <t>C34</t>
        </is>
      </c>
      <c r="C116" s="8" t="inlineStr">
        <is>
          <t>22. Depreciation, depletion, and amortization</t>
        </is>
      </c>
      <c r="D116" s="8" t="inlineStr">
        <is>
          <t>22</t>
        </is>
      </c>
      <c r="E116" s="8" t="inlineStr">
        <is>
          <t>part_ix_expenses.depreciation</t>
        </is>
      </c>
      <c r="F116" s="8" t="inlineStr">
        <is>
          <t>high</t>
        </is>
      </c>
      <c r="G116" s="9" t="n">
        <v>82990</v>
      </c>
    </row>
    <row r="117">
      <c r="A117" s="8" t="inlineStr">
        <is>
          <t>Operating expenses (detail)</t>
        </is>
      </c>
      <c r="B117" s="8" t="inlineStr">
        <is>
          <t>D34</t>
        </is>
      </c>
      <c r="C117" s="8" t="inlineStr">
        <is>
          <t>22. Depreciation, depletion, and amortization</t>
        </is>
      </c>
      <c r="D117" s="8" t="inlineStr">
        <is>
          <t>22</t>
        </is>
      </c>
      <c r="E117" s="8" t="inlineStr">
        <is>
          <t>part_ix_expenses.depreciation</t>
        </is>
      </c>
      <c r="F117" s="8" t="inlineStr">
        <is>
          <t>high</t>
        </is>
      </c>
      <c r="G117" s="9" t="n">
        <v>84612</v>
      </c>
    </row>
    <row r="118">
      <c r="A118" s="8" t="inlineStr">
        <is>
          <t>Operating expenses (detail)</t>
        </is>
      </c>
      <c r="B118" s="8" t="inlineStr">
        <is>
          <t>E34</t>
        </is>
      </c>
      <c r="C118" s="8" t="inlineStr">
        <is>
          <t>22. Depreciation, depletion, and amortization</t>
        </is>
      </c>
      <c r="D118" s="8" t="inlineStr">
        <is>
          <t>22</t>
        </is>
      </c>
      <c r="E118" s="8" t="inlineStr">
        <is>
          <t>part_ix_expenses.depreciation</t>
        </is>
      </c>
      <c r="F118" s="8" t="inlineStr">
        <is>
          <t>high</t>
        </is>
      </c>
      <c r="G118" s="9" t="n">
        <v>90188</v>
      </c>
    </row>
    <row r="119">
      <c r="A119" s="8" t="inlineStr">
        <is>
          <t>Operating expenses (detail)</t>
        </is>
      </c>
      <c r="B119" s="8" t="inlineStr">
        <is>
          <t>F34</t>
        </is>
      </c>
      <c r="C119" s="8" t="inlineStr">
        <is>
          <t>22. Depreciation, depletion, and amortization</t>
        </is>
      </c>
      <c r="D119" s="8" t="inlineStr">
        <is>
          <t>22</t>
        </is>
      </c>
      <c r="E119" s="8" t="inlineStr">
        <is>
          <t>part_ix_expenses.depreciation</t>
        </is>
      </c>
      <c r="F119" s="8" t="inlineStr">
        <is>
          <t>high</t>
        </is>
      </c>
      <c r="G119" s="9" t="n">
        <v>98520</v>
      </c>
    </row>
    <row r="120">
      <c r="A120" s="8" t="inlineStr">
        <is>
          <t>Operating expenses (detail)</t>
        </is>
      </c>
      <c r="B120" s="8" t="inlineStr">
        <is>
          <t>B35</t>
        </is>
      </c>
      <c r="C120" s="8" t="inlineStr">
        <is>
          <t>23. Insurance</t>
        </is>
      </c>
      <c r="D120" s="8" t="inlineStr">
        <is>
          <t>23</t>
        </is>
      </c>
      <c r="E120" s="8" t="inlineStr">
        <is>
          <t>part_ix_expenses.insurance</t>
        </is>
      </c>
      <c r="F120" s="8" t="inlineStr">
        <is>
          <t>high</t>
        </is>
      </c>
      <c r="G120" s="9" t="n">
        <v>7969</v>
      </c>
    </row>
    <row r="121">
      <c r="A121" s="8" t="inlineStr">
        <is>
          <t>Operating expenses (detail)</t>
        </is>
      </c>
      <c r="B121" s="8" t="inlineStr">
        <is>
          <t>C35</t>
        </is>
      </c>
      <c r="C121" s="8" t="inlineStr">
        <is>
          <t>23. Insurance</t>
        </is>
      </c>
      <c r="D121" s="8" t="inlineStr">
        <is>
          <t>23</t>
        </is>
      </c>
      <c r="E121" s="8" t="inlineStr">
        <is>
          <t>part_ix_expenses.insurance</t>
        </is>
      </c>
      <c r="F121" s="8" t="inlineStr">
        <is>
          <t>high</t>
        </is>
      </c>
      <c r="G121" s="9" t="n">
        <v>9149</v>
      </c>
    </row>
    <row r="122">
      <c r="A122" s="8" t="inlineStr">
        <is>
          <t>Operating expenses (detail)</t>
        </is>
      </c>
      <c r="B122" s="8" t="inlineStr">
        <is>
          <t>D35</t>
        </is>
      </c>
      <c r="C122" s="8" t="inlineStr">
        <is>
          <t>23. Insurance</t>
        </is>
      </c>
      <c r="D122" s="8" t="inlineStr">
        <is>
          <t>23</t>
        </is>
      </c>
      <c r="E122" s="8" t="inlineStr">
        <is>
          <t>part_ix_expenses.insurance</t>
        </is>
      </c>
      <c r="F122" s="8" t="inlineStr">
        <is>
          <t>high</t>
        </is>
      </c>
      <c r="G122" s="9" t="n">
        <v>9422</v>
      </c>
    </row>
    <row r="123">
      <c r="A123" s="8" t="inlineStr">
        <is>
          <t>Operating expenses (detail)</t>
        </is>
      </c>
      <c r="B123" s="8" t="inlineStr">
        <is>
          <t>E35</t>
        </is>
      </c>
      <c r="C123" s="8" t="inlineStr">
        <is>
          <t>23. Insurance</t>
        </is>
      </c>
      <c r="D123" s="8" t="inlineStr">
        <is>
          <t>23</t>
        </is>
      </c>
      <c r="E123" s="8" t="inlineStr">
        <is>
          <t>part_ix_expenses.insurance</t>
        </is>
      </c>
      <c r="F123" s="8" t="inlineStr">
        <is>
          <t>high</t>
        </is>
      </c>
      <c r="G123" s="9" t="n">
        <v>5480</v>
      </c>
    </row>
    <row r="124">
      <c r="A124" s="8" t="inlineStr">
        <is>
          <t>Operating expenses (detail)</t>
        </is>
      </c>
      <c r="B124" s="8" t="inlineStr">
        <is>
          <t>F35</t>
        </is>
      </c>
      <c r="C124" s="8" t="inlineStr">
        <is>
          <t>23. Insurance</t>
        </is>
      </c>
      <c r="D124" s="8" t="inlineStr">
        <is>
          <t>23</t>
        </is>
      </c>
      <c r="E124" s="8" t="inlineStr">
        <is>
          <t>part_ix_expenses.insurance</t>
        </is>
      </c>
      <c r="F124" s="8" t="inlineStr">
        <is>
          <t>high</t>
        </is>
      </c>
      <c r="G124" s="9" t="n">
        <v>12590</v>
      </c>
    </row>
    <row r="125">
      <c r="A125" s="8" t="inlineStr">
        <is>
          <t>Operating expenses (detail)</t>
        </is>
      </c>
      <c r="B125" s="8" t="inlineStr">
        <is>
          <t>B45</t>
        </is>
      </c>
      <c r="C125" s="8" t="inlineStr">
        <is>
          <t>24e. All other expenses</t>
        </is>
      </c>
      <c r="D125" s="8" t="inlineStr">
        <is>
          <t>24e</t>
        </is>
      </c>
      <c r="E125" s="8" t="inlineStr">
        <is>
          <t>part_ix_expenses.all_other_expenses</t>
        </is>
      </c>
      <c r="F125" s="8" t="inlineStr">
        <is>
          <t>high</t>
        </is>
      </c>
      <c r="G125" s="9" t="n">
        <v>18512</v>
      </c>
    </row>
    <row r="126">
      <c r="A126" s="8" t="inlineStr">
        <is>
          <t>Operating expenses (detail)</t>
        </is>
      </c>
      <c r="B126" s="8" t="inlineStr">
        <is>
          <t>C45</t>
        </is>
      </c>
      <c r="C126" s="8" t="inlineStr">
        <is>
          <t>24e. All other expenses</t>
        </is>
      </c>
      <c r="D126" s="8" t="inlineStr">
        <is>
          <t>24e</t>
        </is>
      </c>
      <c r="E126" s="8" t="inlineStr">
        <is>
          <t>part_ix_expenses.all_other_expenses</t>
        </is>
      </c>
      <c r="F126" s="8" t="inlineStr">
        <is>
          <t>high</t>
        </is>
      </c>
      <c r="G126" s="9" t="n">
        <v>11655</v>
      </c>
    </row>
    <row r="127">
      <c r="A127" s="8" t="inlineStr">
        <is>
          <t>Operating expenses (detail)</t>
        </is>
      </c>
      <c r="B127" s="8" t="inlineStr">
        <is>
          <t>D45</t>
        </is>
      </c>
      <c r="C127" s="8" t="inlineStr">
        <is>
          <t>24e. All other expenses</t>
        </is>
      </c>
      <c r="D127" s="8" t="inlineStr">
        <is>
          <t>24e</t>
        </is>
      </c>
      <c r="E127" s="8" t="inlineStr">
        <is>
          <t>part_ix_expenses.all_other_expenses</t>
        </is>
      </c>
      <c r="F127" s="8" t="inlineStr">
        <is>
          <t>high</t>
        </is>
      </c>
      <c r="G127" s="9" t="n">
        <v>78533</v>
      </c>
    </row>
    <row r="128">
      <c r="A128" s="8" t="inlineStr">
        <is>
          <t>Operating expenses (detail)</t>
        </is>
      </c>
      <c r="B128" s="8" t="inlineStr">
        <is>
          <t>E45</t>
        </is>
      </c>
      <c r="C128" s="8" t="inlineStr">
        <is>
          <t>24e. All other expenses</t>
        </is>
      </c>
      <c r="D128" s="8" t="inlineStr">
        <is>
          <t>24e</t>
        </is>
      </c>
      <c r="E128" s="8" t="inlineStr">
        <is>
          <t>part_ix_expenses.all_other_expenses</t>
        </is>
      </c>
      <c r="F128" s="8" t="inlineStr">
        <is>
          <t>high</t>
        </is>
      </c>
      <c r="G128" s="9" t="n">
        <v>22919</v>
      </c>
    </row>
    <row r="129">
      <c r="A129" s="8" t="inlineStr">
        <is>
          <t>Operating expenses (detail)</t>
        </is>
      </c>
      <c r="B129" s="8" t="inlineStr">
        <is>
          <t>F45</t>
        </is>
      </c>
      <c r="C129" s="8" t="inlineStr">
        <is>
          <t>24e. All other expenses</t>
        </is>
      </c>
      <c r="D129" s="8" t="inlineStr">
        <is>
          <t>24e</t>
        </is>
      </c>
      <c r="E129" s="8" t="inlineStr">
        <is>
          <t>part_ix_expenses.all_other_expenses</t>
        </is>
      </c>
      <c r="F129" s="8" t="inlineStr">
        <is>
          <t>high</t>
        </is>
      </c>
      <c r="G129" s="9" t="n">
        <v>68496</v>
      </c>
    </row>
    <row r="130">
      <c r="A130" s="8" t="inlineStr">
        <is>
          <t>Balance sheet (detail)</t>
        </is>
      </c>
      <c r="B130" s="8" t="inlineStr">
        <is>
          <t>B7</t>
        </is>
      </c>
      <c r="C130" s="8" t="inlineStr">
        <is>
          <t>1. Cash - non-interest-bearing</t>
        </is>
      </c>
      <c r="D130" s="8" t="inlineStr">
        <is>
          <t>1E</t>
        </is>
      </c>
      <c r="E130" s="8" t="inlineStr">
        <is>
          <t>part_x_balance_sheet.cash_noninterest_eoy</t>
        </is>
      </c>
      <c r="F130" s="8" t="inlineStr">
        <is>
          <t>high</t>
        </is>
      </c>
      <c r="G130" s="9" t="n">
        <v>834046</v>
      </c>
    </row>
    <row r="131">
      <c r="A131" s="8" t="inlineStr">
        <is>
          <t>Balance sheet (detail)</t>
        </is>
      </c>
      <c r="B131" s="8" t="inlineStr">
        <is>
          <t>C7</t>
        </is>
      </c>
      <c r="C131" s="8" t="inlineStr">
        <is>
          <t>1. Cash - non-interest-bearing</t>
        </is>
      </c>
      <c r="D131" s="8" t="inlineStr">
        <is>
          <t>1E</t>
        </is>
      </c>
      <c r="E131" s="8" t="inlineStr">
        <is>
          <t>part_x_balance_sheet.cash_noninterest_eoy</t>
        </is>
      </c>
      <c r="F131" s="8" t="inlineStr">
        <is>
          <t>high</t>
        </is>
      </c>
      <c r="G131" s="9" t="n">
        <v>968612</v>
      </c>
    </row>
    <row r="132">
      <c r="A132" s="8" t="inlineStr">
        <is>
          <t>Balance sheet (detail)</t>
        </is>
      </c>
      <c r="B132" s="8" t="inlineStr">
        <is>
          <t>D7</t>
        </is>
      </c>
      <c r="C132" s="8" t="inlineStr">
        <is>
          <t>1. Cash - non-interest-bearing</t>
        </is>
      </c>
      <c r="D132" s="8" t="inlineStr">
        <is>
          <t>1E</t>
        </is>
      </c>
      <c r="E132" s="8" t="inlineStr">
        <is>
          <t>part_x_balance_sheet.cash_noninterest_eoy</t>
        </is>
      </c>
      <c r="F132" s="8" t="inlineStr">
        <is>
          <t>high</t>
        </is>
      </c>
      <c r="G132" s="9" t="n">
        <v>1020121</v>
      </c>
    </row>
    <row r="133">
      <c r="A133" s="8" t="inlineStr">
        <is>
          <t>Balance sheet (detail)</t>
        </is>
      </c>
      <c r="B133" s="8" t="inlineStr">
        <is>
          <t>E7</t>
        </is>
      </c>
      <c r="C133" s="8" t="inlineStr">
        <is>
          <t>1. Cash - non-interest-bearing</t>
        </is>
      </c>
      <c r="D133" s="8" t="inlineStr">
        <is>
          <t>1E</t>
        </is>
      </c>
      <c r="E133" s="8" t="inlineStr">
        <is>
          <t>part_x_balance_sheet.cash_noninterest_eoy</t>
        </is>
      </c>
      <c r="F133" s="8" t="inlineStr">
        <is>
          <t>high</t>
        </is>
      </c>
      <c r="G133" s="9" t="n">
        <v>867085</v>
      </c>
    </row>
    <row r="134">
      <c r="A134" s="8" t="inlineStr">
        <is>
          <t>Balance sheet (detail)</t>
        </is>
      </c>
      <c r="B134" s="8" t="inlineStr">
        <is>
          <t>F7</t>
        </is>
      </c>
      <c r="C134" s="8" t="inlineStr">
        <is>
          <t>1. Cash - non-interest-bearing</t>
        </is>
      </c>
      <c r="D134" s="8" t="inlineStr">
        <is>
          <t>1E</t>
        </is>
      </c>
      <c r="E134" s="8" t="inlineStr">
        <is>
          <t>part_x_balance_sheet.cash_noninterest_eoy</t>
        </is>
      </c>
      <c r="F134" s="8" t="inlineStr">
        <is>
          <t>high</t>
        </is>
      </c>
      <c r="G134" s="9" t="n">
        <v>769632</v>
      </c>
    </row>
    <row r="135">
      <c r="A135" s="8" t="inlineStr">
        <is>
          <t>Balance sheet (detail)</t>
        </is>
      </c>
      <c r="B135" s="8" t="inlineStr">
        <is>
          <t>B8</t>
        </is>
      </c>
      <c r="C135" s="8" t="inlineStr">
        <is>
          <t>2. Savings and temporary cash investments</t>
        </is>
      </c>
      <c r="D135" s="8" t="inlineStr">
        <is>
          <t>2E</t>
        </is>
      </c>
      <c r="E135" s="8" t="inlineStr">
        <is>
          <t>part_x_balance_sheet.savings_temp_invest_eoy</t>
        </is>
      </c>
      <c r="F135" s="8" t="inlineStr">
        <is>
          <t>high</t>
        </is>
      </c>
      <c r="G135" s="9" t="n">
        <v>0</v>
      </c>
    </row>
    <row r="136">
      <c r="A136" s="8" t="inlineStr">
        <is>
          <t>Balance sheet (detail)</t>
        </is>
      </c>
      <c r="B136" s="8" t="inlineStr">
        <is>
          <t>C8</t>
        </is>
      </c>
      <c r="C136" s="8" t="inlineStr">
        <is>
          <t>2. Savings and temporary cash investments</t>
        </is>
      </c>
      <c r="D136" s="8" t="inlineStr">
        <is>
          <t>2E</t>
        </is>
      </c>
      <c r="E136" s="8" t="inlineStr">
        <is>
          <t>part_x_balance_sheet.savings_temp_invest_eoy</t>
        </is>
      </c>
      <c r="F136" s="8" t="inlineStr">
        <is>
          <t>high</t>
        </is>
      </c>
      <c r="G136" s="9" t="n">
        <v>0</v>
      </c>
    </row>
    <row r="137">
      <c r="A137" s="8" t="inlineStr">
        <is>
          <t>Balance sheet (detail)</t>
        </is>
      </c>
      <c r="B137" s="8" t="inlineStr">
        <is>
          <t>B9</t>
        </is>
      </c>
      <c r="C137" s="8" t="inlineStr">
        <is>
          <t>3. Pledges and grants receivable, net</t>
        </is>
      </c>
      <c r="D137" s="8" t="inlineStr">
        <is>
          <t>3E</t>
        </is>
      </c>
      <c r="E137" s="8" t="inlineStr">
        <is>
          <t>part_x_balance_sheet.pledges_grants_receivable_eoy</t>
        </is>
      </c>
      <c r="F137" s="8" t="inlineStr">
        <is>
          <t>high</t>
        </is>
      </c>
      <c r="G137" s="9" t="n">
        <v>0</v>
      </c>
    </row>
    <row r="138">
      <c r="A138" s="8" t="inlineStr">
        <is>
          <t>Balance sheet (detail)</t>
        </is>
      </c>
      <c r="B138" s="8" t="inlineStr">
        <is>
          <t>C9</t>
        </is>
      </c>
      <c r="C138" s="8" t="inlineStr">
        <is>
          <t>3. Pledges and grants receivable, net</t>
        </is>
      </c>
      <c r="D138" s="8" t="inlineStr">
        <is>
          <t>3E</t>
        </is>
      </c>
      <c r="E138" s="8" t="inlineStr">
        <is>
          <t>part_x_balance_sheet.pledges_grants_receivable_eoy</t>
        </is>
      </c>
      <c r="F138" s="8" t="inlineStr">
        <is>
          <t>high</t>
        </is>
      </c>
      <c r="G138" s="9" t="n">
        <v>0</v>
      </c>
    </row>
    <row r="139">
      <c r="A139" s="8" t="inlineStr">
        <is>
          <t>Balance sheet (detail)</t>
        </is>
      </c>
      <c r="B139" s="8" t="inlineStr">
        <is>
          <t>B10</t>
        </is>
      </c>
      <c r="C139" s="8" t="inlineStr">
        <is>
          <t>4. Accounts receivable, net</t>
        </is>
      </c>
      <c r="D139" s="8" t="inlineStr">
        <is>
          <t>4E</t>
        </is>
      </c>
      <c r="E139" s="8" t="inlineStr">
        <is>
          <t>part_x_balance_sheet.accounts_receivable_eoy</t>
        </is>
      </c>
      <c r="F139" s="8" t="inlineStr">
        <is>
          <t>high</t>
        </is>
      </c>
      <c r="G139" s="9" t="n">
        <v>40754</v>
      </c>
    </row>
    <row r="140">
      <c r="A140" s="8" t="inlineStr">
        <is>
          <t>Balance sheet (detail)</t>
        </is>
      </c>
      <c r="B140" s="8" t="inlineStr">
        <is>
          <t>C10</t>
        </is>
      </c>
      <c r="C140" s="8" t="inlineStr">
        <is>
          <t>4. Accounts receivable, net</t>
        </is>
      </c>
      <c r="D140" s="8" t="inlineStr">
        <is>
          <t>4E</t>
        </is>
      </c>
      <c r="E140" s="8" t="inlineStr">
        <is>
          <t>part_x_balance_sheet.accounts_receivable_eoy</t>
        </is>
      </c>
      <c r="F140" s="8" t="inlineStr">
        <is>
          <t>high</t>
        </is>
      </c>
      <c r="G140" s="9" t="n">
        <v>25195</v>
      </c>
    </row>
    <row r="141">
      <c r="A141" s="8" t="inlineStr">
        <is>
          <t>Balance sheet (detail)</t>
        </is>
      </c>
      <c r="B141" s="8" t="inlineStr">
        <is>
          <t>D10</t>
        </is>
      </c>
      <c r="C141" s="8" t="inlineStr">
        <is>
          <t>4. Accounts receivable, net</t>
        </is>
      </c>
      <c r="D141" s="8" t="inlineStr">
        <is>
          <t>4E</t>
        </is>
      </c>
      <c r="E141" s="8" t="inlineStr">
        <is>
          <t>part_x_balance_sheet.accounts_receivable_eoy</t>
        </is>
      </c>
      <c r="F141" s="8" t="inlineStr">
        <is>
          <t>high</t>
        </is>
      </c>
      <c r="G141" s="9" t="n">
        <v>45255</v>
      </c>
    </row>
    <row r="142">
      <c r="A142" s="8" t="inlineStr">
        <is>
          <t>Balance sheet (detail)</t>
        </is>
      </c>
      <c r="B142" s="8" t="inlineStr">
        <is>
          <t>E10</t>
        </is>
      </c>
      <c r="C142" s="8" t="inlineStr">
        <is>
          <t>4. Accounts receivable, net</t>
        </is>
      </c>
      <c r="D142" s="8" t="inlineStr">
        <is>
          <t>4E</t>
        </is>
      </c>
      <c r="E142" s="8" t="inlineStr">
        <is>
          <t>part_x_balance_sheet.accounts_receivable_eoy</t>
        </is>
      </c>
      <c r="F142" s="8" t="inlineStr">
        <is>
          <t>high</t>
        </is>
      </c>
      <c r="G142" s="9" t="n">
        <v>62492</v>
      </c>
    </row>
    <row r="143">
      <c r="A143" s="8" t="inlineStr">
        <is>
          <t>Balance sheet (detail)</t>
        </is>
      </c>
      <c r="B143" s="8" t="inlineStr">
        <is>
          <t>F10</t>
        </is>
      </c>
      <c r="C143" s="8" t="inlineStr">
        <is>
          <t>4. Accounts receivable, net</t>
        </is>
      </c>
      <c r="D143" s="8" t="inlineStr">
        <is>
          <t>4E</t>
        </is>
      </c>
      <c r="E143" s="8" t="inlineStr">
        <is>
          <t>part_x_balance_sheet.accounts_receivable_eoy</t>
        </is>
      </c>
      <c r="F143" s="8" t="inlineStr">
        <is>
          <t>high</t>
        </is>
      </c>
      <c r="G143" s="9" t="n">
        <v>53050</v>
      </c>
    </row>
    <row r="144">
      <c r="A144" s="8" t="inlineStr">
        <is>
          <t>Balance sheet (detail)</t>
        </is>
      </c>
      <c r="B144" s="8" t="inlineStr">
        <is>
          <t>B11</t>
        </is>
      </c>
      <c r="C144" s="8" t="inlineStr">
        <is>
          <t>5. Receivables from officers/directors/trustees</t>
        </is>
      </c>
      <c r="D144" s="8" t="inlineStr">
        <is>
          <t>5E</t>
        </is>
      </c>
      <c r="E144" s="8" t="inlineStr">
        <is>
          <t>part_x_balance_sheet.receivables_officers_eoy</t>
        </is>
      </c>
      <c r="F144" s="8" t="inlineStr">
        <is>
          <t>high</t>
        </is>
      </c>
      <c r="G144" s="9" t="n">
        <v>0</v>
      </c>
    </row>
    <row r="145">
      <c r="A145" s="8" t="inlineStr">
        <is>
          <t>Balance sheet (detail)</t>
        </is>
      </c>
      <c r="B145" s="8" t="inlineStr">
        <is>
          <t>C11</t>
        </is>
      </c>
      <c r="C145" s="8" t="inlineStr">
        <is>
          <t>5. Receivables from officers/directors/trustees</t>
        </is>
      </c>
      <c r="D145" s="8" t="inlineStr">
        <is>
          <t>5E</t>
        </is>
      </c>
      <c r="E145" s="8" t="inlineStr">
        <is>
          <t>part_x_balance_sheet.receivables_officers_eoy</t>
        </is>
      </c>
      <c r="F145" s="8" t="inlineStr">
        <is>
          <t>high</t>
        </is>
      </c>
      <c r="G145" s="9" t="n">
        <v>0</v>
      </c>
    </row>
    <row r="146">
      <c r="A146" s="8" t="inlineStr">
        <is>
          <t>Balance sheet (detail)</t>
        </is>
      </c>
      <c r="B146" s="8" t="inlineStr">
        <is>
          <t>B12</t>
        </is>
      </c>
      <c r="C146" s="8" t="inlineStr">
        <is>
          <t>6. Receivables from disqualified persons</t>
        </is>
      </c>
      <c r="D146" s="8" t="inlineStr">
        <is>
          <t>6E</t>
        </is>
      </c>
      <c r="E146" s="8" t="inlineStr">
        <is>
          <t>part_x_balance_sheet.receivables_disqualified_eoy</t>
        </is>
      </c>
      <c r="F146" s="8" t="inlineStr">
        <is>
          <t>high</t>
        </is>
      </c>
      <c r="G146" s="9" t="n">
        <v>0</v>
      </c>
    </row>
    <row r="147">
      <c r="A147" s="8" t="inlineStr">
        <is>
          <t>Balance sheet (detail)</t>
        </is>
      </c>
      <c r="B147" s="8" t="inlineStr">
        <is>
          <t>C12</t>
        </is>
      </c>
      <c r="C147" s="8" t="inlineStr">
        <is>
          <t>6. Receivables from disqualified persons</t>
        </is>
      </c>
      <c r="D147" s="8" t="inlineStr">
        <is>
          <t>6E</t>
        </is>
      </c>
      <c r="E147" s="8" t="inlineStr">
        <is>
          <t>part_x_balance_sheet.receivables_disqualified_eoy</t>
        </is>
      </c>
      <c r="F147" s="8" t="inlineStr">
        <is>
          <t>high</t>
        </is>
      </c>
      <c r="G147" s="9" t="n">
        <v>0</v>
      </c>
    </row>
    <row r="148">
      <c r="A148" s="8" t="inlineStr">
        <is>
          <t>Balance sheet (detail)</t>
        </is>
      </c>
      <c r="B148" s="8" t="inlineStr">
        <is>
          <t>B13</t>
        </is>
      </c>
      <c r="C148" s="8" t="inlineStr">
        <is>
          <t>7. Notes and loans receivable, net</t>
        </is>
      </c>
      <c r="D148" s="8" t="inlineStr">
        <is>
          <t>7E</t>
        </is>
      </c>
      <c r="E148" s="8" t="inlineStr">
        <is>
          <t>part_x_balance_sheet.notes_loans_receivable_eoy</t>
        </is>
      </c>
      <c r="F148" s="8" t="inlineStr">
        <is>
          <t>high</t>
        </is>
      </c>
      <c r="G148" s="9" t="n">
        <v>0</v>
      </c>
    </row>
    <row r="149">
      <c r="A149" s="8" t="inlineStr">
        <is>
          <t>Balance sheet (detail)</t>
        </is>
      </c>
      <c r="B149" s="8" t="inlineStr">
        <is>
          <t>C13</t>
        </is>
      </c>
      <c r="C149" s="8" t="inlineStr">
        <is>
          <t>7. Notes and loans receivable, net</t>
        </is>
      </c>
      <c r="D149" s="8" t="inlineStr">
        <is>
          <t>7E</t>
        </is>
      </c>
      <c r="E149" s="8" t="inlineStr">
        <is>
          <t>part_x_balance_sheet.notes_loans_receivable_eoy</t>
        </is>
      </c>
      <c r="F149" s="8" t="inlineStr">
        <is>
          <t>high</t>
        </is>
      </c>
      <c r="G149" s="9" t="n">
        <v>0</v>
      </c>
    </row>
    <row r="150">
      <c r="A150" s="8" t="inlineStr">
        <is>
          <t>Balance sheet (detail)</t>
        </is>
      </c>
      <c r="B150" s="8" t="inlineStr">
        <is>
          <t>B14</t>
        </is>
      </c>
      <c r="C150" s="8" t="inlineStr">
        <is>
          <t>8. Inventories for sale or use</t>
        </is>
      </c>
      <c r="D150" s="8" t="inlineStr">
        <is>
          <t>8E</t>
        </is>
      </c>
      <c r="E150" s="8" t="inlineStr">
        <is>
          <t>part_x_balance_sheet.inventories_eoy</t>
        </is>
      </c>
      <c r="F150" s="8" t="inlineStr">
        <is>
          <t>high</t>
        </is>
      </c>
      <c r="G150" s="9" t="n">
        <v>0</v>
      </c>
    </row>
    <row r="151">
      <c r="A151" s="8" t="inlineStr">
        <is>
          <t>Balance sheet (detail)</t>
        </is>
      </c>
      <c r="B151" s="8" t="inlineStr">
        <is>
          <t>C14</t>
        </is>
      </c>
      <c r="C151" s="8" t="inlineStr">
        <is>
          <t>8. Inventories for sale or use</t>
        </is>
      </c>
      <c r="D151" s="8" t="inlineStr">
        <is>
          <t>8E</t>
        </is>
      </c>
      <c r="E151" s="8" t="inlineStr">
        <is>
          <t>part_x_balance_sheet.inventories_eoy</t>
        </is>
      </c>
      <c r="F151" s="8" t="inlineStr">
        <is>
          <t>high</t>
        </is>
      </c>
      <c r="G151" s="9" t="n">
        <v>0</v>
      </c>
    </row>
    <row r="152">
      <c r="A152" s="8" t="inlineStr">
        <is>
          <t>Balance sheet (detail)</t>
        </is>
      </c>
      <c r="B152" s="8" t="inlineStr">
        <is>
          <t>B15</t>
        </is>
      </c>
      <c r="C152" s="8" t="inlineStr">
        <is>
          <t>9. Prepaid expenses and deferred charges</t>
        </is>
      </c>
      <c r="D152" s="8" t="inlineStr">
        <is>
          <t>9E</t>
        </is>
      </c>
      <c r="E152" s="8" t="inlineStr">
        <is>
          <t>part_x_balance_sheet.prepaid_expenses_eoy</t>
        </is>
      </c>
      <c r="F152" s="8" t="inlineStr">
        <is>
          <t>high</t>
        </is>
      </c>
      <c r="G152" s="9" t="n">
        <v>0</v>
      </c>
    </row>
    <row r="153">
      <c r="A153" s="8" t="inlineStr">
        <is>
          <t>Balance sheet (detail)</t>
        </is>
      </c>
      <c r="B153" s="8" t="inlineStr">
        <is>
          <t>C15</t>
        </is>
      </c>
      <c r="C153" s="8" t="inlineStr">
        <is>
          <t>9. Prepaid expenses and deferred charges</t>
        </is>
      </c>
      <c r="D153" s="8" t="inlineStr">
        <is>
          <t>9E</t>
        </is>
      </c>
      <c r="E153" s="8" t="inlineStr">
        <is>
          <t>part_x_balance_sheet.prepaid_expenses_eoy</t>
        </is>
      </c>
      <c r="F153" s="8" t="inlineStr">
        <is>
          <t>high</t>
        </is>
      </c>
      <c r="G153" s="9" t="n">
        <v>0</v>
      </c>
    </row>
    <row r="154">
      <c r="A154" s="8" t="inlineStr">
        <is>
          <t>Balance sheet (detail)</t>
        </is>
      </c>
      <c r="B154" s="8" t="inlineStr">
        <is>
          <t>B16</t>
        </is>
      </c>
      <c r="C154" s="8" t="inlineStr">
        <is>
          <t>10c. Land, buildings, and equipment, net</t>
        </is>
      </c>
      <c r="D154" s="8" t="inlineStr">
        <is>
          <t>10cE</t>
        </is>
      </c>
      <c r="E154" s="8" t="inlineStr">
        <is>
          <t>part_x_balance_sheet.land_bldg_equip_net_eoy</t>
        </is>
      </c>
      <c r="F154" s="8" t="inlineStr">
        <is>
          <t>high</t>
        </is>
      </c>
      <c r="G154" s="9" t="n">
        <v>862389</v>
      </c>
    </row>
    <row r="155">
      <c r="A155" s="8" t="inlineStr">
        <is>
          <t>Balance sheet (detail)</t>
        </is>
      </c>
      <c r="B155" s="8" t="inlineStr">
        <is>
          <t>C16</t>
        </is>
      </c>
      <c r="C155" s="8" t="inlineStr">
        <is>
          <t>10c. Land, buildings, and equipment, net</t>
        </is>
      </c>
      <c r="D155" s="8" t="inlineStr">
        <is>
          <t>10cE</t>
        </is>
      </c>
      <c r="E155" s="8" t="inlineStr">
        <is>
          <t>part_x_balance_sheet.land_bldg_equip_net_eoy</t>
        </is>
      </c>
      <c r="F155" s="8" t="inlineStr">
        <is>
          <t>high</t>
        </is>
      </c>
      <c r="G155" s="9" t="n">
        <v>852367</v>
      </c>
    </row>
    <row r="156">
      <c r="A156" s="8" t="inlineStr">
        <is>
          <t>Balance sheet (detail)</t>
        </is>
      </c>
      <c r="B156" s="8" t="inlineStr">
        <is>
          <t>D16</t>
        </is>
      </c>
      <c r="C156" s="8" t="inlineStr">
        <is>
          <t>10c. Land, buildings, and equipment, net</t>
        </is>
      </c>
      <c r="D156" s="8" t="inlineStr">
        <is>
          <t>10cE</t>
        </is>
      </c>
      <c r="E156" s="8" t="inlineStr">
        <is>
          <t>part_x_balance_sheet.land_bldg_equip_net_eoy</t>
        </is>
      </c>
      <c r="F156" s="8" t="inlineStr">
        <is>
          <t>high</t>
        </is>
      </c>
      <c r="G156" s="9" t="n">
        <v>819479</v>
      </c>
    </row>
    <row r="157">
      <c r="A157" s="8" t="inlineStr">
        <is>
          <t>Balance sheet (detail)</t>
        </is>
      </c>
      <c r="B157" s="8" t="inlineStr">
        <is>
          <t>E16</t>
        </is>
      </c>
      <c r="C157" s="8" t="inlineStr">
        <is>
          <t>10c. Land, buildings, and equipment, net</t>
        </is>
      </c>
      <c r="D157" s="8" t="inlineStr">
        <is>
          <t>10cE</t>
        </is>
      </c>
      <c r="E157" s="8" t="inlineStr">
        <is>
          <t>part_x_balance_sheet.land_bldg_equip_net_eoy</t>
        </is>
      </c>
      <c r="F157" s="8" t="inlineStr">
        <is>
          <t>high</t>
        </is>
      </c>
      <c r="G157" s="9" t="n">
        <v>847092</v>
      </c>
    </row>
    <row r="158">
      <c r="A158" s="8" t="inlineStr">
        <is>
          <t>Balance sheet (detail)</t>
        </is>
      </c>
      <c r="B158" s="8" t="inlineStr">
        <is>
          <t>F16</t>
        </is>
      </c>
      <c r="C158" s="8" t="inlineStr">
        <is>
          <t>10c. Land, buildings, and equipment, net</t>
        </is>
      </c>
      <c r="D158" s="8" t="inlineStr">
        <is>
          <t>10cE</t>
        </is>
      </c>
      <c r="E158" s="8" t="inlineStr">
        <is>
          <t>part_x_balance_sheet.land_bldg_equip_net_eoy</t>
        </is>
      </c>
      <c r="F158" s="8" t="inlineStr">
        <is>
          <t>high</t>
        </is>
      </c>
      <c r="G158" s="9" t="n">
        <v>909604</v>
      </c>
    </row>
    <row r="159">
      <c r="A159" s="8" t="inlineStr">
        <is>
          <t>Balance sheet (detail)</t>
        </is>
      </c>
      <c r="B159" s="8" t="inlineStr">
        <is>
          <t>B17</t>
        </is>
      </c>
      <c r="C159" s="8" t="inlineStr">
        <is>
          <t>11. Investments - publicly traded securities</t>
        </is>
      </c>
      <c r="D159" s="8" t="inlineStr">
        <is>
          <t>11E</t>
        </is>
      </c>
      <c r="E159" s="8" t="inlineStr">
        <is>
          <t>part_x_balance_sheet.investments_public_securities_eoy</t>
        </is>
      </c>
      <c r="F159" s="8" t="inlineStr">
        <is>
          <t>high</t>
        </is>
      </c>
      <c r="G159" s="9" t="n">
        <v>0</v>
      </c>
    </row>
    <row r="160">
      <c r="A160" s="8" t="inlineStr">
        <is>
          <t>Balance sheet (detail)</t>
        </is>
      </c>
      <c r="B160" s="8" t="inlineStr">
        <is>
          <t>C17</t>
        </is>
      </c>
      <c r="C160" s="8" t="inlineStr">
        <is>
          <t>11. Investments - publicly traded securities</t>
        </is>
      </c>
      <c r="D160" s="8" t="inlineStr">
        <is>
          <t>11E</t>
        </is>
      </c>
      <c r="E160" s="8" t="inlineStr">
        <is>
          <t>part_x_balance_sheet.investments_public_securities_eoy</t>
        </is>
      </c>
      <c r="F160" s="8" t="inlineStr">
        <is>
          <t>high</t>
        </is>
      </c>
      <c r="G160" s="9" t="n">
        <v>0</v>
      </c>
    </row>
    <row r="161">
      <c r="A161" s="8" t="inlineStr">
        <is>
          <t>Balance sheet (detail)</t>
        </is>
      </c>
      <c r="B161" s="8" t="inlineStr">
        <is>
          <t>B18</t>
        </is>
      </c>
      <c r="C161" s="8" t="inlineStr">
        <is>
          <t>12. Investments - other securities</t>
        </is>
      </c>
      <c r="D161" s="8" t="inlineStr">
        <is>
          <t>12E</t>
        </is>
      </c>
      <c r="E161" s="8" t="inlineStr">
        <is>
          <t>part_x_balance_sheet.investments_other_securities_eoy</t>
        </is>
      </c>
      <c r="F161" s="8" t="inlineStr">
        <is>
          <t>high</t>
        </is>
      </c>
      <c r="G161" s="9" t="n">
        <v>0</v>
      </c>
    </row>
    <row r="162">
      <c r="A162" s="8" t="inlineStr">
        <is>
          <t>Balance sheet (detail)</t>
        </is>
      </c>
      <c r="B162" s="8" t="inlineStr">
        <is>
          <t>C18</t>
        </is>
      </c>
      <c r="C162" s="8" t="inlineStr">
        <is>
          <t>12. Investments - other securities</t>
        </is>
      </c>
      <c r="D162" s="8" t="inlineStr">
        <is>
          <t>12E</t>
        </is>
      </c>
      <c r="E162" s="8" t="inlineStr">
        <is>
          <t>part_x_balance_sheet.investments_other_securities_eoy</t>
        </is>
      </c>
      <c r="F162" s="8" t="inlineStr">
        <is>
          <t>high</t>
        </is>
      </c>
      <c r="G162" s="9" t="n">
        <v>0</v>
      </c>
    </row>
    <row r="163">
      <c r="A163" s="8" t="inlineStr">
        <is>
          <t>Balance sheet (detail)</t>
        </is>
      </c>
      <c r="B163" s="8" t="inlineStr">
        <is>
          <t>B19</t>
        </is>
      </c>
      <c r="C163" s="8" t="inlineStr">
        <is>
          <t>13. Investments - program-related</t>
        </is>
      </c>
      <c r="D163" s="8" t="inlineStr">
        <is>
          <t>13E</t>
        </is>
      </c>
      <c r="E163" s="8" t="inlineStr">
        <is>
          <t>part_x_balance_sheet.investments_program_related_eoy</t>
        </is>
      </c>
      <c r="F163" s="8" t="inlineStr">
        <is>
          <t>high</t>
        </is>
      </c>
      <c r="G163" s="9" t="n">
        <v>0</v>
      </c>
    </row>
    <row r="164">
      <c r="A164" s="8" t="inlineStr">
        <is>
          <t>Balance sheet (detail)</t>
        </is>
      </c>
      <c r="B164" s="8" t="inlineStr">
        <is>
          <t>C19</t>
        </is>
      </c>
      <c r="C164" s="8" t="inlineStr">
        <is>
          <t>13. Investments - program-related</t>
        </is>
      </c>
      <c r="D164" s="8" t="inlineStr">
        <is>
          <t>13E</t>
        </is>
      </c>
      <c r="E164" s="8" t="inlineStr">
        <is>
          <t>part_x_balance_sheet.investments_program_related_eoy</t>
        </is>
      </c>
      <c r="F164" s="8" t="inlineStr">
        <is>
          <t>high</t>
        </is>
      </c>
      <c r="G164" s="9" t="n">
        <v>0</v>
      </c>
    </row>
    <row r="165">
      <c r="A165" s="8" t="inlineStr">
        <is>
          <t>Balance sheet (detail)</t>
        </is>
      </c>
      <c r="B165" s="8" t="inlineStr">
        <is>
          <t>B20</t>
        </is>
      </c>
      <c r="C165" s="8" t="inlineStr">
        <is>
          <t>14. Intangible assets</t>
        </is>
      </c>
      <c r="D165" s="8" t="inlineStr">
        <is>
          <t>14E</t>
        </is>
      </c>
      <c r="E165" s="8" t="inlineStr">
        <is>
          <t>part_x_balance_sheet.intangible_assets_eoy</t>
        </is>
      </c>
      <c r="F165" s="8" t="inlineStr">
        <is>
          <t>high</t>
        </is>
      </c>
      <c r="G165" s="9" t="n">
        <v>0</v>
      </c>
    </row>
    <row r="166">
      <c r="A166" s="8" t="inlineStr">
        <is>
          <t>Balance sheet (detail)</t>
        </is>
      </c>
      <c r="B166" s="8" t="inlineStr">
        <is>
          <t>C20</t>
        </is>
      </c>
      <c r="C166" s="8" t="inlineStr">
        <is>
          <t>14. Intangible assets</t>
        </is>
      </c>
      <c r="D166" s="8" t="inlineStr">
        <is>
          <t>14E</t>
        </is>
      </c>
      <c r="E166" s="8" t="inlineStr">
        <is>
          <t>part_x_balance_sheet.intangible_assets_eoy</t>
        </is>
      </c>
      <c r="F166" s="8" t="inlineStr">
        <is>
          <t>high</t>
        </is>
      </c>
      <c r="G166" s="9" t="n">
        <v>0</v>
      </c>
    </row>
    <row r="167">
      <c r="A167" s="8" t="inlineStr">
        <is>
          <t>Balance sheet (detail)</t>
        </is>
      </c>
      <c r="B167" s="8" t="inlineStr">
        <is>
          <t>B21</t>
        </is>
      </c>
      <c r="C167" s="8" t="inlineStr">
        <is>
          <t>15. Other assets</t>
        </is>
      </c>
      <c r="D167" s="8" t="inlineStr">
        <is>
          <t>15E</t>
        </is>
      </c>
      <c r="E167" s="8" t="inlineStr">
        <is>
          <t>part_x_balance_sheet.other_assets_eoy</t>
        </is>
      </c>
      <c r="F167" s="8" t="inlineStr">
        <is>
          <t>high</t>
        </is>
      </c>
      <c r="G167" s="9" t="n">
        <v>0</v>
      </c>
    </row>
    <row r="168">
      <c r="A168" s="8" t="inlineStr">
        <is>
          <t>Balance sheet (detail)</t>
        </is>
      </c>
      <c r="B168" s="8" t="inlineStr">
        <is>
          <t>C21</t>
        </is>
      </c>
      <c r="C168" s="8" t="inlineStr">
        <is>
          <t>15. Other assets</t>
        </is>
      </c>
      <c r="D168" s="8" t="inlineStr">
        <is>
          <t>15E</t>
        </is>
      </c>
      <c r="E168" s="8" t="inlineStr">
        <is>
          <t>part_x_balance_sheet.other_assets_eoy</t>
        </is>
      </c>
      <c r="F168" s="8" t="inlineStr">
        <is>
          <t>high</t>
        </is>
      </c>
      <c r="G168" s="9" t="n">
        <v>0</v>
      </c>
    </row>
    <row r="169">
      <c r="A169" s="8" t="inlineStr">
        <is>
          <t>Balance sheet (detail)</t>
        </is>
      </c>
      <c r="B169" s="8" t="inlineStr">
        <is>
          <t>B25</t>
        </is>
      </c>
      <c r="C169" s="8" t="inlineStr">
        <is>
          <t>23. Secured mortgages and notes payable</t>
        </is>
      </c>
      <c r="D169" s="8" t="inlineStr">
        <is>
          <t>23E</t>
        </is>
      </c>
      <c r="E169" s="8" t="inlineStr">
        <is>
          <t>part_x_balance_sheet.mortgages_secured_notes_eoy</t>
        </is>
      </c>
      <c r="F169" s="8" t="inlineStr">
        <is>
          <t>high</t>
        </is>
      </c>
      <c r="G169" s="9" t="n">
        <v>375813</v>
      </c>
    </row>
    <row r="170">
      <c r="A170" s="8" t="inlineStr">
        <is>
          <t>Balance sheet (detail)</t>
        </is>
      </c>
      <c r="B170" s="8" t="inlineStr">
        <is>
          <t>C25</t>
        </is>
      </c>
      <c r="C170" s="8" t="inlineStr">
        <is>
          <t>23. Secured mortgages and notes payable</t>
        </is>
      </c>
      <c r="D170" s="8" t="inlineStr">
        <is>
          <t>23E</t>
        </is>
      </c>
      <c r="E170" s="8" t="inlineStr">
        <is>
          <t>part_x_balance_sheet.mortgages_secured_notes_eoy</t>
        </is>
      </c>
      <c r="F170" s="8" t="inlineStr">
        <is>
          <t>high</t>
        </is>
      </c>
      <c r="G170" s="9" t="n">
        <v>325739</v>
      </c>
    </row>
    <row r="171">
      <c r="A171" s="8" t="inlineStr">
        <is>
          <t>Balance sheet (detail)</t>
        </is>
      </c>
      <c r="B171" s="8" t="inlineStr">
        <is>
          <t>B26</t>
        </is>
      </c>
      <c r="C171" s="8" t="inlineStr">
        <is>
          <t>25. Other liabilities</t>
        </is>
      </c>
      <c r="D171" s="8" t="inlineStr">
        <is>
          <t>25E</t>
        </is>
      </c>
      <c r="E171" s="8" t="inlineStr">
        <is>
          <t>part_x_balance_sheet.other_liabilities_eoy</t>
        </is>
      </c>
      <c r="F171" s="8" t="inlineStr">
        <is>
          <t>high</t>
        </is>
      </c>
      <c r="G171" s="9" t="n">
        <v>68702</v>
      </c>
    </row>
    <row r="172">
      <c r="A172" s="8" t="inlineStr">
        <is>
          <t>Balance sheet (detail)</t>
        </is>
      </c>
      <c r="B172" s="8" t="inlineStr">
        <is>
          <t>C26</t>
        </is>
      </c>
      <c r="C172" s="8" t="inlineStr">
        <is>
          <t>25. Other liabilities</t>
        </is>
      </c>
      <c r="D172" s="8" t="inlineStr">
        <is>
          <t>25E</t>
        </is>
      </c>
      <c r="E172" s="8" t="inlineStr">
        <is>
          <t>part_x_balance_sheet.other_liabilities_eoy</t>
        </is>
      </c>
      <c r="F172" s="8" t="inlineStr">
        <is>
          <t>high</t>
        </is>
      </c>
      <c r="G172" s="9" t="n">
        <v>67463</v>
      </c>
    </row>
    <row r="173">
      <c r="A173" s="8" t="inlineStr">
        <is>
          <t>Balance sheet (detail)</t>
        </is>
      </c>
      <c r="B173" s="8" t="inlineStr">
        <is>
          <t>D26</t>
        </is>
      </c>
      <c r="C173" s="8" t="inlineStr">
        <is>
          <t>25. Other liabilities</t>
        </is>
      </c>
      <c r="D173" s="8" t="inlineStr">
        <is>
          <t>25E</t>
        </is>
      </c>
      <c r="E173" s="8" t="inlineStr">
        <is>
          <t>part_x_balance_sheet.other_liabilities_eoy</t>
        </is>
      </c>
      <c r="F173" s="8" t="inlineStr">
        <is>
          <t>high</t>
        </is>
      </c>
      <c r="G173" s="9" t="n">
        <v>339894</v>
      </c>
    </row>
    <row r="174">
      <c r="A174" s="8" t="inlineStr">
        <is>
          <t>Balance sheet (detail)</t>
        </is>
      </c>
      <c r="B174" s="8" t="inlineStr">
        <is>
          <t>E26</t>
        </is>
      </c>
      <c r="C174" s="8" t="inlineStr">
        <is>
          <t>25. Other liabilities</t>
        </is>
      </c>
      <c r="D174" s="8" t="inlineStr">
        <is>
          <t>25E</t>
        </is>
      </c>
      <c r="E174" s="8" t="inlineStr">
        <is>
          <t>part_x_balance_sheet.other_liabilities_eoy</t>
        </is>
      </c>
      <c r="F174" s="8" t="inlineStr">
        <is>
          <t>high</t>
        </is>
      </c>
      <c r="G174" s="9" t="n">
        <v>284530</v>
      </c>
    </row>
    <row r="175">
      <c r="A175" s="8" t="inlineStr">
        <is>
          <t>Balance sheet (detail)</t>
        </is>
      </c>
      <c r="B175" s="8" t="inlineStr">
        <is>
          <t>F26</t>
        </is>
      </c>
      <c r="C175" s="8" t="inlineStr">
        <is>
          <t>25. Other liabilities</t>
        </is>
      </c>
      <c r="D175" s="8" t="inlineStr">
        <is>
          <t>25E</t>
        </is>
      </c>
      <c r="E175" s="8" t="inlineStr">
        <is>
          <t>part_x_balance_sheet.other_liabilities_eoy</t>
        </is>
      </c>
      <c r="F175" s="8" t="inlineStr">
        <is>
          <t>high</t>
        </is>
      </c>
      <c r="G175" s="9" t="n">
        <v>226912</v>
      </c>
    </row>
    <row r="176">
      <c r="A176" s="8" t="inlineStr">
        <is>
          <t>Balance sheet (detail)</t>
        </is>
      </c>
      <c r="B176" s="8" t="inlineStr">
        <is>
          <t>D30</t>
        </is>
      </c>
      <c r="C176" s="8" t="inlineStr">
        <is>
          <t>29. Capital stock or trust principal</t>
        </is>
      </c>
      <c r="D176" s="8" t="inlineStr">
        <is>
          <t>29E</t>
        </is>
      </c>
      <c r="E176" s="8" t="inlineStr">
        <is>
          <t>part_x_balance_sheet.cap_stock_eoy</t>
        </is>
      </c>
      <c r="F176" s="8" t="inlineStr">
        <is>
          <t>high</t>
        </is>
      </c>
      <c r="G176" s="9" t="n">
        <v>0</v>
      </c>
    </row>
    <row r="177">
      <c r="A177" s="8" t="inlineStr">
        <is>
          <t>Balance sheet (detail)</t>
        </is>
      </c>
      <c r="B177" s="8" t="inlineStr">
        <is>
          <t>E30</t>
        </is>
      </c>
      <c r="C177" s="8" t="inlineStr">
        <is>
          <t>29. Capital stock or trust principal</t>
        </is>
      </c>
      <c r="D177" s="8" t="inlineStr">
        <is>
          <t>29E</t>
        </is>
      </c>
      <c r="E177" s="8" t="inlineStr">
        <is>
          <t>part_x_balance_sheet.cap_stock_eoy</t>
        </is>
      </c>
      <c r="F177" s="8" t="inlineStr">
        <is>
          <t>high</t>
        </is>
      </c>
      <c r="G177" s="9" t="n">
        <v>0</v>
      </c>
    </row>
    <row r="178">
      <c r="A178" s="8" t="inlineStr">
        <is>
          <t>Balance sheet (detail)</t>
        </is>
      </c>
      <c r="B178" s="8" t="inlineStr">
        <is>
          <t>F30</t>
        </is>
      </c>
      <c r="C178" s="8" t="inlineStr">
        <is>
          <t>29. Capital stock or trust principal</t>
        </is>
      </c>
      <c r="D178" s="8" t="inlineStr">
        <is>
          <t>29E</t>
        </is>
      </c>
      <c r="E178" s="8" t="inlineStr">
        <is>
          <t>part_x_balance_sheet.cap_stock_eoy</t>
        </is>
      </c>
      <c r="F178" s="8" t="inlineStr">
        <is>
          <t>high</t>
        </is>
      </c>
      <c r="G178" s="9" t="n">
        <v>0</v>
      </c>
    </row>
    <row r="179">
      <c r="A179" s="8" t="inlineStr">
        <is>
          <t>Balance sheet (detail)</t>
        </is>
      </c>
      <c r="B179" s="8" t="inlineStr">
        <is>
          <t>D31</t>
        </is>
      </c>
      <c r="C179" s="8" t="inlineStr">
        <is>
          <t>30. Paid-in or capital surplus</t>
        </is>
      </c>
      <c r="D179" s="8" t="inlineStr">
        <is>
          <t>30E</t>
        </is>
      </c>
      <c r="E179" s="8" t="inlineStr">
        <is>
          <t>part_x_balance_sheet.paid_in_capital_eoy</t>
        </is>
      </c>
      <c r="F179" s="8" t="inlineStr">
        <is>
          <t>high</t>
        </is>
      </c>
      <c r="G179" s="9" t="n">
        <v>0</v>
      </c>
    </row>
    <row r="180">
      <c r="A180" s="8" t="inlineStr">
        <is>
          <t>Balance sheet (detail)</t>
        </is>
      </c>
      <c r="B180" s="8" t="inlineStr">
        <is>
          <t>E31</t>
        </is>
      </c>
      <c r="C180" s="8" t="inlineStr">
        <is>
          <t>30. Paid-in or capital surplus</t>
        </is>
      </c>
      <c r="D180" s="8" t="inlineStr">
        <is>
          <t>30E</t>
        </is>
      </c>
      <c r="E180" s="8" t="inlineStr">
        <is>
          <t>part_x_balance_sheet.paid_in_capital_eoy</t>
        </is>
      </c>
      <c r="F180" s="8" t="inlineStr">
        <is>
          <t>high</t>
        </is>
      </c>
      <c r="G180" s="9" t="n">
        <v>0</v>
      </c>
    </row>
    <row r="181">
      <c r="A181" s="8" t="inlineStr">
        <is>
          <t>Balance sheet (detail)</t>
        </is>
      </c>
      <c r="B181" s="8" t="inlineStr">
        <is>
          <t>F31</t>
        </is>
      </c>
      <c r="C181" s="8" t="inlineStr">
        <is>
          <t>30. Paid-in or capital surplus</t>
        </is>
      </c>
      <c r="D181" s="8" t="inlineStr">
        <is>
          <t>30E</t>
        </is>
      </c>
      <c r="E181" s="8" t="inlineStr">
        <is>
          <t>part_x_balance_sheet.paid_in_capital_eoy</t>
        </is>
      </c>
      <c r="F181" s="8" t="inlineStr">
        <is>
          <t>high</t>
        </is>
      </c>
      <c r="G181" s="9" t="n">
        <v>0</v>
      </c>
    </row>
    <row r="182">
      <c r="A182" s="8" t="inlineStr">
        <is>
          <t>Balance sheet (detail)</t>
        </is>
      </c>
      <c r="B182" s="8" t="inlineStr">
        <is>
          <t>B32</t>
        </is>
      </c>
      <c r="C182" s="8" t="inlineStr">
        <is>
          <t>31. Retained earnings / accumulated funds</t>
        </is>
      </c>
      <c r="D182" s="8" t="inlineStr">
        <is>
          <t>31E</t>
        </is>
      </c>
      <c r="E182" s="8" t="inlineStr">
        <is>
          <t>part_x_balance_sheet.retained_earnings_eoy</t>
        </is>
      </c>
      <c r="F182" s="8" t="inlineStr">
        <is>
          <t>high</t>
        </is>
      </c>
      <c r="G182" s="9" t="n">
        <v>1292674</v>
      </c>
    </row>
    <row r="183">
      <c r="A183" s="8" t="inlineStr">
        <is>
          <t>Balance sheet (detail)</t>
        </is>
      </c>
      <c r="B183" s="8" t="inlineStr">
        <is>
          <t>C32</t>
        </is>
      </c>
      <c r="C183" s="8" t="inlineStr">
        <is>
          <t>31. Retained earnings / accumulated funds</t>
        </is>
      </c>
      <c r="D183" s="8" t="inlineStr">
        <is>
          <t>31E</t>
        </is>
      </c>
      <c r="E183" s="8" t="inlineStr">
        <is>
          <t>part_x_balance_sheet.retained_earnings_eoy</t>
        </is>
      </c>
      <c r="F183" s="8" t="inlineStr">
        <is>
          <t>high</t>
        </is>
      </c>
      <c r="G183" s="9" t="n">
        <v>1452972</v>
      </c>
    </row>
    <row r="184">
      <c r="A184" s="8" t="inlineStr">
        <is>
          <t>Balance sheet (detail)</t>
        </is>
      </c>
      <c r="B184" s="8" t="inlineStr">
        <is>
          <t>D32</t>
        </is>
      </c>
      <c r="C184" s="8" t="inlineStr">
        <is>
          <t>31. Retained earnings / accumulated funds</t>
        </is>
      </c>
      <c r="D184" s="8" t="inlineStr">
        <is>
          <t>31E</t>
        </is>
      </c>
      <c r="E184" s="8" t="inlineStr">
        <is>
          <t>part_x_balance_sheet.retained_earnings_eoy</t>
        </is>
      </c>
      <c r="F184" s="8" t="inlineStr">
        <is>
          <t>high</t>
        </is>
      </c>
      <c r="G184" s="9" t="n">
        <v>1544961</v>
      </c>
    </row>
    <row r="185">
      <c r="A185" s="8" t="inlineStr">
        <is>
          <t>Balance sheet (detail)</t>
        </is>
      </c>
      <c r="B185" s="8" t="inlineStr">
        <is>
          <t>E32</t>
        </is>
      </c>
      <c r="C185" s="8" t="inlineStr">
        <is>
          <t>31. Retained earnings / accumulated funds</t>
        </is>
      </c>
      <c r="D185" s="8" t="inlineStr">
        <is>
          <t>31E</t>
        </is>
      </c>
      <c r="E185" s="8" t="inlineStr">
        <is>
          <t>part_x_balance_sheet.retained_earnings_eoy</t>
        </is>
      </c>
      <c r="F185" s="8" t="inlineStr">
        <is>
          <t>high</t>
        </is>
      </c>
      <c r="G185" s="9" t="n">
        <v>1492139</v>
      </c>
    </row>
    <row r="186">
      <c r="A186" s="8" t="inlineStr">
        <is>
          <t>Balance sheet (detail)</t>
        </is>
      </c>
      <c r="B186" s="8" t="inlineStr">
        <is>
          <t>F32</t>
        </is>
      </c>
      <c r="C186" s="8" t="inlineStr">
        <is>
          <t>31. Retained earnings / accumulated funds</t>
        </is>
      </c>
      <c r="D186" s="8" t="inlineStr">
        <is>
          <t>31E</t>
        </is>
      </c>
      <c r="E186" s="8" t="inlineStr">
        <is>
          <t>part_x_balance_sheet.retained_earnings_eoy</t>
        </is>
      </c>
      <c r="F186" s="8" t="inlineStr">
        <is>
          <t>high</t>
        </is>
      </c>
      <c r="G186" s="9" t="n">
        <v>1505374</v>
      </c>
    </row>
    <row r="187">
      <c r="A187" s="8" t="inlineStr">
        <is>
          <t>Net-assets reconciliation</t>
        </is>
      </c>
      <c r="B187" s="8" t="inlineStr">
        <is>
          <t>B7</t>
        </is>
      </c>
      <c r="C187" s="8" t="inlineStr">
        <is>
          <t>4. Net assets, beginning of year</t>
        </is>
      </c>
      <c r="D187" s="8" t="inlineStr">
        <is>
          <t>Part XI line 4</t>
        </is>
      </c>
      <c r="E187" s="8" t="inlineStr">
        <is>
          <t>part_xi_reconciliation.net_assets_boy</t>
        </is>
      </c>
      <c r="F187" s="8" t="inlineStr">
        <is>
          <t>high</t>
        </is>
      </c>
      <c r="G187" s="9" t="n">
        <v>1233038</v>
      </c>
    </row>
    <row r="188">
      <c r="A188" s="8" t="inlineStr">
        <is>
          <t>Net-assets reconciliation</t>
        </is>
      </c>
      <c r="B188" s="8" t="inlineStr">
        <is>
          <t>C7</t>
        </is>
      </c>
      <c r="C188" s="8" t="inlineStr">
        <is>
          <t>4. Net assets, beginning of year</t>
        </is>
      </c>
      <c r="D188" s="8" t="inlineStr">
        <is>
          <t>Part XI line 4</t>
        </is>
      </c>
      <c r="E188" s="8" t="inlineStr">
        <is>
          <t>part_xi_reconciliation.net_assets_boy</t>
        </is>
      </c>
      <c r="F188" s="8" t="inlineStr">
        <is>
          <t>high</t>
        </is>
      </c>
      <c r="G188" s="9" t="n">
        <v>1292674</v>
      </c>
    </row>
    <row r="189">
      <c r="A189" s="8" t="inlineStr">
        <is>
          <t>Net-assets reconciliation</t>
        </is>
      </c>
      <c r="B189" s="8" t="inlineStr">
        <is>
          <t>D7</t>
        </is>
      </c>
      <c r="C189" s="8" t="inlineStr">
        <is>
          <t>4. Net assets, beginning of year</t>
        </is>
      </c>
      <c r="D189" s="8" t="inlineStr">
        <is>
          <t>Part XI line 4</t>
        </is>
      </c>
      <c r="E189" s="8" t="inlineStr">
        <is>
          <t>part_xi_reconciliation.net_assets_boy</t>
        </is>
      </c>
      <c r="F189" s="8" t="inlineStr">
        <is>
          <t>high</t>
        </is>
      </c>
      <c r="G189" s="9" t="n">
        <v>1452972</v>
      </c>
    </row>
    <row r="190">
      <c r="A190" s="8" t="inlineStr">
        <is>
          <t>Net-assets reconciliation</t>
        </is>
      </c>
      <c r="B190" s="8" t="inlineStr">
        <is>
          <t>E7</t>
        </is>
      </c>
      <c r="C190" s="8" t="inlineStr">
        <is>
          <t>4. Net assets, beginning of year</t>
        </is>
      </c>
      <c r="D190" s="8" t="inlineStr">
        <is>
          <t>Part XI line 4</t>
        </is>
      </c>
      <c r="E190" s="8" t="inlineStr">
        <is>
          <t>part_xi_reconciliation.net_assets_boy</t>
        </is>
      </c>
      <c r="F190" s="8" t="inlineStr">
        <is>
          <t>high</t>
        </is>
      </c>
      <c r="G190" s="9" t="n">
        <v>1544961</v>
      </c>
    </row>
    <row r="191">
      <c r="A191" s="8" t="inlineStr">
        <is>
          <t>Net-assets reconciliation</t>
        </is>
      </c>
      <c r="B191" s="8" t="inlineStr">
        <is>
          <t>F7</t>
        </is>
      </c>
      <c r="C191" s="8" t="inlineStr">
        <is>
          <t>4. Net assets, beginning of year</t>
        </is>
      </c>
      <c r="D191" s="8" t="inlineStr">
        <is>
          <t>Part XI line 4</t>
        </is>
      </c>
      <c r="E191" s="8" t="inlineStr">
        <is>
          <t>part_xi_reconciliation.net_assets_boy</t>
        </is>
      </c>
      <c r="F191" s="8" t="inlineStr">
        <is>
          <t>high</t>
        </is>
      </c>
      <c r="G191" s="9" t="n">
        <v>1492139</v>
      </c>
    </row>
    <row r="192">
      <c r="A192" s="8" t="inlineStr">
        <is>
          <t>Net-assets reconciliation</t>
        </is>
      </c>
      <c r="B192" s="8" t="inlineStr">
        <is>
          <t>B8</t>
        </is>
      </c>
      <c r="C192" s="8" t="inlineStr">
        <is>
          <t>3. Revenue less expenses</t>
        </is>
      </c>
      <c r="D192" s="8" t="inlineStr">
        <is>
          <t>Part XI line 3</t>
        </is>
      </c>
      <c r="E192" s="8" t="inlineStr">
        <is>
          <t>part_xi_reconciliation.reconciliation_revenue_expenses</t>
        </is>
      </c>
      <c r="F192" s="8" t="inlineStr">
        <is>
          <t>high</t>
        </is>
      </c>
      <c r="G192" s="9" t="n">
        <v>59636</v>
      </c>
    </row>
    <row r="193">
      <c r="A193" s="8" t="inlineStr">
        <is>
          <t>Net-assets reconciliation</t>
        </is>
      </c>
      <c r="B193" s="8" t="inlineStr">
        <is>
          <t>C8</t>
        </is>
      </c>
      <c r="C193" s="8" t="inlineStr">
        <is>
          <t>3. Revenue less expenses</t>
        </is>
      </c>
      <c r="D193" s="8" t="inlineStr">
        <is>
          <t>Part XI line 3</t>
        </is>
      </c>
      <c r="E193" s="8" t="inlineStr">
        <is>
          <t>part_xi_reconciliation.reconciliation_revenue_expenses</t>
        </is>
      </c>
      <c r="F193" s="8" t="inlineStr">
        <is>
          <t>high</t>
        </is>
      </c>
      <c r="G193" s="9" t="n">
        <v>160298</v>
      </c>
    </row>
    <row r="194">
      <c r="A194" s="8" t="inlineStr">
        <is>
          <t>Net-assets reconciliation</t>
        </is>
      </c>
      <c r="B194" s="8" t="inlineStr">
        <is>
          <t>D8</t>
        </is>
      </c>
      <c r="C194" s="8" t="inlineStr">
        <is>
          <t>3. Revenue less expenses</t>
        </is>
      </c>
      <c r="D194" s="8" t="inlineStr">
        <is>
          <t>Part XI line 3</t>
        </is>
      </c>
      <c r="E194" s="8" t="inlineStr">
        <is>
          <t>part_xi_reconciliation.reconciliation_revenue_expenses</t>
        </is>
      </c>
      <c r="F194" s="8" t="inlineStr">
        <is>
          <t>high</t>
        </is>
      </c>
      <c r="G194" s="9" t="n">
        <v>91989</v>
      </c>
    </row>
    <row r="195">
      <c r="A195" s="8" t="inlineStr">
        <is>
          <t>Net-assets reconciliation</t>
        </is>
      </c>
      <c r="B195" s="8" t="inlineStr">
        <is>
          <t>E8</t>
        </is>
      </c>
      <c r="C195" s="8" t="inlineStr">
        <is>
          <t>3. Revenue less expenses</t>
        </is>
      </c>
      <c r="D195" s="8" t="inlineStr">
        <is>
          <t>Part XI line 3</t>
        </is>
      </c>
      <c r="E195" s="8" t="inlineStr">
        <is>
          <t>part_xi_reconciliation.reconciliation_revenue_expenses</t>
        </is>
      </c>
      <c r="F195" s="8" t="inlineStr">
        <is>
          <t>high</t>
        </is>
      </c>
      <c r="G195" s="9" t="n">
        <v>-52822</v>
      </c>
    </row>
    <row r="196">
      <c r="A196" s="8" t="inlineStr">
        <is>
          <t>Net-assets reconciliation</t>
        </is>
      </c>
      <c r="B196" s="8" t="inlineStr">
        <is>
          <t>F8</t>
        </is>
      </c>
      <c r="C196" s="8" t="inlineStr">
        <is>
          <t>3. Revenue less expenses</t>
        </is>
      </c>
      <c r="D196" s="8" t="inlineStr">
        <is>
          <t>Part XI line 3</t>
        </is>
      </c>
      <c r="E196" s="8" t="inlineStr">
        <is>
          <t>part_xi_reconciliation.reconciliation_revenue_expenses</t>
        </is>
      </c>
      <c r="F196" s="8" t="inlineStr">
        <is>
          <t>high</t>
        </is>
      </c>
      <c r="G196" s="9" t="n">
        <v>13235</v>
      </c>
    </row>
    <row r="197">
      <c r="A197" s="8" t="inlineStr">
        <is>
          <t>Net-assets reconciliation</t>
        </is>
      </c>
      <c r="B197" s="8" t="inlineStr">
        <is>
          <t>D10</t>
        </is>
      </c>
      <c r="C197" s="8" t="inlineStr">
        <is>
          <t>9. Other changes in net assets</t>
        </is>
      </c>
      <c r="D197" s="8" t="inlineStr">
        <is>
          <t>Part XI line 9</t>
        </is>
      </c>
      <c r="E197" s="8" t="inlineStr">
        <is>
          <t>part_xi_reconciliation.other_changes_net_assets</t>
        </is>
      </c>
      <c r="F197" s="8" t="inlineStr">
        <is>
          <t>high</t>
        </is>
      </c>
      <c r="G197" s="9" t="n">
        <v>0</v>
      </c>
    </row>
    <row r="198">
      <c r="A198" s="8" t="inlineStr">
        <is>
          <t>Net-assets reconciliation</t>
        </is>
      </c>
      <c r="B198" s="8" t="inlineStr">
        <is>
          <t>E10</t>
        </is>
      </c>
      <c r="C198" s="8" t="inlineStr">
        <is>
          <t>9. Other changes in net assets</t>
        </is>
      </c>
      <c r="D198" s="8" t="inlineStr">
        <is>
          <t>Part XI line 9</t>
        </is>
      </c>
      <c r="E198" s="8" t="inlineStr">
        <is>
          <t>part_xi_reconciliation.other_changes_net_assets</t>
        </is>
      </c>
      <c r="F198" s="8" t="inlineStr">
        <is>
          <t>high</t>
        </is>
      </c>
      <c r="G198" s="9" t="n">
        <v>0</v>
      </c>
    </row>
    <row r="199">
      <c r="A199" s="8" t="inlineStr">
        <is>
          <t>Net-assets reconciliation</t>
        </is>
      </c>
      <c r="B199" s="8" t="inlineStr">
        <is>
          <t>F10</t>
        </is>
      </c>
      <c r="C199" s="8" t="inlineStr">
        <is>
          <t>9. Other changes in net assets</t>
        </is>
      </c>
      <c r="D199" s="8" t="inlineStr">
        <is>
          <t>Part XI line 9</t>
        </is>
      </c>
      <c r="E199" s="8" t="inlineStr">
        <is>
          <t>part_xi_reconciliation.other_changes_net_assets</t>
        </is>
      </c>
      <c r="F199" s="8" t="inlineStr">
        <is>
          <t>high</t>
        </is>
      </c>
      <c r="G199" s="9" t="n">
        <v>0</v>
      </c>
    </row>
    <row r="201">
      <c r="A201" s="47" t="inlineStr">
        <is>
          <t>C. Tie-out checks (filed vs computed; any nonzero variance is flagged red)</t>
        </is>
      </c>
      <c r="B201" s="7" t="n"/>
      <c r="C201" s="7" t="n"/>
      <c r="D201" s="7" t="n"/>
      <c r="E201" s="7" t="n"/>
      <c r="F201" s="7" t="n"/>
      <c r="G201" s="7" t="n"/>
      <c r="H201" s="7" t="n"/>
      <c r="I201" s="7" t="n"/>
      <c r="J201" s="7" t="n"/>
      <c r="K201" s="7" t="n"/>
    </row>
    <row r="202">
      <c r="A202" s="5" t="inlineStr">
        <is>
          <t>Tab</t>
        </is>
      </c>
      <c r="B202" s="5" t="inlineStr">
        <is>
          <t>Check</t>
        </is>
      </c>
      <c r="C202" s="5" t="inlineStr">
        <is>
          <t>Fiscal year</t>
        </is>
      </c>
      <c r="D202" s="5" t="inlineStr">
        <is>
          <t>Filed</t>
        </is>
      </c>
      <c r="E202" s="5" t="inlineStr">
        <is>
          <t>Computed</t>
        </is>
      </c>
      <c r="F202" s="5" t="inlineStr">
        <is>
          <t>Variance (computed - filed)</t>
        </is>
      </c>
    </row>
    <row r="203">
      <c r="A203" s="45" t="inlineStr">
        <is>
          <t>Revenue (detail)</t>
        </is>
      </c>
      <c r="B203" s="45" t="inlineStr">
        <is>
          <t>12. Total revenue</t>
        </is>
      </c>
      <c r="C203" s="45" t="inlineStr">
        <is>
          <t>FY2020</t>
        </is>
      </c>
      <c r="D203" s="9" t="n">
        <v>527779</v>
      </c>
      <c r="E203" s="9">
        <f>'Revenue (detail)'!B13</f>
        <v/>
      </c>
      <c r="F203" s="9">
        <f>E203-D203</f>
        <v/>
      </c>
    </row>
    <row r="204">
      <c r="A204" s="45" t="inlineStr">
        <is>
          <t>Revenue (detail)</t>
        </is>
      </c>
      <c r="B204" s="45" t="inlineStr">
        <is>
          <t>12. Total revenue</t>
        </is>
      </c>
      <c r="C204" s="45" t="inlineStr">
        <is>
          <t>FY2021</t>
        </is>
      </c>
      <c r="D204" s="9" t="n">
        <v>591266</v>
      </c>
      <c r="E204" s="9">
        <f>'Revenue (detail)'!C13</f>
        <v/>
      </c>
      <c r="F204" s="9">
        <f>E204-D204</f>
        <v/>
      </c>
    </row>
    <row r="205">
      <c r="A205" s="45" t="inlineStr">
        <is>
          <t>Revenue (detail)</t>
        </is>
      </c>
      <c r="B205" s="45" t="inlineStr">
        <is>
          <t>12. Total revenue</t>
        </is>
      </c>
      <c r="C205" s="45" t="inlineStr">
        <is>
          <t>FY2022</t>
        </is>
      </c>
      <c r="D205" s="9" t="n">
        <v>618740</v>
      </c>
      <c r="E205" s="9">
        <f>'Revenue (detail)'!D13</f>
        <v/>
      </c>
      <c r="F205" s="9">
        <f>E205-D205</f>
        <v/>
      </c>
    </row>
    <row r="206">
      <c r="A206" s="45" t="inlineStr">
        <is>
          <t>Revenue (detail)</t>
        </is>
      </c>
      <c r="B206" s="45" t="inlineStr">
        <is>
          <t>12. Total revenue</t>
        </is>
      </c>
      <c r="C206" s="45" t="inlineStr">
        <is>
          <t>FY2023</t>
        </is>
      </c>
      <c r="D206" s="9" t="n">
        <v>492262</v>
      </c>
      <c r="E206" s="9">
        <f>'Revenue (detail)'!E13</f>
        <v/>
      </c>
      <c r="F206" s="9">
        <f>E206-D206</f>
        <v/>
      </c>
    </row>
    <row r="207">
      <c r="A207" s="45" t="inlineStr">
        <is>
          <t>Revenue (detail)</t>
        </is>
      </c>
      <c r="B207" s="45" t="inlineStr">
        <is>
          <t>12. Total revenue</t>
        </is>
      </c>
      <c r="C207" s="45" t="inlineStr">
        <is>
          <t>FY2024</t>
        </is>
      </c>
      <c r="D207" s="9" t="n">
        <v>729675</v>
      </c>
      <c r="E207" s="9">
        <f>'Revenue (detail)'!F13</f>
        <v/>
      </c>
      <c r="F207" s="9">
        <f>E207-D207</f>
        <v/>
      </c>
    </row>
    <row r="208">
      <c r="A208" s="45" t="inlineStr">
        <is>
          <t>Revenue (detail)</t>
        </is>
      </c>
      <c r="B208" s="45" t="inlineStr">
        <is>
          <t>2g program service revenue = sum of lines 2a-2f (FY2024)</t>
        </is>
      </c>
      <c r="C208" s="45" t="inlineStr">
        <is>
          <t>FY2024</t>
        </is>
      </c>
      <c r="D208" s="9" t="n">
        <v>695774</v>
      </c>
      <c r="E208" s="9">
        <f>SUM('Revenue (detail)'!C17:C17)</f>
        <v/>
      </c>
      <c r="F208" s="9">
        <f>E208-D208</f>
        <v/>
      </c>
    </row>
    <row r="209">
      <c r="A209" s="45" t="inlineStr">
        <is>
          <t>Operating expenses (detail)</t>
        </is>
      </c>
      <c r="B209" s="45" t="inlineStr">
        <is>
          <t>25. Total functional expenses</t>
        </is>
      </c>
      <c r="C209" s="45" t="inlineStr">
        <is>
          <t>FY2020</t>
        </is>
      </c>
      <c r="D209" s="9" t="n">
        <v>468143</v>
      </c>
      <c r="E209" s="9">
        <f>'Operating expenses (detail)'!B46</f>
        <v/>
      </c>
      <c r="F209" s="9">
        <f>E209-D209</f>
        <v/>
      </c>
    </row>
    <row r="210">
      <c r="A210" s="45" t="inlineStr">
        <is>
          <t>Operating expenses (detail)</t>
        </is>
      </c>
      <c r="B210" s="45" t="inlineStr">
        <is>
          <t>25. Total functional expenses</t>
        </is>
      </c>
      <c r="C210" s="45" t="inlineStr">
        <is>
          <t>FY2021</t>
        </is>
      </c>
      <c r="D210" s="9" t="n">
        <v>430968</v>
      </c>
      <c r="E210" s="9">
        <f>'Operating expenses (detail)'!C46</f>
        <v/>
      </c>
      <c r="F210" s="9">
        <f>E210-D210</f>
        <v/>
      </c>
    </row>
    <row r="211">
      <c r="A211" s="45" t="inlineStr">
        <is>
          <t>Operating expenses (detail)</t>
        </is>
      </c>
      <c r="B211" s="45" t="inlineStr">
        <is>
          <t>25. Total functional expenses</t>
        </is>
      </c>
      <c r="C211" s="45" t="inlineStr">
        <is>
          <t>FY2022</t>
        </is>
      </c>
      <c r="D211" s="9" t="n">
        <v>526751</v>
      </c>
      <c r="E211" s="9">
        <f>'Operating expenses (detail)'!D46</f>
        <v/>
      </c>
      <c r="F211" s="9">
        <f>E211-D211</f>
        <v/>
      </c>
    </row>
    <row r="212">
      <c r="A212" s="45" t="inlineStr">
        <is>
          <t>Operating expenses (detail)</t>
        </is>
      </c>
      <c r="B212" s="45" t="inlineStr">
        <is>
          <t>25. Total functional expenses</t>
        </is>
      </c>
      <c r="C212" s="45" t="inlineStr">
        <is>
          <t>FY2023</t>
        </is>
      </c>
      <c r="D212" s="9" t="n">
        <v>545084</v>
      </c>
      <c r="E212" s="9">
        <f>'Operating expenses (detail)'!E46</f>
        <v/>
      </c>
      <c r="F212" s="9">
        <f>E212-D212</f>
        <v/>
      </c>
    </row>
    <row r="213">
      <c r="A213" s="45" t="inlineStr">
        <is>
          <t>Operating expenses (detail)</t>
        </is>
      </c>
      <c r="B213" s="45" t="inlineStr">
        <is>
          <t>25. Total functional expenses</t>
        </is>
      </c>
      <c r="C213" s="45" t="inlineStr">
        <is>
          <t>FY2024</t>
        </is>
      </c>
      <c r="D213" s="9" t="n">
        <v>716440</v>
      </c>
      <c r="E213" s="9">
        <f>'Operating expenses (detail)'!F46</f>
        <v/>
      </c>
      <c r="F213" s="9">
        <f>E213-D213</f>
        <v/>
      </c>
    </row>
    <row r="214">
      <c r="A214" s="45" t="inlineStr">
        <is>
          <t>Balance sheet (detail)</t>
        </is>
      </c>
      <c r="B214" s="45" t="inlineStr">
        <is>
          <t>16. Total assets</t>
        </is>
      </c>
      <c r="C214" s="45" t="inlineStr">
        <is>
          <t>FY2020</t>
        </is>
      </c>
      <c r="D214" s="9" t="n">
        <v>1737189</v>
      </c>
      <c r="E214" s="9">
        <f>'Balance sheet (detail)'!B22</f>
        <v/>
      </c>
      <c r="F214" s="9">
        <f>E214-D214</f>
        <v/>
      </c>
    </row>
    <row r="215">
      <c r="A215" s="45" t="inlineStr">
        <is>
          <t>Balance sheet (detail)</t>
        </is>
      </c>
      <c r="B215" s="45" t="inlineStr">
        <is>
          <t>16. Total assets</t>
        </is>
      </c>
      <c r="C215" s="45" t="inlineStr">
        <is>
          <t>FY2021</t>
        </is>
      </c>
      <c r="D215" s="9" t="n">
        <v>1846174</v>
      </c>
      <c r="E215" s="9">
        <f>'Balance sheet (detail)'!C22</f>
        <v/>
      </c>
      <c r="F215" s="9">
        <f>E215-D215</f>
        <v/>
      </c>
    </row>
    <row r="216">
      <c r="A216" s="45" t="inlineStr">
        <is>
          <t>Balance sheet (detail)</t>
        </is>
      </c>
      <c r="B216" s="45" t="inlineStr">
        <is>
          <t>16. Total assets</t>
        </is>
      </c>
      <c r="C216" s="45" t="inlineStr">
        <is>
          <t>FY2022</t>
        </is>
      </c>
      <c r="D216" s="9" t="n">
        <v>1884855</v>
      </c>
      <c r="E216" s="9">
        <f>'Balance sheet (detail)'!D22</f>
        <v/>
      </c>
      <c r="F216" s="9">
        <f>E216-D216</f>
        <v/>
      </c>
    </row>
    <row r="217">
      <c r="A217" s="45" t="inlineStr">
        <is>
          <t>Balance sheet (detail)</t>
        </is>
      </c>
      <c r="B217" s="45" t="inlineStr">
        <is>
          <t>16. Total assets</t>
        </is>
      </c>
      <c r="C217" s="45" t="inlineStr">
        <is>
          <t>FY2023</t>
        </is>
      </c>
      <c r="D217" s="9" t="n">
        <v>1776669</v>
      </c>
      <c r="E217" s="9">
        <f>'Balance sheet (detail)'!E22</f>
        <v/>
      </c>
      <c r="F217" s="9">
        <f>E217-D217</f>
        <v/>
      </c>
    </row>
    <row r="218">
      <c r="A218" s="45" t="inlineStr">
        <is>
          <t>Balance sheet (detail)</t>
        </is>
      </c>
      <c r="B218" s="45" t="inlineStr">
        <is>
          <t>16. Total assets</t>
        </is>
      </c>
      <c r="C218" s="45" t="inlineStr">
        <is>
          <t>FY2024</t>
        </is>
      </c>
      <c r="D218" s="9" t="n">
        <v>1732286</v>
      </c>
      <c r="E218" s="9">
        <f>'Balance sheet (detail)'!F22</f>
        <v/>
      </c>
      <c r="F218" s="9">
        <f>E218-D218</f>
        <v/>
      </c>
    </row>
    <row r="219">
      <c r="A219" s="45" t="inlineStr">
        <is>
          <t>Balance sheet (detail)</t>
        </is>
      </c>
      <c r="B219" s="45" t="inlineStr">
        <is>
          <t>26. Total liabilities</t>
        </is>
      </c>
      <c r="C219" s="45" t="inlineStr">
        <is>
          <t>FY2020</t>
        </is>
      </c>
      <c r="D219" s="9" t="n">
        <v>444515</v>
      </c>
      <c r="E219" s="9">
        <f>'Balance sheet (detail)'!B27</f>
        <v/>
      </c>
      <c r="F219" s="9">
        <f>E219-D219</f>
        <v/>
      </c>
    </row>
    <row r="220">
      <c r="A220" s="45" t="inlineStr">
        <is>
          <t>Balance sheet (detail)</t>
        </is>
      </c>
      <c r="B220" s="45" t="inlineStr">
        <is>
          <t>26. Total liabilities</t>
        </is>
      </c>
      <c r="C220" s="45" t="inlineStr">
        <is>
          <t>FY2021</t>
        </is>
      </c>
      <c r="D220" s="9" t="n">
        <v>393202</v>
      </c>
      <c r="E220" s="9">
        <f>'Balance sheet (detail)'!C27</f>
        <v/>
      </c>
      <c r="F220" s="9">
        <f>E220-D220</f>
        <v/>
      </c>
    </row>
    <row r="221">
      <c r="A221" s="45" t="inlineStr">
        <is>
          <t>Balance sheet (detail)</t>
        </is>
      </c>
      <c r="B221" s="45" t="inlineStr">
        <is>
          <t>26. Total liabilities</t>
        </is>
      </c>
      <c r="C221" s="45" t="inlineStr">
        <is>
          <t>FY2022</t>
        </is>
      </c>
      <c r="D221" s="9" t="n">
        <v>339894</v>
      </c>
      <c r="E221" s="9">
        <f>'Balance sheet (detail)'!D27</f>
        <v/>
      </c>
      <c r="F221" s="9">
        <f>E221-D221</f>
        <v/>
      </c>
    </row>
    <row r="222">
      <c r="A222" s="45" t="inlineStr">
        <is>
          <t>Balance sheet (detail)</t>
        </is>
      </c>
      <c r="B222" s="45" t="inlineStr">
        <is>
          <t>26. Total liabilities</t>
        </is>
      </c>
      <c r="C222" s="45" t="inlineStr">
        <is>
          <t>FY2023</t>
        </is>
      </c>
      <c r="D222" s="9" t="n">
        <v>284530</v>
      </c>
      <c r="E222" s="9">
        <f>'Balance sheet (detail)'!E27</f>
        <v/>
      </c>
      <c r="F222" s="9">
        <f>E222-D222</f>
        <v/>
      </c>
    </row>
    <row r="223">
      <c r="A223" s="45" t="inlineStr">
        <is>
          <t>Balance sheet (detail)</t>
        </is>
      </c>
      <c r="B223" s="45" t="inlineStr">
        <is>
          <t>26. Total liabilities</t>
        </is>
      </c>
      <c r="C223" s="45" t="inlineStr">
        <is>
          <t>FY2024</t>
        </is>
      </c>
      <c r="D223" s="9" t="n">
        <v>226912</v>
      </c>
      <c r="E223" s="9">
        <f>'Balance sheet (detail)'!F27</f>
        <v/>
      </c>
      <c r="F223" s="9">
        <f>E223-D223</f>
        <v/>
      </c>
    </row>
    <row r="224">
      <c r="A224" s="45" t="inlineStr">
        <is>
          <t>Balance sheet (detail)</t>
        </is>
      </c>
      <c r="B224" s="45" t="inlineStr">
        <is>
          <t>32. Total net assets / fund balances</t>
        </is>
      </c>
      <c r="C224" s="45" t="inlineStr">
        <is>
          <t>FY2020</t>
        </is>
      </c>
      <c r="D224" s="9" t="n">
        <v>1292674</v>
      </c>
      <c r="E224" s="9">
        <f>'Balance sheet (detail)'!B33</f>
        <v/>
      </c>
      <c r="F224" s="9">
        <f>E224-D224</f>
        <v/>
      </c>
    </row>
    <row r="225">
      <c r="A225" s="45" t="inlineStr">
        <is>
          <t>Balance sheet (detail)</t>
        </is>
      </c>
      <c r="B225" s="45" t="inlineStr">
        <is>
          <t>32. Total net assets / fund balances</t>
        </is>
      </c>
      <c r="C225" s="45" t="inlineStr">
        <is>
          <t>FY2021</t>
        </is>
      </c>
      <c r="D225" s="9" t="n">
        <v>1452972</v>
      </c>
      <c r="E225" s="9">
        <f>'Balance sheet (detail)'!C33</f>
        <v/>
      </c>
      <c r="F225" s="9">
        <f>E225-D225</f>
        <v/>
      </c>
    </row>
    <row r="226">
      <c r="A226" s="45" t="inlineStr">
        <is>
          <t>Balance sheet (detail)</t>
        </is>
      </c>
      <c r="B226" s="45" t="inlineStr">
        <is>
          <t>32. Total net assets / fund balances</t>
        </is>
      </c>
      <c r="C226" s="45" t="inlineStr">
        <is>
          <t>FY2022</t>
        </is>
      </c>
      <c r="D226" s="9" t="n">
        <v>1544961</v>
      </c>
      <c r="E226" s="9">
        <f>'Balance sheet (detail)'!D33</f>
        <v/>
      </c>
      <c r="F226" s="9">
        <f>E226-D226</f>
        <v/>
      </c>
    </row>
    <row r="227">
      <c r="A227" s="45" t="inlineStr">
        <is>
          <t>Balance sheet (detail)</t>
        </is>
      </c>
      <c r="B227" s="45" t="inlineStr">
        <is>
          <t>32. Total net assets / fund balances</t>
        </is>
      </c>
      <c r="C227" s="45" t="inlineStr">
        <is>
          <t>FY2023</t>
        </is>
      </c>
      <c r="D227" s="9" t="n">
        <v>1492139</v>
      </c>
      <c r="E227" s="9">
        <f>'Balance sheet (detail)'!E33</f>
        <v/>
      </c>
      <c r="F227" s="9">
        <f>E227-D227</f>
        <v/>
      </c>
    </row>
    <row r="228">
      <c r="A228" s="45" t="inlineStr">
        <is>
          <t>Balance sheet (detail)</t>
        </is>
      </c>
      <c r="B228" s="45" t="inlineStr">
        <is>
          <t>32. Total net assets / fund balances</t>
        </is>
      </c>
      <c r="C228" s="45" t="inlineStr">
        <is>
          <t>FY2024</t>
        </is>
      </c>
      <c r="D228" s="9" t="n">
        <v>1505374</v>
      </c>
      <c r="E228" s="9">
        <f>'Balance sheet (detail)'!F33</f>
        <v/>
      </c>
      <c r="F228" s="9">
        <f>E228-D228</f>
        <v/>
      </c>
    </row>
    <row r="229">
      <c r="A229" s="45" t="inlineStr">
        <is>
          <t>Balance sheet (detail)</t>
        </is>
      </c>
      <c r="B229" s="45" t="inlineStr">
        <is>
          <t>Balance sheet identity: line 16 = line 26 + line 32 (EOY)</t>
        </is>
      </c>
      <c r="C229" s="45" t="inlineStr">
        <is>
          <t>FY2020</t>
        </is>
      </c>
      <c r="D229" s="9">
        <f>'Balance sheet (detail)'!B22</f>
        <v/>
      </c>
      <c r="E229" s="9">
        <f>SUM('Balance sheet (detail)'!B27,'Balance sheet (detail)'!B33)</f>
        <v/>
      </c>
      <c r="F229" s="9">
        <f>E229-D229</f>
        <v/>
      </c>
    </row>
    <row r="230">
      <c r="A230" s="45" t="inlineStr">
        <is>
          <t>Balance sheet (detail)</t>
        </is>
      </c>
      <c r="B230" s="45" t="inlineStr">
        <is>
          <t>Balance sheet identity: line 16 = line 26 + line 32 (EOY)</t>
        </is>
      </c>
      <c r="C230" s="45" t="inlineStr">
        <is>
          <t>FY2021</t>
        </is>
      </c>
      <c r="D230" s="9">
        <f>'Balance sheet (detail)'!C22</f>
        <v/>
      </c>
      <c r="E230" s="9">
        <f>SUM('Balance sheet (detail)'!C27,'Balance sheet (detail)'!C33)</f>
        <v/>
      </c>
      <c r="F230" s="9">
        <f>E230-D230</f>
        <v/>
      </c>
    </row>
    <row r="231">
      <c r="A231" s="45" t="inlineStr">
        <is>
          <t>Balance sheet (detail)</t>
        </is>
      </c>
      <c r="B231" s="45" t="inlineStr">
        <is>
          <t>Balance sheet identity: line 16 = line 26 + line 32 (EOY)</t>
        </is>
      </c>
      <c r="C231" s="45" t="inlineStr">
        <is>
          <t>FY2022</t>
        </is>
      </c>
      <c r="D231" s="9">
        <f>'Balance sheet (detail)'!D22</f>
        <v/>
      </c>
      <c r="E231" s="9">
        <f>SUM('Balance sheet (detail)'!D27,'Balance sheet (detail)'!D33)</f>
        <v/>
      </c>
      <c r="F231" s="9">
        <f>E231-D231</f>
        <v/>
      </c>
    </row>
    <row r="232">
      <c r="A232" s="45" t="inlineStr">
        <is>
          <t>Balance sheet (detail)</t>
        </is>
      </c>
      <c r="B232" s="45" t="inlineStr">
        <is>
          <t>Balance sheet identity: line 16 = line 26 + line 32 (EOY)</t>
        </is>
      </c>
      <c r="C232" s="45" t="inlineStr">
        <is>
          <t>FY2023</t>
        </is>
      </c>
      <c r="D232" s="9">
        <f>'Balance sheet (detail)'!E22</f>
        <v/>
      </c>
      <c r="E232" s="9">
        <f>SUM('Balance sheet (detail)'!E27,'Balance sheet (detail)'!E33)</f>
        <v/>
      </c>
      <c r="F232" s="9">
        <f>E232-D232</f>
        <v/>
      </c>
    </row>
    <row r="233">
      <c r="A233" s="45" t="inlineStr">
        <is>
          <t>Balance sheet (detail)</t>
        </is>
      </c>
      <c r="B233" s="45" t="inlineStr">
        <is>
          <t>Balance sheet identity: line 16 = line 26 + line 32 (EOY)</t>
        </is>
      </c>
      <c r="C233" s="45" t="inlineStr">
        <is>
          <t>FY2024</t>
        </is>
      </c>
      <c r="D233" s="9">
        <f>'Balance sheet (detail)'!F22</f>
        <v/>
      </c>
      <c r="E233" s="9">
        <f>SUM('Balance sheet (detail)'!F27,'Balance sheet (detail)'!F33)</f>
        <v/>
      </c>
      <c r="F233" s="9">
        <f>E233-D233</f>
        <v/>
      </c>
    </row>
    <row r="234">
      <c r="A234" s="45" t="inlineStr">
        <is>
          <t>Net-assets reconciliation</t>
        </is>
      </c>
      <c r="B234" s="45" t="inlineStr">
        <is>
          <t>10. Net assets, end of year</t>
        </is>
      </c>
      <c r="C234" s="45" t="inlineStr">
        <is>
          <t>FY2020</t>
        </is>
      </c>
      <c r="D234" s="9" t="n">
        <v>1292674</v>
      </c>
      <c r="E234" s="9">
        <f>'Net-assets reconciliation'!B11</f>
        <v/>
      </c>
      <c r="F234" s="9">
        <f>E234-D234</f>
        <v/>
      </c>
    </row>
    <row r="235">
      <c r="A235" s="45" t="inlineStr">
        <is>
          <t>Net-assets reconciliation</t>
        </is>
      </c>
      <c r="B235" s="45" t="inlineStr">
        <is>
          <t>10. Net assets, end of year</t>
        </is>
      </c>
      <c r="C235" s="45" t="inlineStr">
        <is>
          <t>FY2021</t>
        </is>
      </c>
      <c r="D235" s="9" t="n">
        <v>1452972</v>
      </c>
      <c r="E235" s="9">
        <f>'Net-assets reconciliation'!C11</f>
        <v/>
      </c>
      <c r="F235" s="9">
        <f>E235-D235</f>
        <v/>
      </c>
    </row>
    <row r="236">
      <c r="A236" s="45" t="inlineStr">
        <is>
          <t>Net-assets reconciliation</t>
        </is>
      </c>
      <c r="B236" s="45" t="inlineStr">
        <is>
          <t>10. Net assets, end of year</t>
        </is>
      </c>
      <c r="C236" s="45" t="inlineStr">
        <is>
          <t>FY2022</t>
        </is>
      </c>
      <c r="D236" s="9" t="n">
        <v>1544961</v>
      </c>
      <c r="E236" s="9">
        <f>'Net-assets reconciliation'!D11</f>
        <v/>
      </c>
      <c r="F236" s="9">
        <f>E236-D236</f>
        <v/>
      </c>
    </row>
    <row r="237">
      <c r="A237" s="45" t="inlineStr">
        <is>
          <t>Net-assets reconciliation</t>
        </is>
      </c>
      <c r="B237" s="45" t="inlineStr">
        <is>
          <t>10. Net assets, end of year</t>
        </is>
      </c>
      <c r="C237" s="45" t="inlineStr">
        <is>
          <t>FY2023</t>
        </is>
      </c>
      <c r="D237" s="9" t="n">
        <v>1492139</v>
      </c>
      <c r="E237" s="9">
        <f>'Net-assets reconciliation'!E11</f>
        <v/>
      </c>
      <c r="F237" s="9">
        <f>E237-D237</f>
        <v/>
      </c>
    </row>
    <row r="238">
      <c r="A238" s="45" t="inlineStr">
        <is>
          <t>Net-assets reconciliation</t>
        </is>
      </c>
      <c r="B238" s="45" t="inlineStr">
        <is>
          <t>10. Net assets, end of year</t>
        </is>
      </c>
      <c r="C238" s="45" t="inlineStr">
        <is>
          <t>FY2024</t>
        </is>
      </c>
      <c r="D238" s="9" t="n">
        <v>1505374</v>
      </c>
      <c r="E238" s="9">
        <f>'Net-assets reconciliation'!F11</f>
        <v/>
      </c>
      <c r="F238" s="9">
        <f>E238-D238</f>
        <v/>
      </c>
    </row>
    <row r="240">
      <c r="A240" s="47" t="inlineStr">
        <is>
          <t>D. Preparer / auditor trail (one row per fiscal year, as filed)</t>
        </is>
      </c>
      <c r="B240" s="7" t="n"/>
      <c r="C240" s="7" t="n"/>
      <c r="D240" s="7" t="n"/>
      <c r="E240" s="7" t="n"/>
      <c r="F240" s="7" t="n"/>
      <c r="G240" s="7" t="n"/>
      <c r="H240" s="7" t="n"/>
      <c r="I240" s="7" t="n"/>
      <c r="J240" s="7" t="n"/>
      <c r="K240" s="7" t="n"/>
    </row>
    <row r="241">
      <c r="A241" s="5" t="inlineStr">
        <is>
          <t>Fiscal year</t>
        </is>
      </c>
      <c r="B241" s="5" t="inlineStr">
        <is>
          <t>Paid preparer</t>
        </is>
      </c>
      <c r="C241" s="5" t="inlineStr">
        <is>
          <t>Preparer firm</t>
        </is>
      </c>
      <c r="D241" s="5" t="inlineStr">
        <is>
          <t>Independent auditor</t>
        </is>
      </c>
      <c r="E241" s="5" t="inlineStr">
        <is>
          <t>Citation</t>
        </is>
      </c>
    </row>
    <row r="242" ht="42" customHeight="1">
      <c r="A242" s="46" t="inlineStr">
        <is>
          <t>FY2020</t>
        </is>
      </c>
      <c r="B242" s="8" t="inlineStr">
        <is>
          <t>Autumn Rossi CPA</t>
        </is>
      </c>
      <c r="C242" s="8" t="inlineStr">
        <is>
          <t>HAYASHI WAYLAND Accounting &amp; Consulting</t>
        </is>
      </c>
      <c r="D242" s="48" t="inlineStr">
        <is>
          <t>not reported</t>
        </is>
      </c>
      <c r="E242" s="22" t="inlineStr">
        <is>
          <t>Form 990 Return Header, Paid Preparer block (return_header.preparer_person_name / preparer_firm_name); auditor: Part XII line 2 reports audited financial statements but does not name the firm.</t>
        </is>
      </c>
    </row>
    <row r="243" ht="42" customHeight="1">
      <c r="A243" s="46" t="inlineStr">
        <is>
          <t>FY2021</t>
        </is>
      </c>
      <c r="B243" s="8" t="inlineStr">
        <is>
          <t>Autumn Rossi CPA</t>
        </is>
      </c>
      <c r="C243" s="8" t="inlineStr">
        <is>
          <t>HAYASHI WAYLAND Accounting &amp; Consulting</t>
        </is>
      </c>
      <c r="D243" s="48" t="inlineStr">
        <is>
          <t>not reported</t>
        </is>
      </c>
      <c r="E243" s="22" t="inlineStr">
        <is>
          <t>Form 990 Return Header, Paid Preparer block (return_header.preparer_person_name / preparer_firm_name); auditor: Part XII line 2 reports audited financial statements but does not name the firm.</t>
        </is>
      </c>
    </row>
    <row r="244" ht="42" customHeight="1">
      <c r="A244" s="46" t="inlineStr">
        <is>
          <t>FY2022</t>
        </is>
      </c>
      <c r="B244" s="8" t="inlineStr">
        <is>
          <t>AUTUMN ROSSI</t>
        </is>
      </c>
      <c r="C244" s="8" t="inlineStr">
        <is>
          <t>CLIFTONLARSONALLEN LLP</t>
        </is>
      </c>
      <c r="D244" s="48" t="inlineStr">
        <is>
          <t>not reported</t>
        </is>
      </c>
      <c r="E244" s="22" t="inlineStr">
        <is>
          <t>Form 990 Return Header, Paid Preparer block (return_header.preparer_person_name / preparer_firm_name); auditor: Part XII line 2 reports audited financial statements but does not name the firm.</t>
        </is>
      </c>
    </row>
    <row r="245" ht="42" customHeight="1">
      <c r="A245" s="46" t="inlineStr">
        <is>
          <t>FY2023</t>
        </is>
      </c>
      <c r="B245" s="8" t="inlineStr">
        <is>
          <t>AUTUMN ROSSI</t>
        </is>
      </c>
      <c r="C245" s="8" t="inlineStr">
        <is>
          <t>CLIFTONLARSONALLEN LLP</t>
        </is>
      </c>
      <c r="D245" s="48" t="inlineStr">
        <is>
          <t>not reported</t>
        </is>
      </c>
      <c r="E245" s="22" t="inlineStr">
        <is>
          <t>Form 990 Return Header, Paid Preparer block (return_header.preparer_person_name / preparer_firm_name); auditor: Part XII line 2 reports audited financial statements but does not name the firm.</t>
        </is>
      </c>
    </row>
    <row r="246" ht="42" customHeight="1">
      <c r="A246" s="46" t="inlineStr">
        <is>
          <t>FY2024</t>
        </is>
      </c>
      <c r="B246" s="8" t="inlineStr">
        <is>
          <t>AUTUMN ROSSI</t>
        </is>
      </c>
      <c r="C246" s="8" t="inlineStr">
        <is>
          <t>CLIFTONLARSONALLEN LLP</t>
        </is>
      </c>
      <c r="D246" s="48" t="inlineStr">
        <is>
          <t>not reported</t>
        </is>
      </c>
      <c r="E246" s="22" t="inlineStr">
        <is>
          <t>Form 990 Return Header, Paid Preparer block (return_header.preparer_person_name / preparer_firm_name); auditor: Part XII line 2 reports audited financial statements but does not name the firm.</t>
        </is>
      </c>
    </row>
    <row r="248">
      <c r="A248" s="47" t="inlineStr">
        <is>
          <t>E. Filed-label variants (case/spacing-only wording consolidated to one row; displayed = most recent year)</t>
        </is>
      </c>
      <c r="B248" s="7" t="n"/>
      <c r="C248" s="7" t="n"/>
      <c r="D248" s="7" t="n"/>
      <c r="E248" s="7" t="n"/>
      <c r="F248" s="7" t="n"/>
      <c r="G248" s="7" t="n"/>
      <c r="H248" s="7" t="n"/>
      <c r="I248" s="7" t="n"/>
      <c r="J248" s="7" t="n"/>
      <c r="K248" s="7" t="n"/>
    </row>
    <row r="249">
      <c r="A249" s="5" t="inlineStr">
        <is>
          <t>Tab</t>
        </is>
      </c>
      <c r="B249" s="5" t="inlineStr">
        <is>
          <t>Displayed (most recent)</t>
        </is>
      </c>
      <c r="C249" s="5" t="inlineStr">
        <is>
          <t>As-filed variant</t>
        </is>
      </c>
      <c r="D249" s="5" t="inlineStr">
        <is>
          <t>Years filed</t>
        </is>
      </c>
      <c r="E249" s="5" t="inlineStr">
        <is>
          <t>Note</t>
        </is>
      </c>
    </row>
    <row r="250">
      <c r="A250" s="8" t="inlineStr">
        <is>
          <t>Operating expenses (detail)</t>
        </is>
      </c>
      <c r="B250" s="8" t="inlineStr">
        <is>
          <t>MYSTERIOUS WATER LOSS</t>
        </is>
      </c>
      <c r="C250" s="8" t="inlineStr">
        <is>
          <t>Mysterious Water Loss</t>
        </is>
      </c>
      <c r="D250" s="8" t="inlineStr">
        <is>
          <t>FY2020, FY2021</t>
        </is>
      </c>
      <c r="E250" s="22" t="inlineStr">
        <is>
          <t>Same line; differs only by capitalization / spacing.</t>
        </is>
      </c>
    </row>
    <row r="251">
      <c r="A251" s="8" t="inlineStr">
        <is>
          <t>Operating expenses (detail)</t>
        </is>
      </c>
      <c r="B251" s="8" t="inlineStr">
        <is>
          <t>MYSTERIOUS WATER LOSS</t>
        </is>
      </c>
      <c r="C251" s="8" t="inlineStr">
        <is>
          <t>MYSTERIOUS WATER LOSS</t>
        </is>
      </c>
      <c r="D251" s="8" t="inlineStr">
        <is>
          <t>FY2024</t>
        </is>
      </c>
      <c r="E251" s="22" t="inlineStr">
        <is>
          <t>Same line; differs only by capitalization / spacing.</t>
        </is>
      </c>
    </row>
    <row r="253" ht="42" customHeight="1">
      <c r="A253"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253:K253"/>
    <mergeCell ref="A3:K3"/>
    <mergeCell ref="A2:K2"/>
    <mergeCell ref="A5:K5"/>
    <mergeCell ref="A1:K1"/>
  </mergeCells>
  <conditionalFormatting sqref="F203:F238">
    <cfRule type="cellIs" priority="1" operator="notEqual" dxfId="0">
      <formula>0</formula>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