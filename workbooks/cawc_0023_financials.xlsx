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1.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eAR revenue &amp; expenses" sheetId="10" state="visible" r:id="rId10"/>
    <sheet name="Denominators &amp; alignment" sheetId="11" state="visible" r:id="rId11"/>
    <sheet name="Governance evidence" sheetId="12" state="visible" r:id="rId12"/>
    <sheet name="Operational metrics" sheetId="13" state="visible" r:id="rId13"/>
    <sheet name="Supply &amp; weather" sheetId="14" state="visible" r:id="rId14"/>
    <sheet name="How this was built" sheetId="15" state="visible" r:id="rId15"/>
    <sheet name="Water Operations"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6">
    <numFmt numFmtId="164" formatCode="#,##0;(#,##0)"/>
    <numFmt numFmtId="165" formatCode="0.0%"/>
    <numFmt numFmtId="166" formatCode="$#,##0.00"/>
    <numFmt numFmtId="167" formatCode="#,##0.000"/>
    <numFmt numFmtId="168" formatCode="$#,##0.00###"/>
    <numFmt numFmtId="169" formatCode="#,##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7F60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3" fontId="6" fillId="0" borderId="1" applyAlignment="1" pivotButton="0" quotePrefix="0" xfId="0">
      <alignment horizontal="right"/>
    </xf>
    <xf numFmtId="0" fontId="3" fillId="0" borderId="1" applyAlignment="1" pivotButton="0" quotePrefix="0" xfId="0">
      <alignment horizontal="left" vertical="top" wrapText="1"/>
    </xf>
    <xf numFmtId="0" fontId="6" fillId="0" borderId="1" applyAlignment="1" pivotButton="0" quotePrefix="0" xfId="0">
      <alignment horizontal="left" vertical="top" wrapText="1"/>
    </xf>
    <xf numFmtId="0" fontId="9" fillId="0" borderId="1" applyAlignment="1" pivotButton="0" quotePrefix="0" xfId="0">
      <alignment horizontal="center" vertical="center"/>
    </xf>
    <xf numFmtId="166" fontId="6" fillId="0" borderId="1" applyAlignment="1" pivotButton="0" quotePrefix="0" xfId="0">
      <alignment horizontal="right"/>
    </xf>
    <xf numFmtId="10" fontId="6" fillId="0" borderId="1" applyAlignment="1" pivotButton="0" quotePrefix="0" xfId="0">
      <alignment horizontal="right"/>
    </xf>
    <xf numFmtId="0" fontId="6"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0" fontId="2" fillId="0" borderId="0" applyAlignment="1" pivotButton="0" quotePrefix="0" xfId="0">
      <alignment horizontal="left" vertical="top" wrapText="1"/>
    </xf>
    <xf numFmtId="0" fontId="6" fillId="0" borderId="0" applyAlignment="1" pivotButton="0" quotePrefix="0" xfId="0">
      <alignment horizontal="left" vertical="top" wrapText="1"/>
    </xf>
    <xf numFmtId="0" fontId="0" fillId="2" borderId="1" pivotButton="0" quotePrefix="0" xfId="0"/>
    <xf numFmtId="4" fontId="10" fillId="6" borderId="1" applyAlignment="1" pivotButton="0" quotePrefix="0" xfId="0">
      <alignment horizontal="right"/>
    </xf>
    <xf numFmtId="167" fontId="10" fillId="6" borderId="1" applyAlignment="1" pivotButton="0" quotePrefix="0" xfId="0">
      <alignment horizontal="right"/>
    </xf>
    <xf numFmtId="1" fontId="10" fillId="6" borderId="1" applyAlignment="1" pivotButton="0" quotePrefix="0" xfId="0">
      <alignment horizontal="right"/>
    </xf>
    <xf numFmtId="0" fontId="4" fillId="2" borderId="1" applyAlignment="1" pivotButton="0" quotePrefix="0" xfId="0">
      <alignment horizontal="right"/>
    </xf>
    <xf numFmtId="168" fontId="6" fillId="0" borderId="1" applyAlignment="1" pivotButton="0" quotePrefix="0" xfId="0">
      <alignment horizontal="right"/>
    </xf>
    <xf numFmtId="169" fontId="6" fillId="0" borderId="1" applyAlignment="1" pivotButton="0" quotePrefix="0" xfId="0">
      <alignment horizontal="right"/>
    </xf>
    <xf numFmtId="4" fontId="9" fillId="5" borderId="1" applyAlignment="1" pivotButton="0" quotePrefix="0" xfId="0">
      <alignment horizontal="right"/>
    </xf>
    <xf numFmtId="166" fontId="9" fillId="5" borderId="1" applyAlignment="1" pivotButton="0" quotePrefix="0" xfId="0">
      <alignment horizontal="right"/>
    </xf>
    <xf numFmtId="166" fontId="9" fillId="4" borderId="1" applyAlignment="1" pivotButton="0" quotePrefix="0" xfId="0">
      <alignment horizontal="right"/>
    </xf>
    <xf numFmtId="10" fontId="9" fillId="5" borderId="1" applyAlignment="1" pivotButton="0" quotePrefix="0" xfId="0">
      <alignment horizontal="right"/>
    </xf>
    <xf numFmtId="2" fontId="9" fillId="5" borderId="1" applyAlignment="1" pivotButton="0" quotePrefix="0" xfId="0">
      <alignment horizontal="right"/>
    </xf>
    <xf numFmtId="0" fontId="9" fillId="0" borderId="1" applyAlignment="1" pivotButton="0" quotePrefix="0" xfId="0">
      <alignment horizontal="left" vertical="center"/>
    </xf>
    <xf numFmtId="164" fontId="7" fillId="0" borderId="1" applyAlignment="1" pivotButton="0" quotePrefix="0" xfId="0">
      <alignment horizontal="right"/>
    </xf>
    <xf numFmtId="0" fontId="0" fillId="0" borderId="1" pivotButton="0" quotePrefix="0" xfId="0"/>
    <xf numFmtId="0" fontId="5" fillId="3" borderId="0" applyAlignment="1" pivotButton="0" quotePrefix="0" xfId="0">
      <alignment horizontal="left" vertical="center"/>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peak weekly category over Jul 2020-Jun 2021 (exceptional)</t>
      </text>
    </comment>
    <comment ref="C9" authorId="0" shapeId="0">
      <text>
        <t>peak weekly category over Jul 2021-Jun 2022 (exceptional)</t>
      </text>
    </comment>
    <comment ref="D9" authorId="0" shapeId="0">
      <text>
        <t>peak weekly category over Jul 2022-Jun 2023 (extreme)</t>
      </text>
    </comment>
    <comment ref="E9" authorId="0" shapeId="0">
      <text>
        <t>peak weekly category over Jul 2023-Jun 2024 (none)</t>
      </text>
    </comment>
    <comment ref="F9" authorId="0" shapeId="0">
      <text>
        <t>peak weekly category over Jul 2024-Jun 2025 (extreme)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San Augustin Mutual Water Company</t>
        </is>
      </c>
    </row>
    <row r="2">
      <c r="A2" s="2" t="inlineStr">
        <is>
          <t>Financial Summary - multi-year overview (USD)</t>
        </is>
      </c>
    </row>
    <row r="3">
      <c r="A3" s="2" t="inlineStr">
        <is>
          <t>Entity ID: cawc_0023   |   Fiscal year ends January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46530</v>
      </c>
      <c r="C10" s="9" t="n">
        <v>52831</v>
      </c>
      <c r="D10" s="9" t="n">
        <v>62051</v>
      </c>
      <c r="E10" s="9" t="n">
        <v>65176</v>
      </c>
      <c r="F10" s="9" t="n">
        <v>86048</v>
      </c>
    </row>
    <row r="11">
      <c r="A11" s="8" t="inlineStr">
        <is>
          <t xml:space="preserve">    Total expenses</t>
        </is>
      </c>
      <c r="B11" s="9" t="n">
        <v>62411</v>
      </c>
      <c r="C11" s="9" t="n">
        <v>58393</v>
      </c>
      <c r="D11" s="9" t="n">
        <v>65417</v>
      </c>
      <c r="E11" s="9" t="n">
        <v>70737</v>
      </c>
      <c r="F11" s="9" t="n">
        <v>73841</v>
      </c>
    </row>
    <row r="12">
      <c r="A12" s="10" t="inlineStr">
        <is>
          <t xml:space="preserve">    Net income</t>
        </is>
      </c>
      <c r="B12" s="11" t="n">
        <v>-15881</v>
      </c>
      <c r="C12" s="11" t="n">
        <v>-5562</v>
      </c>
      <c r="D12" s="11" t="n">
        <v>-3366</v>
      </c>
      <c r="E12" s="11" t="n">
        <v>-5561</v>
      </c>
      <c r="F12" s="11" t="n">
        <v>12207</v>
      </c>
    </row>
    <row r="14">
      <c r="A14" s="6" t="inlineStr">
        <is>
          <t>Financial position (USD, end of year)</t>
        </is>
      </c>
      <c r="B14" s="7" t="n"/>
      <c r="C14" s="7" t="n"/>
      <c r="D14" s="7" t="n"/>
      <c r="E14" s="7" t="n"/>
      <c r="F14" s="7" t="n"/>
    </row>
    <row r="15">
      <c r="A15" s="8" t="inlineStr">
        <is>
          <t xml:space="preserve">    Total assets</t>
        </is>
      </c>
      <c r="B15" s="9" t="n">
        <v>44036</v>
      </c>
      <c r="C15" s="9" t="n">
        <v>38474</v>
      </c>
      <c r="D15" s="9" t="n">
        <v>35108</v>
      </c>
      <c r="E15" s="9" t="n">
        <v>29547</v>
      </c>
      <c r="F15" s="9" t="n">
        <v>41754</v>
      </c>
    </row>
    <row r="16">
      <c r="A16" s="8" t="inlineStr">
        <is>
          <t xml:space="preserve">    Total liabilities</t>
        </is>
      </c>
      <c r="B16" s="9" t="n"/>
      <c r="C16" s="9" t="n"/>
      <c r="D16" s="9" t="n"/>
      <c r="E16" s="9" t="n"/>
      <c r="F16" s="9" t="n">
        <v>0</v>
      </c>
    </row>
    <row r="17">
      <c r="A17" s="10" t="inlineStr">
        <is>
          <t xml:space="preserve">    Net assets</t>
        </is>
      </c>
      <c r="B17" s="11" t="n">
        <v>44036</v>
      </c>
      <c r="C17" s="11" t="n">
        <v>38474</v>
      </c>
      <c r="D17" s="11" t="n">
        <v>35108</v>
      </c>
      <c r="E17" s="11" t="n">
        <v>29547</v>
      </c>
      <c r="F17" s="11" t="n">
        <v>41754</v>
      </c>
    </row>
    <row r="19">
      <c r="A19" s="6" t="inlineStr">
        <is>
          <t>Headline ratios</t>
        </is>
      </c>
      <c r="B19" s="7" t="n"/>
      <c r="C19" s="7" t="n"/>
      <c r="D19" s="7" t="n"/>
      <c r="E19" s="7" t="n"/>
      <c r="F19" s="7" t="n"/>
    </row>
    <row r="20">
      <c r="A20" s="8" t="inlineStr">
        <is>
          <t xml:space="preserve">    Operating margin</t>
        </is>
      </c>
      <c r="B20" s="12" t="n">
        <v>-0.3413066838598753</v>
      </c>
      <c r="C20" s="12" t="n">
        <v>-0.1052790974995741</v>
      </c>
      <c r="D20" s="12" t="n">
        <v>-0.05424570111682326</v>
      </c>
      <c r="E20" s="12" t="n">
        <v>-0.08532281821529397</v>
      </c>
      <c r="F20" s="12" t="n">
        <v>0.1418626812941614</v>
      </c>
    </row>
    <row r="21">
      <c r="A21" s="8" t="inlineStr">
        <is>
          <t xml:space="preserve">    Revenue growth (YoY)</t>
        </is>
      </c>
      <c r="B21" s="12" t="n"/>
      <c r="C21" s="12" t="n"/>
      <c r="D21" s="12" t="n"/>
      <c r="E21" s="12" t="n"/>
      <c r="F21" s="12" t="n"/>
    </row>
    <row r="22">
      <c r="A22" s="8" t="inlineStr">
        <is>
          <t xml:space="preserve">    Return on assets</t>
        </is>
      </c>
      <c r="B22" s="12" t="n">
        <v>-0.3606367517485694</v>
      </c>
      <c r="C22" s="12" t="n">
        <v>-0.1445651608878723</v>
      </c>
      <c r="D22" s="12" t="n">
        <v>-0.09587558391249858</v>
      </c>
      <c r="E22" s="12" t="n">
        <v>-0.1882086167800454</v>
      </c>
      <c r="F22" s="12" t="n">
        <v>0.2923552234516453</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San Augustin Mutual Water Company</t>
        </is>
      </c>
    </row>
    <row r="2">
      <c r="A2" s="2" t="inlineStr">
        <is>
          <t>Financial Statements - income statement, balance sheet, cash flow, member income test (USD)</t>
        </is>
      </c>
    </row>
    <row r="3">
      <c r="A3" s="2" t="inlineStr">
        <is>
          <t>Entity ID: cawc_0023   |   Fiscal year ends January 31.</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c r="C8" s="9" t="n"/>
      <c r="D8" s="9" t="n"/>
      <c r="E8" s="9" t="n"/>
      <c r="F8" s="9" t="n"/>
    </row>
    <row r="9">
      <c r="A9" s="8" t="inlineStr">
        <is>
          <t xml:space="preserve">    Investment income</t>
        </is>
      </c>
      <c r="B9" s="9" t="n"/>
      <c r="C9" s="9" t="n"/>
      <c r="D9" s="9" t="n"/>
      <c r="E9" s="9" t="n"/>
      <c r="F9" s="9" t="n"/>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row>
    <row r="12">
      <c r="A12" s="8" t="inlineStr">
        <is>
          <t xml:space="preserve">    Other revenue</t>
        </is>
      </c>
      <c r="B12" s="9" t="n"/>
      <c r="C12" s="9" t="n"/>
      <c r="D12" s="9" t="n"/>
      <c r="E12" s="9" t="n"/>
      <c r="F12" s="9" t="n"/>
    </row>
    <row r="13">
      <c r="A13" s="8" t="inlineStr">
        <is>
          <t xml:space="preserve">    Contributions &amp; grants</t>
        </is>
      </c>
      <c r="B13" s="9" t="n"/>
      <c r="C13" s="9" t="n"/>
      <c r="D13" s="9" t="n"/>
      <c r="E13" s="9" t="n"/>
      <c r="F13" s="9" t="n"/>
    </row>
    <row r="14">
      <c r="A14" s="10" t="inlineStr">
        <is>
          <t>Total revenue</t>
        </is>
      </c>
      <c r="B14" s="11" t="n"/>
      <c r="C14" s="11" t="n"/>
      <c r="D14" s="11" t="n"/>
      <c r="E14" s="11" t="n"/>
      <c r="F14" s="11" t="n"/>
    </row>
    <row r="16">
      <c r="A16" s="6" t="inlineStr">
        <is>
          <t>Expenses</t>
        </is>
      </c>
      <c r="B16" s="7" t="n"/>
      <c r="C16" s="7" t="n"/>
      <c r="D16" s="7" t="n"/>
      <c r="E16" s="7" t="n"/>
      <c r="F16" s="7" t="n"/>
    </row>
    <row r="17">
      <c r="A17" s="8" t="inlineStr">
        <is>
          <t xml:space="preserve">    Depreciation</t>
        </is>
      </c>
      <c r="B17" s="9" t="n"/>
      <c r="C17" s="9" t="n"/>
      <c r="D17" s="9" t="n"/>
      <c r="E17" s="9" t="n"/>
      <c r="F17" s="9" t="n"/>
    </row>
    <row r="18">
      <c r="A18" s="8" t="inlineStr">
        <is>
          <t xml:space="preserve">    Interest expense</t>
        </is>
      </c>
      <c r="B18" s="9" t="n"/>
      <c r="C18" s="9" t="n"/>
      <c r="D18" s="9" t="n"/>
      <c r="E18" s="9" t="n"/>
      <c r="F18" s="9" t="n"/>
    </row>
    <row r="19">
      <c r="A19" s="10" t="inlineStr">
        <is>
          <t>Total expenses</t>
        </is>
      </c>
      <c r="B19" s="11" t="n">
        <v>62411</v>
      </c>
      <c r="C19" s="11" t="n">
        <v>58393</v>
      </c>
      <c r="D19" s="11" t="n">
        <v>65417</v>
      </c>
      <c r="E19" s="11" t="n">
        <v>70737</v>
      </c>
      <c r="F19" s="11" t="n">
        <v>73841</v>
      </c>
    </row>
    <row r="21">
      <c r="A21" s="10" t="inlineStr">
        <is>
          <t>Net income</t>
        </is>
      </c>
      <c r="B21" s="11" t="n">
        <v>-15881</v>
      </c>
      <c r="C21" s="11" t="n">
        <v>-5562</v>
      </c>
      <c r="D21" s="11" t="n">
        <v>-3366</v>
      </c>
      <c r="E21" s="11" t="n">
        <v>-5561</v>
      </c>
      <c r="F21" s="11" t="n">
        <v>12207</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3601</v>
      </c>
      <c r="C27" s="9" t="n">
        <v>2009</v>
      </c>
      <c r="D27" s="9" t="n">
        <v>2564</v>
      </c>
      <c r="E27" s="9" t="n">
        <v>924</v>
      </c>
      <c r="F27" s="9" t="n">
        <v>16226</v>
      </c>
    </row>
    <row r="28">
      <c r="A28" s="8" t="inlineStr">
        <is>
          <t xml:space="preserve">    Savings &amp; temporary investments</t>
        </is>
      </c>
      <c r="B28" s="9" t="n"/>
      <c r="C28" s="9" t="n"/>
      <c r="D28" s="9" t="n"/>
      <c r="E28" s="9" t="n"/>
      <c r="F28" s="9" t="n"/>
    </row>
    <row r="29">
      <c r="A29" s="8" t="inlineStr">
        <is>
          <t xml:space="preserve">    Accounts receivable</t>
        </is>
      </c>
      <c r="B29" s="9" t="n"/>
      <c r="C29" s="9" t="n"/>
      <c r="D29" s="9" t="n"/>
      <c r="E29" s="9" t="n"/>
      <c r="F29" s="9" t="n"/>
    </row>
    <row r="30">
      <c r="A30" s="8" t="inlineStr">
        <is>
          <t xml:space="preserve">    Inventories</t>
        </is>
      </c>
      <c r="B30" s="9" t="n"/>
      <c r="C30" s="9" t="n"/>
      <c r="D30" s="9" t="n"/>
      <c r="E30" s="9" t="n"/>
      <c r="F30" s="9" t="n"/>
    </row>
    <row r="31">
      <c r="A31" s="8" t="inlineStr">
        <is>
          <t xml:space="preserve">    Prepaid expenses</t>
        </is>
      </c>
      <c r="B31" s="9" t="n"/>
      <c r="C31" s="9" t="n"/>
      <c r="D31" s="9" t="n"/>
      <c r="E31" s="9" t="n"/>
      <c r="F31" s="9" t="n"/>
    </row>
    <row r="32">
      <c r="A32" s="8" t="inlineStr">
        <is>
          <t xml:space="preserve">    Property, plant &amp; equipment (gross)</t>
        </is>
      </c>
      <c r="B32" s="9" t="n"/>
      <c r="C32" s="9" t="n"/>
      <c r="D32" s="9" t="n"/>
      <c r="E32" s="9" t="n"/>
      <c r="F32" s="9" t="n"/>
    </row>
    <row r="33">
      <c r="A33" s="8" t="inlineStr">
        <is>
          <t xml:space="preserve">    Less: accumulated depreciation</t>
        </is>
      </c>
      <c r="B33" s="9" t="n"/>
      <c r="C33" s="9" t="n"/>
      <c r="D33" s="9" t="n"/>
      <c r="E33" s="9" t="n"/>
      <c r="F33" s="9" t="n"/>
    </row>
    <row r="34">
      <c r="A34" s="10" t="inlineStr">
        <is>
          <t xml:space="preserve">    Net property, plant &amp; equipment</t>
        </is>
      </c>
      <c r="B34" s="11" t="n"/>
      <c r="C34" s="11" t="n"/>
      <c r="D34" s="11" t="n"/>
      <c r="E34" s="11" t="n"/>
      <c r="F34" s="11" t="n"/>
    </row>
    <row r="35">
      <c r="A35" s="10" t="inlineStr">
        <is>
          <t>Total assets</t>
        </is>
      </c>
      <c r="B35" s="11" t="n">
        <v>44036</v>
      </c>
      <c r="C35" s="11" t="n">
        <v>38474</v>
      </c>
      <c r="D35" s="11" t="n">
        <v>35108</v>
      </c>
      <c r="E35" s="11" t="n">
        <v>29547</v>
      </c>
      <c r="F35" s="11" t="n">
        <v>41754</v>
      </c>
    </row>
    <row r="37">
      <c r="A37" s="6" t="inlineStr">
        <is>
          <t>Liabilities</t>
        </is>
      </c>
      <c r="B37" s="7" t="n"/>
      <c r="C37" s="7" t="n"/>
      <c r="D37" s="7" t="n"/>
      <c r="E37" s="7" t="n"/>
      <c r="F37" s="7" t="n"/>
    </row>
    <row r="38">
      <c r="A38" s="8" t="inlineStr">
        <is>
          <t xml:space="preserve">    Accounts payable</t>
        </is>
      </c>
      <c r="B38" s="9" t="n"/>
      <c r="C38" s="9" t="n"/>
      <c r="D38" s="9" t="n"/>
      <c r="E38" s="9" t="n"/>
      <c r="F38" s="9" t="n"/>
    </row>
    <row r="39">
      <c r="A39" s="8" t="inlineStr">
        <is>
          <t xml:space="preserve">    Mortgages &amp; notes payable</t>
        </is>
      </c>
      <c r="B39" s="9" t="n"/>
      <c r="C39" s="9" t="n"/>
      <c r="D39" s="9" t="n"/>
      <c r="E39" s="9" t="n"/>
      <c r="F39" s="9" t="n"/>
    </row>
    <row r="40">
      <c r="A40" s="10" t="inlineStr">
        <is>
          <t>Total liabilities</t>
        </is>
      </c>
      <c r="B40" s="11" t="n"/>
      <c r="C40" s="11" t="n"/>
      <c r="D40" s="11" t="n"/>
      <c r="E40" s="11" t="n"/>
      <c r="F40" s="11" t="n">
        <v>0</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44036</v>
      </c>
      <c r="C46" s="11" t="n">
        <v>38474</v>
      </c>
      <c r="D46" s="11" t="n">
        <v>35108</v>
      </c>
      <c r="E46" s="11" t="n">
        <v>29547</v>
      </c>
      <c r="F46" s="11" t="n">
        <v>41754</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-15881</v>
      </c>
      <c r="C52" s="9" t="n">
        <v>-5562</v>
      </c>
      <c r="D52" s="9" t="n">
        <v>-3366</v>
      </c>
      <c r="E52" s="9" t="n">
        <v>-5561</v>
      </c>
      <c r="F52" s="9" t="n">
        <v>12207</v>
      </c>
    </row>
    <row r="53">
      <c r="A53" s="8" t="inlineStr">
        <is>
          <t xml:space="preserve">    + Depreciation (reported)</t>
        </is>
      </c>
      <c r="B53" s="9" t="n"/>
      <c r="C53" s="9" t="n"/>
      <c r="D53" s="9" t="n"/>
      <c r="E53" s="9" t="n"/>
      <c r="F53" s="9" t="n"/>
    </row>
    <row r="54">
      <c r="A54" s="8" t="inlineStr">
        <is>
          <t xml:space="preserve">    − Δ Accounts receivable</t>
        </is>
      </c>
      <c r="B54" s="9" t="n"/>
      <c r="C54" s="9" t="n"/>
      <c r="D54" s="9" t="n"/>
      <c r="E54" s="9" t="n"/>
      <c r="F54" s="9" t="n"/>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c r="E57" s="9" t="n"/>
      <c r="F57" s="9" t="n"/>
    </row>
    <row r="58">
      <c r="A58" s="10" t="inlineStr">
        <is>
          <t xml:space="preserve">    Operating cash flow proxy</t>
        </is>
      </c>
      <c r="B58" s="11" t="n"/>
      <c r="C58" s="11" t="n">
        <v>-5562</v>
      </c>
      <c r="D58" s="11" t="n">
        <v>-3366</v>
      </c>
      <c r="E58" s="11" t="n">
        <v>-5561</v>
      </c>
      <c r="F58" s="11" t="n">
        <v>12207</v>
      </c>
    </row>
    <row r="60">
      <c r="A60" s="6" t="inlineStr">
        <is>
          <t>Investing</t>
        </is>
      </c>
      <c r="B60" s="7" t="n"/>
      <c r="C60" s="7" t="n"/>
      <c r="D60" s="7" t="n"/>
      <c r="E60" s="7" t="n"/>
      <c r="F60" s="7" t="n"/>
    </row>
    <row r="61">
      <c r="A61" s="8" t="inlineStr">
        <is>
          <t xml:space="preserve">    − Δ PP&amp;E gross (capex proxy)</t>
        </is>
      </c>
      <c r="B61" s="9" t="n"/>
      <c r="C61" s="9" t="n"/>
      <c r="D61" s="9" t="n"/>
      <c r="E61" s="9" t="n"/>
      <c r="F61" s="9" t="n"/>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-1592</v>
      </c>
      <c r="D67" s="11" t="n">
        <v>555</v>
      </c>
      <c r="E67" s="11" t="n">
        <v>-1640</v>
      </c>
      <c r="F67" s="11" t="n">
        <v>15302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3:F3"/>
    <mergeCell ref="A2:F2"/>
    <mergeCell ref="A69:F69"/>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San Augustin Mutual Water Company</t>
        </is>
      </c>
    </row>
    <row r="2">
      <c r="A2" s="2" t="inlineStr">
        <is>
          <t>Balance Sheet - as reported (USD, end of year)</t>
        </is>
      </c>
    </row>
    <row r="3">
      <c r="A3" s="2" t="inlineStr">
        <is>
          <t>Entity ID: cawc_0023   |   Fiscal year ends January 31.</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3601</v>
      </c>
      <c r="C7" s="9" t="n">
        <v>2009</v>
      </c>
      <c r="D7" s="9" t="n">
        <v>2564</v>
      </c>
      <c r="E7" s="9" t="n">
        <v>924</v>
      </c>
      <c r="F7" s="9" t="n">
        <v>16226</v>
      </c>
    </row>
    <row r="8">
      <c r="A8" s="8" t="inlineStr">
        <is>
          <t xml:space="preserve">    Savings &amp; temporary investments</t>
        </is>
      </c>
      <c r="B8" s="9" t="n"/>
      <c r="C8" s="9" t="n"/>
      <c r="D8" s="9" t="n"/>
      <c r="E8" s="9" t="n"/>
      <c r="F8" s="9" t="n"/>
    </row>
    <row r="9">
      <c r="A9" s="8" t="inlineStr">
        <is>
          <t xml:space="preserve">    Accounts receivable</t>
        </is>
      </c>
      <c r="B9" s="9" t="n"/>
      <c r="C9" s="9" t="n"/>
      <c r="D9" s="9" t="n"/>
      <c r="E9" s="9" t="n"/>
      <c r="F9" s="9" t="n"/>
    </row>
    <row r="10">
      <c r="A10" s="8" t="inlineStr">
        <is>
          <t xml:space="preserve">    Inventories</t>
        </is>
      </c>
      <c r="B10" s="9" t="n"/>
      <c r="C10" s="9" t="n"/>
      <c r="D10" s="9" t="n"/>
      <c r="E10" s="9" t="n"/>
      <c r="F10" s="9" t="n"/>
    </row>
    <row r="11">
      <c r="A11" s="8" t="inlineStr">
        <is>
          <t xml:space="preserve">    Prepaid expenses</t>
        </is>
      </c>
      <c r="B11" s="9" t="n"/>
      <c r="C11" s="9" t="n"/>
      <c r="D11" s="9" t="n"/>
      <c r="E11" s="9" t="n"/>
      <c r="F11" s="9" t="n"/>
    </row>
    <row r="12">
      <c r="A12" s="8" t="inlineStr">
        <is>
          <t xml:space="preserve">    Property, plant &amp; equipment (gross)</t>
        </is>
      </c>
      <c r="B12" s="9" t="n"/>
      <c r="C12" s="9" t="n"/>
      <c r="D12" s="9" t="n"/>
      <c r="E12" s="9" t="n"/>
      <c r="F12" s="9" t="n"/>
    </row>
    <row r="13">
      <c r="A13" s="8" t="inlineStr">
        <is>
          <t xml:space="preserve">    Less: accumulated depreciation</t>
        </is>
      </c>
      <c r="B13" s="9" t="n"/>
      <c r="C13" s="9" t="n"/>
      <c r="D13" s="9" t="n"/>
      <c r="E13" s="9" t="n"/>
      <c r="F13" s="9" t="n"/>
    </row>
    <row r="14">
      <c r="A14" s="10" t="inlineStr">
        <is>
          <t xml:space="preserve">    Net property, plant &amp; equipment</t>
        </is>
      </c>
      <c r="B14" s="11" t="n"/>
      <c r="C14" s="11" t="n"/>
      <c r="D14" s="11" t="n"/>
      <c r="E14" s="11" t="n"/>
      <c r="F14" s="11" t="n"/>
    </row>
    <row r="15">
      <c r="A15" s="10" t="inlineStr">
        <is>
          <t>Total assets</t>
        </is>
      </c>
      <c r="B15" s="11" t="n">
        <v>44036</v>
      </c>
      <c r="C15" s="11" t="n">
        <v>38474</v>
      </c>
      <c r="D15" s="11" t="n">
        <v>35108</v>
      </c>
      <c r="E15" s="11" t="n">
        <v>29547</v>
      </c>
      <c r="F15" s="11" t="n">
        <v>41754</v>
      </c>
    </row>
    <row r="17">
      <c r="A17" s="6" t="inlineStr">
        <is>
          <t>Liabilities</t>
        </is>
      </c>
      <c r="B17" s="7" t="n"/>
      <c r="C17" s="7" t="n"/>
      <c r="D17" s="7" t="n"/>
      <c r="E17" s="7" t="n"/>
      <c r="F17" s="7" t="n"/>
    </row>
    <row r="18">
      <c r="A18" s="8" t="inlineStr">
        <is>
          <t xml:space="preserve">    Accounts payable</t>
        </is>
      </c>
      <c r="B18" s="9" t="n"/>
      <c r="C18" s="9" t="n"/>
      <c r="D18" s="9" t="n"/>
      <c r="E18" s="9" t="n"/>
      <c r="F18" s="9" t="n"/>
    </row>
    <row r="19">
      <c r="A19" s="8" t="inlineStr">
        <is>
          <t xml:space="preserve">    Mortgages &amp; notes payable</t>
        </is>
      </c>
      <c r="B19" s="9" t="n"/>
      <c r="C19" s="9" t="n"/>
      <c r="D19" s="9" t="n"/>
      <c r="E19" s="9" t="n"/>
      <c r="F19" s="9" t="n"/>
    </row>
    <row r="20">
      <c r="A20" s="10" t="inlineStr">
        <is>
          <t>Total liabilities</t>
        </is>
      </c>
      <c r="B20" s="11" t="n"/>
      <c r="C20" s="11" t="n"/>
      <c r="D20" s="11" t="n"/>
      <c r="E20" s="11" t="n"/>
      <c r="F20" s="11" t="n">
        <v>0</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44036</v>
      </c>
      <c r="C26" s="11" t="n">
        <v>38474</v>
      </c>
      <c r="D26" s="11" t="n">
        <v>35108</v>
      </c>
      <c r="E26" s="11" t="n">
        <v>29547</v>
      </c>
      <c r="F26" s="11" t="n">
        <v>41754</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2"/>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San Augustin Mutual Water Company</t>
        </is>
      </c>
    </row>
    <row r="2">
      <c r="A2" s="2" t="inlineStr">
        <is>
          <t>Form 990-EZ - Part I (revenue, expenses, net assets) and Part II (balance sheet), as filed (USD)</t>
        </is>
      </c>
    </row>
    <row r="3">
      <c r="A3" s="2" t="inlineStr">
        <is>
          <t>Entity ID: cawc_0023   |   Fiscal year ends January 31.</t>
        </is>
      </c>
    </row>
    <row r="5">
      <c r="A5" s="4" t="inlineStr">
        <is>
          <t>Form 990-EZ line</t>
        </is>
      </c>
      <c r="B5" s="5" t="inlineStr">
        <is>
          <t>FY2021</t>
        </is>
      </c>
      <c r="C5" s="5" t="inlineStr">
        <is>
          <t>FY2022</t>
        </is>
      </c>
      <c r="D5" s="5" t="inlineStr">
        <is>
          <t>FY2023</t>
        </is>
      </c>
      <c r="E5" s="5" t="inlineStr">
        <is>
          <t>FY2024</t>
        </is>
      </c>
      <c r="F5" s="5" t="inlineStr">
        <is>
          <t>FY2025</t>
        </is>
      </c>
    </row>
    <row r="6">
      <c r="A6" s="6" t="inlineStr">
        <is>
          <t>Revenue (Part I)</t>
        </is>
      </c>
      <c r="B6" s="7" t="n"/>
      <c r="C6" s="7" t="n"/>
      <c r="D6" s="7" t="n"/>
      <c r="E6" s="7" t="n"/>
      <c r="F6" s="7" t="n"/>
    </row>
    <row r="7">
      <c r="A7" s="8" t="inlineStr">
        <is>
          <t xml:space="preserve">    2. Program service revenue</t>
        </is>
      </c>
      <c r="B7" s="9" t="n">
        <v>46526</v>
      </c>
      <c r="C7" s="9" t="n">
        <v>52754</v>
      </c>
      <c r="D7" s="9" t="n">
        <v>62010</v>
      </c>
      <c r="E7" s="9" t="n">
        <v>65176</v>
      </c>
      <c r="F7" s="14" t="inlineStr">
        <is>
          <t>not reported</t>
        </is>
      </c>
    </row>
    <row r="8">
      <c r="A8" s="8" t="inlineStr">
        <is>
          <t xml:space="preserve">    3. Membership dues and assessments</t>
        </is>
      </c>
      <c r="B8" s="14" t="inlineStr">
        <is>
          <t>not reported</t>
        </is>
      </c>
      <c r="C8" s="14" t="inlineStr">
        <is>
          <t>not reported</t>
        </is>
      </c>
      <c r="D8" s="14" t="inlineStr">
        <is>
          <t>not reported</t>
        </is>
      </c>
      <c r="E8" s="14" t="inlineStr">
        <is>
          <t>not reported</t>
        </is>
      </c>
      <c r="F8" s="9" t="n">
        <v>86048</v>
      </c>
    </row>
    <row r="9">
      <c r="A9" s="8" t="inlineStr">
        <is>
          <t xml:space="preserve">    4. Investment income</t>
        </is>
      </c>
      <c r="B9" s="9" t="n">
        <v>4</v>
      </c>
      <c r="C9" s="9" t="n">
        <v>1</v>
      </c>
      <c r="D9" s="14" t="inlineStr">
        <is>
          <t>not reported</t>
        </is>
      </c>
      <c r="E9" s="14" t="inlineStr">
        <is>
          <t>not reported</t>
        </is>
      </c>
      <c r="F9" s="14" t="inlineStr">
        <is>
          <t>not reported</t>
        </is>
      </c>
    </row>
    <row r="10">
      <c r="A10" s="8" t="inlineStr">
        <is>
          <t xml:space="preserve">    8. Other revenue</t>
        </is>
      </c>
      <c r="B10" s="14" t="inlineStr">
        <is>
          <t>not reported</t>
        </is>
      </c>
      <c r="C10" s="9" t="n">
        <v>76</v>
      </c>
      <c r="D10" s="9" t="n">
        <v>41</v>
      </c>
      <c r="E10" s="14" t="inlineStr">
        <is>
          <t>not reported</t>
        </is>
      </c>
      <c r="F10" s="14" t="inlineStr">
        <is>
          <t>not reported</t>
        </is>
      </c>
    </row>
    <row r="11">
      <c r="A11" s="10" t="inlineStr">
        <is>
          <t>9. Total revenue</t>
        </is>
      </c>
      <c r="B11" s="11" t="n">
        <v>46530</v>
      </c>
      <c r="C11" s="11" t="n">
        <v>52831</v>
      </c>
      <c r="D11" s="11" t="n">
        <v>62051</v>
      </c>
      <c r="E11" s="11" t="n">
        <v>65176</v>
      </c>
      <c r="F11" s="11" t="n">
        <v>86048</v>
      </c>
    </row>
    <row r="13">
      <c r="A13" s="6" t="inlineStr">
        <is>
          <t>Expenses (Part I)</t>
        </is>
      </c>
      <c r="B13" s="7" t="n"/>
      <c r="C13" s="7" t="n"/>
      <c r="D13" s="7" t="n"/>
      <c r="E13" s="7" t="n"/>
      <c r="F13" s="7" t="n"/>
    </row>
    <row r="14">
      <c r="A14" s="8" t="inlineStr">
        <is>
          <t xml:space="preserve">    12. Salaries, other compensation, benefits</t>
        </is>
      </c>
      <c r="B14" s="9" t="n">
        <v>34288</v>
      </c>
      <c r="C14" s="9" t="n">
        <v>28398</v>
      </c>
      <c r="D14" s="9" t="n">
        <v>32417</v>
      </c>
      <c r="E14" s="9" t="n">
        <v>33289</v>
      </c>
      <c r="F14" s="14" t="inlineStr">
        <is>
          <t>not reported</t>
        </is>
      </c>
    </row>
    <row r="15">
      <c r="A15" s="8" t="inlineStr">
        <is>
          <t xml:space="preserve">    13. Fees for services (independent contractors)</t>
        </is>
      </c>
      <c r="B15" s="9" t="n">
        <v>2210</v>
      </c>
      <c r="C15" s="9" t="n">
        <v>2253</v>
      </c>
      <c r="D15" s="9" t="n">
        <v>2325</v>
      </c>
      <c r="E15" s="9" t="n">
        <v>2475</v>
      </c>
      <c r="F15" s="9" t="n">
        <v>6108</v>
      </c>
    </row>
    <row r="16">
      <c r="A16" s="8" t="inlineStr">
        <is>
          <t xml:space="preserve">    14. Occupancy, rent, utilities, maintenance</t>
        </is>
      </c>
      <c r="B16" s="14" t="inlineStr">
        <is>
          <t>not reported</t>
        </is>
      </c>
      <c r="C16" s="14" t="inlineStr">
        <is>
          <t>not reported</t>
        </is>
      </c>
      <c r="D16" s="14" t="inlineStr">
        <is>
          <t>not reported</t>
        </is>
      </c>
      <c r="E16" s="14" t="inlineStr">
        <is>
          <t>not reported</t>
        </is>
      </c>
      <c r="F16" s="9" t="n">
        <v>930</v>
      </c>
    </row>
    <row r="17">
      <c r="A17" s="8" t="inlineStr">
        <is>
          <t xml:space="preserve">    16. Other expenses</t>
        </is>
      </c>
      <c r="B17" s="9" t="n">
        <v>25913</v>
      </c>
      <c r="C17" s="9" t="n">
        <v>27742</v>
      </c>
      <c r="D17" s="9" t="n">
        <v>30675</v>
      </c>
      <c r="E17" s="9" t="n">
        <v>34973</v>
      </c>
      <c r="F17" s="9" t="n">
        <v>66803</v>
      </c>
    </row>
    <row r="18">
      <c r="A18" s="10" t="inlineStr">
        <is>
          <t>17. Total expenses</t>
        </is>
      </c>
      <c r="B18" s="11">
        <f>SUM(B14:B17)</f>
        <v/>
      </c>
      <c r="C18" s="11">
        <f>SUM(C14:C17)</f>
        <v/>
      </c>
      <c r="D18" s="11">
        <f>SUM(D14:D17)</f>
        <v/>
      </c>
      <c r="E18" s="11">
        <f>SUM(E14:E17)</f>
        <v/>
      </c>
      <c r="F18" s="11">
        <f>SUM(F14:F17)</f>
        <v/>
      </c>
    </row>
    <row r="20">
      <c r="A20" s="6" t="inlineStr">
        <is>
          <t>Net-assets reconciliation (Part I)</t>
        </is>
      </c>
      <c r="B20" s="7" t="n"/>
      <c r="C20" s="7" t="n"/>
      <c r="D20" s="7" t="n"/>
      <c r="E20" s="7" t="n"/>
      <c r="F20" s="7" t="n"/>
    </row>
    <row r="21">
      <c r="A21" s="8" t="inlineStr">
        <is>
          <t xml:space="preserve">    19. Net assets or fund balances, beginning of year</t>
        </is>
      </c>
      <c r="B21" s="9" t="n">
        <v>59917</v>
      </c>
      <c r="C21" s="9" t="n">
        <v>44036</v>
      </c>
      <c r="D21" s="9" t="n">
        <v>38474</v>
      </c>
      <c r="E21" s="9" t="n">
        <v>35108</v>
      </c>
      <c r="F21" s="9" t="n">
        <v>29547</v>
      </c>
    </row>
    <row r="22">
      <c r="A22" s="8" t="inlineStr">
        <is>
          <t xml:space="preserve">    18. Excess or (deficit) for the year</t>
        </is>
      </c>
      <c r="B22" s="9" t="n">
        <v>-15881</v>
      </c>
      <c r="C22" s="9" t="n">
        <v>-5562</v>
      </c>
      <c r="D22" s="9" t="n">
        <v>-3366</v>
      </c>
      <c r="E22" s="9" t="n">
        <v>-5561</v>
      </c>
      <c r="F22" s="9" t="n">
        <v>12207</v>
      </c>
    </row>
    <row r="23">
      <c r="A23" s="10" t="inlineStr">
        <is>
          <t>21. Net assets or fund balances, end of year</t>
        </is>
      </c>
      <c r="B23" s="11">
        <f>SUM(B21,B22)</f>
        <v/>
      </c>
      <c r="C23" s="11">
        <f>SUM(C21,C22)</f>
        <v/>
      </c>
      <c r="D23" s="11">
        <f>SUM(D21,D22)</f>
        <v/>
      </c>
      <c r="E23" s="11">
        <f>SUM(E21,E22)</f>
        <v/>
      </c>
      <c r="F23" s="11">
        <f>SUM(F21,F22)</f>
        <v/>
      </c>
    </row>
    <row r="25">
      <c r="A25" s="6" t="inlineStr">
        <is>
          <t>Balance sheet (Part II, end of year - column B)</t>
        </is>
      </c>
      <c r="B25" s="7" t="n"/>
      <c r="C25" s="7" t="n"/>
      <c r="D25" s="7" t="n"/>
      <c r="E25" s="7" t="n"/>
      <c r="F25" s="7" t="n"/>
    </row>
    <row r="26">
      <c r="A26" s="8" t="inlineStr">
        <is>
          <t xml:space="preserve">    22. Cash, savings, and investments</t>
        </is>
      </c>
      <c r="B26" s="9" t="n">
        <v>3601</v>
      </c>
      <c r="C26" s="9" t="n">
        <v>2009</v>
      </c>
      <c r="D26" s="9" t="n">
        <v>2564</v>
      </c>
      <c r="E26" s="9" t="n">
        <v>924</v>
      </c>
      <c r="F26" s="9" t="n">
        <v>16226</v>
      </c>
    </row>
    <row r="27">
      <c r="A27" s="8" t="inlineStr">
        <is>
          <t xml:space="preserve">    24. Other assets</t>
        </is>
      </c>
      <c r="B27" s="9" t="n">
        <v>40435</v>
      </c>
      <c r="C27" s="9" t="n">
        <v>36465</v>
      </c>
      <c r="D27" s="9" t="n">
        <v>32544</v>
      </c>
      <c r="E27" s="9" t="n">
        <v>28623</v>
      </c>
      <c r="F27" s="9" t="n">
        <v>25528</v>
      </c>
    </row>
    <row r="28">
      <c r="A28" s="10" t="inlineStr">
        <is>
          <t>25. Total assets</t>
        </is>
      </c>
      <c r="B28" s="11">
        <f>SUM(B26:B27)</f>
        <v/>
      </c>
      <c r="C28" s="11">
        <f>SUM(C26:C27)</f>
        <v/>
      </c>
      <c r="D28" s="11">
        <f>SUM(D26:D27)</f>
        <v/>
      </c>
      <c r="E28" s="11">
        <f>SUM(E26:E27)</f>
        <v/>
      </c>
      <c r="F28" s="11">
        <f>SUM(F26:F27)</f>
        <v/>
      </c>
    </row>
    <row r="29">
      <c r="A29" s="10" t="inlineStr">
        <is>
          <t>26. Total liabilities</t>
        </is>
      </c>
      <c r="B29" s="14" t="inlineStr">
        <is>
          <t>not reported</t>
        </is>
      </c>
      <c r="C29" s="14" t="inlineStr">
        <is>
          <t>not reported</t>
        </is>
      </c>
      <c r="D29" s="14" t="inlineStr">
        <is>
          <t>not reported</t>
        </is>
      </c>
      <c r="E29" s="14" t="inlineStr">
        <is>
          <t>not reported</t>
        </is>
      </c>
      <c r="F29" s="11" t="n">
        <v>0</v>
      </c>
    </row>
    <row r="30">
      <c r="A30" s="10" t="inlineStr">
        <is>
          <t>27. Net assets or fund balances</t>
        </is>
      </c>
      <c r="B30" s="11" t="n">
        <v>44036</v>
      </c>
      <c r="C30" s="11" t="n">
        <v>38474</v>
      </c>
      <c r="D30" s="11" t="n">
        <v>35108</v>
      </c>
      <c r="E30" s="11" t="n">
        <v>29547</v>
      </c>
      <c r="F30" s="11" t="n">
        <v>41754</v>
      </c>
    </row>
    <row r="32" ht="42" customHeight="1">
      <c r="A32"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F3"/>
    <mergeCell ref="A2:F2"/>
    <mergeCell ref="A1:F1"/>
    <mergeCell ref="A32:F3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San Augustin Mutual Water Company</t>
        </is>
      </c>
    </row>
    <row r="2">
      <c r="A2" s="2" t="inlineStr">
        <is>
          <t>Cash Flow Proxies - derived (USD)</t>
        </is>
      </c>
    </row>
    <row r="3">
      <c r="A3" s="2" t="inlineStr">
        <is>
          <t>Entity ID: cawc_0023   |   Fiscal year ends January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-15881</v>
      </c>
      <c r="C9" s="9" t="n">
        <v>-5562</v>
      </c>
      <c r="D9" s="9" t="n">
        <v>-3366</v>
      </c>
      <c r="E9" s="9" t="n">
        <v>-5561</v>
      </c>
      <c r="F9" s="9" t="n">
        <v>12207</v>
      </c>
    </row>
    <row r="10">
      <c r="A10" s="8" t="inlineStr">
        <is>
          <t xml:space="preserve">    + Depreciation (reported)</t>
        </is>
      </c>
      <c r="B10" s="9" t="n"/>
      <c r="C10" s="9" t="n"/>
      <c r="D10" s="9" t="n"/>
      <c r="E10" s="9" t="n"/>
      <c r="F10" s="9" t="n"/>
    </row>
    <row r="11">
      <c r="A11" s="8" t="inlineStr">
        <is>
          <t xml:space="preserve">    − Δ Accounts receivable</t>
        </is>
      </c>
      <c r="B11" s="9" t="n"/>
      <c r="C11" s="9" t="n"/>
      <c r="D11" s="9" t="n"/>
      <c r="E11" s="9" t="n"/>
      <c r="F11" s="9" t="n"/>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c r="E14" s="9" t="n"/>
      <c r="F14" s="9" t="n"/>
    </row>
    <row r="15">
      <c r="A15" s="10" t="inlineStr">
        <is>
          <t xml:space="preserve">    Operating cash flow proxy</t>
        </is>
      </c>
      <c r="B15" s="11" t="n"/>
      <c r="C15" s="11" t="n">
        <v>-5562</v>
      </c>
      <c r="D15" s="11" t="n">
        <v>-3366</v>
      </c>
      <c r="E15" s="11" t="n">
        <v>-5561</v>
      </c>
      <c r="F15" s="11" t="n">
        <v>12207</v>
      </c>
    </row>
    <row r="17">
      <c r="A17" s="6" t="inlineStr">
        <is>
          <t>Investing</t>
        </is>
      </c>
      <c r="B17" s="7" t="n"/>
      <c r="C17" s="7" t="n"/>
      <c r="D17" s="7" t="n"/>
      <c r="E17" s="7" t="n"/>
      <c r="F17" s="7" t="n"/>
    </row>
    <row r="18">
      <c r="A18" s="8" t="inlineStr">
        <is>
          <t xml:space="preserve">    − Δ PP&amp;E gross (capex proxy)</t>
        </is>
      </c>
      <c r="B18" s="9" t="n"/>
      <c r="C18" s="9" t="n"/>
      <c r="D18" s="9" t="n"/>
      <c r="E18" s="9" t="n"/>
      <c r="F18" s="9" t="n"/>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-1592</v>
      </c>
      <c r="D24" s="11" t="n">
        <v>555</v>
      </c>
      <c r="E24" s="11" t="n">
        <v>-1640</v>
      </c>
      <c r="F24" s="11" t="n">
        <v>15302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San Augustin Mutual Water Company</t>
        </is>
      </c>
    </row>
    <row r="2">
      <c r="A2" s="2" t="inlineStr">
        <is>
          <t>Financial Ratios</t>
        </is>
      </c>
    </row>
    <row r="3">
      <c r="A3" s="2" t="inlineStr">
        <is>
          <t>Entity ID: cawc_0023   |   Fiscal year ends January 31.</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-0.3413066838598753</v>
      </c>
      <c r="C7" s="12" t="n">
        <v>-0.1052790974995741</v>
      </c>
      <c r="D7" s="12" t="n">
        <v>-0.05424570111682326</v>
      </c>
      <c r="E7" s="12" t="n">
        <v>-0.08532281821529397</v>
      </c>
      <c r="F7" s="12" t="n">
        <v>0.1418626812941614</v>
      </c>
    </row>
    <row r="8">
      <c r="A8" s="8" t="inlineStr">
        <is>
          <t xml:space="preserve">    Expense ratio (expenses / revenue)</t>
        </is>
      </c>
      <c r="B8" s="12" t="n">
        <v>1.341306683859875</v>
      </c>
      <c r="C8" s="12" t="n">
        <v>1.105279097499574</v>
      </c>
      <c r="D8" s="12" t="n">
        <v>1.054245701116823</v>
      </c>
      <c r="E8" s="12" t="n">
        <v>1.085322818215294</v>
      </c>
      <c r="F8" s="12" t="n">
        <v>0.8581373187058386</v>
      </c>
    </row>
    <row r="9">
      <c r="A9" s="8" t="inlineStr">
        <is>
          <t xml:space="preserve">    Return on assets (NI / assets)</t>
        </is>
      </c>
      <c r="B9" s="12" t="n">
        <v>-0.3606367517485694</v>
      </c>
      <c r="C9" s="12" t="n">
        <v>-0.1445651608878723</v>
      </c>
      <c r="D9" s="12" t="n">
        <v>-0.09587558391249858</v>
      </c>
      <c r="E9" s="12" t="n">
        <v>-0.1882086167800454</v>
      </c>
      <c r="F9" s="12" t="n">
        <v>0.2923552234516453</v>
      </c>
    </row>
    <row r="10">
      <c r="A10" s="8" t="inlineStr">
        <is>
          <t xml:space="preserve">    Revenue growth (YoY)</t>
        </is>
      </c>
      <c r="B10" s="12" t="n"/>
      <c r="C10" s="12" t="n"/>
      <c r="D10" s="12" t="n"/>
      <c r="E10" s="12" t="n"/>
      <c r="F10" s="12" t="n"/>
    </row>
    <row r="12">
      <c r="A12" s="6" t="inlineStr">
        <is>
          <t>Leverage &amp; solvency</t>
        </is>
      </c>
      <c r="B12" s="7" t="n"/>
      <c r="C12" s="7" t="n"/>
      <c r="D12" s="7" t="n"/>
      <c r="E12" s="7" t="n"/>
      <c r="F12" s="7" t="n"/>
    </row>
    <row r="13">
      <c r="A13" s="8" t="inlineStr">
        <is>
          <t xml:space="preserve">    Debt-to-assets (liab. / assets)</t>
        </is>
      </c>
      <c r="B13" s="12" t="n"/>
      <c r="C13" s="12" t="n"/>
      <c r="D13" s="12" t="n"/>
      <c r="E13" s="12" t="n"/>
      <c r="F13" s="12" t="n">
        <v>0</v>
      </c>
    </row>
    <row r="14">
      <c r="A14" s="8" t="inlineStr">
        <is>
          <t xml:space="preserve">    Equity ratio (net assets / assets)</t>
        </is>
      </c>
      <c r="B14" s="12" t="n">
        <v>1</v>
      </c>
      <c r="C14" s="12" t="n">
        <v>1</v>
      </c>
      <c r="D14" s="12" t="n">
        <v>1</v>
      </c>
      <c r="E14" s="12" t="n">
        <v>1</v>
      </c>
      <c r="F14" s="12" t="n">
        <v>1</v>
      </c>
    </row>
    <row r="16">
      <c r="A16" s="6" t="inlineStr">
        <is>
          <t>Liquidity &amp; asset profile (derived here)</t>
        </is>
      </c>
      <c r="B16" s="7" t="n"/>
      <c r="C16" s="7" t="n"/>
      <c r="D16" s="7" t="n"/>
      <c r="E16" s="7" t="n"/>
      <c r="F16" s="7" t="n"/>
    </row>
    <row r="17">
      <c r="A17" s="8" t="inlineStr">
        <is>
          <t xml:space="preserve">    Current ratio (current assets / AP)</t>
        </is>
      </c>
      <c r="B17" s="15" t="n"/>
      <c r="C17" s="15" t="n"/>
      <c r="D17" s="15" t="n"/>
      <c r="E17" s="15" t="n"/>
      <c r="F17" s="15" t="n"/>
    </row>
    <row r="18">
      <c r="A18" s="8" t="inlineStr">
        <is>
          <t xml:space="preserve">    Cash ratio ((cash+temp inv.) / total liab.)</t>
        </is>
      </c>
      <c r="B18" s="15" t="n"/>
      <c r="C18" s="15" t="n"/>
      <c r="D18" s="15" t="n"/>
      <c r="E18" s="15" t="n"/>
      <c r="F18" s="15" t="n"/>
    </row>
    <row r="19">
      <c r="A19" s="8" t="inlineStr">
        <is>
          <t xml:space="preserve">    Asset age proxy (accum. deprec. / gross PP&amp;E)</t>
        </is>
      </c>
      <c r="B19" s="12" t="n"/>
      <c r="C19" s="12" t="n"/>
      <c r="D19" s="12" t="n"/>
      <c r="E19" s="12" t="n"/>
      <c r="F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4"/>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San Augustin Mutual Water Company</t>
        </is>
      </c>
    </row>
    <row r="2">
      <c r="A2" s="2" t="inlineStr">
        <is>
          <t>Unit economics - per-customer revenue by category (USD)</t>
        </is>
      </c>
    </row>
    <row r="3">
      <c r="A3" s="2" t="inlineStr">
        <is>
          <t>Entity ID: cawc_0023   |   Fiscal year ends January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v>23</v>
      </c>
      <c r="C6" s="18" t="inlineStr">
        <is>
          <t>State Water Board eAR Section 4 (CurTotalConnections), reporting year 2023</t>
        </is>
      </c>
    </row>
    <row r="7">
      <c r="A7" s="16" t="inlineStr">
        <is>
          <t>Total annual revenue (eAR Section 8b B1.8)</t>
        </is>
      </c>
      <c r="B7" s="9" t="n">
        <v>65175</v>
      </c>
      <c r="C7" s="18" t="inlineStr">
        <is>
          <t>State Water Board eAR Section 8b, question B1.8 (total annual revenue), reporting year 2023</t>
        </is>
      </c>
    </row>
    <row r="8">
      <c r="A8" s="16" t="inlineStr">
        <is>
          <t>Primary source</t>
        </is>
      </c>
      <c r="B8" s="19" t="inlineStr"/>
      <c r="C8" s="18" t="inlineStr">
        <is>
          <t>State Water Board eAR Section 8b (revenue by rate/fee), reporting year 2023</t>
        </is>
      </c>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0" t="inlineStr">
        <is>
          <t>DIRECT</t>
        </is>
      </c>
      <c r="C12" s="9" t="n">
        <v>20400</v>
      </c>
      <c r="D12" s="21" t="n">
        <v>886.96</v>
      </c>
      <c r="E12" s="22" t="n">
        <v>0.313</v>
      </c>
    </row>
    <row r="13">
      <c r="A13" s="8" t="inlineStr">
        <is>
          <t>Assessment revenue (990 program-service revenue not matched to eAR water-rate revenue)</t>
        </is>
      </c>
      <c r="B13" s="20" t="inlineStr">
        <is>
          <t>DERIVED</t>
        </is>
      </c>
      <c r="C13" s="9" t="n">
        <v>44776</v>
      </c>
      <c r="D13" s="21" t="n">
        <v>1946.78</v>
      </c>
      <c r="E13" s="22" t="n">
        <v>0.6870000000000001</v>
      </c>
    </row>
    <row r="14">
      <c r="A14" s="8" t="inlineStr">
        <is>
          <t>Meter revenue</t>
        </is>
      </c>
      <c r="B14" s="20" t="inlineStr">
        <is>
          <t>not reported</t>
        </is>
      </c>
      <c r="C14" s="23" t="inlineStr">
        <is>
          <t>not reported</t>
        </is>
      </c>
      <c r="D14" s="23" t="inlineStr">
        <is>
          <t>not reported</t>
        </is>
      </c>
      <c r="E14" s="23" t="inlineStr">
        <is>
          <t>not reported</t>
        </is>
      </c>
    </row>
    <row r="15">
      <c r="A15" s="8" t="inlineStr">
        <is>
          <t>Overage or tiered penalty revenue</t>
        </is>
      </c>
      <c r="B15" s="20" t="inlineStr">
        <is>
          <t>not reported</t>
        </is>
      </c>
      <c r="C15" s="23" t="inlineStr">
        <is>
          <t>not reported</t>
        </is>
      </c>
      <c r="D15" s="23" t="inlineStr">
        <is>
          <t>not reported</t>
        </is>
      </c>
      <c r="E15" s="23" t="inlineStr">
        <is>
          <t>not reported</t>
        </is>
      </c>
    </row>
    <row r="17">
      <c r="A17" s="6" t="inlineStr">
        <is>
          <t>Water sales revenue - DIRECT</t>
        </is>
      </c>
      <c r="B17" s="7" t="n"/>
      <c r="C17" s="7" t="n"/>
      <c r="D17" s="7" t="n"/>
      <c r="E17" s="7" t="n"/>
    </row>
    <row r="18" ht="51" customHeight="1">
      <c r="A18" s="3" t="inlineStr">
        <is>
          <t>Revenue customers paid for water service, read straight off the filed eAR Section 8b water-rate line. A DIRECT filed figure, not computed by us.</t>
        </is>
      </c>
    </row>
    <row r="19">
      <c r="A19" s="16" t="inlineStr">
        <is>
          <t>Numerator: Water rate revenue</t>
        </is>
      </c>
      <c r="B19" s="9" t="n">
        <v>20400</v>
      </c>
      <c r="C19" s="18" t="inlineStr">
        <is>
          <t>eAR Section 8b field B1.1 (residential water rates) only (this filer reported no non-residential water-rate revenue). State Water Board eAR Section 8b, question B1.1 + B1.2 (revenue from water rates), reporting year 2023</t>
        </is>
      </c>
    </row>
    <row r="20">
      <c r="A20" s="16" t="inlineStr">
        <is>
          <t>Denominator: Total service connections</t>
        </is>
      </c>
      <c r="B20" s="17" t="n">
        <v>23</v>
      </c>
      <c r="C20" s="18" t="inlineStr">
        <is>
          <t>eAR Section 4 CurTotalConnections, reporting year 2023. State Water Board eAR Section 4 (CurTotalConnections), reporting year 2023</t>
        </is>
      </c>
    </row>
    <row r="21" ht="36" customHeight="1">
      <c r="A21" s="3" t="inlineStr">
        <is>
          <t>Per customer: water rate revenue $20,400 / 23 connections = $886.96 per connection</t>
        </is>
      </c>
    </row>
    <row r="22" ht="36" customHeight="1">
      <c r="A22" s="3" t="inlineStr">
        <is>
          <t>Share of revenue: water rate revenue $20,400 / total annual revenue (eAR Section 8b B1.8) $65,175 = 31.30%</t>
        </is>
      </c>
    </row>
    <row r="23" ht="81" customHeight="1">
      <c r="A23" s="3" t="inlineStr">
        <is>
          <t>Period treatment: Numerator (eAR Section 8b, the fiscal year ending January 31, 2024) and denominator (eAR Section 4 connections reported in the same eAR filing) are both the eAR reporting year 2023, so the two sides are bound to the same reporting year.</t>
        </is>
      </c>
    </row>
    <row r="24" ht="66" customHeight="1">
      <c r="A24" s="3" t="inlineStr">
        <is>
          <t>Rationale: Dividing water-rate revenue by the number of metered service connections gives the average revenue per customer; dividing by total annual revenue shows how much of the system's income comes from water rates.</t>
        </is>
      </c>
    </row>
    <row r="26">
      <c r="A26" s="6" t="inlineStr">
        <is>
          <t>Assessment revenue (990 program-service revenue not matched to eAR water-rate revenue) - DERIVED</t>
        </is>
      </c>
      <c r="B26" s="7" t="n"/>
      <c r="C26" s="7" t="n"/>
      <c r="D26" s="7" t="n"/>
      <c r="E26" s="7" t="n"/>
    </row>
    <row r="27" ht="66" customHeight="1">
      <c r="A27" s="3" t="inlineStr">
        <is>
          <t>A DERIVED residual (medium confidence): the part of the Form 990 program-service revenue that is not matched by the eAR water-rate revenue for the same period. Computed by us, not a filed line.</t>
        </is>
      </c>
    </row>
    <row r="28">
      <c r="A28" s="16" t="inlineStr">
        <is>
          <t>Input A: Form 990 program-service revenue</t>
        </is>
      </c>
      <c r="B28" s="9" t="n">
        <v>65176</v>
      </c>
      <c r="C28" s="18" t="inlineStr">
        <is>
          <t>Form 990 Part VIII line 2 (total program-service revenue), fiscal year 2024 ending January 31, 2024</t>
        </is>
      </c>
    </row>
    <row r="29">
      <c r="A29" s="16" t="inlineStr">
        <is>
          <t>Input B: eAR water-rate revenue</t>
        </is>
      </c>
      <c r="B29" s="9" t="n">
        <v>20400</v>
      </c>
      <c r="C29" s="18" t="inlineStr">
        <is>
          <t>State Water Board eAR Section 8b, question B1.1 + B1.2 (revenue from water rates), reporting year 2023</t>
        </is>
      </c>
    </row>
    <row r="30">
      <c r="A30" s="24" t="inlineStr">
        <is>
          <t>Residual (A minus B) = assessment revenue</t>
        </is>
      </c>
      <c r="B30" s="25">
        <f>B28-B29</f>
        <v/>
      </c>
      <c r="C30" s="18" t="inlineStr">
        <is>
          <t>$65,176 (990 program-service revenue) minus $20,400 (eAR water-rate revenue) = $44,776</t>
        </is>
      </c>
    </row>
    <row r="31" ht="66" customHeight="1">
      <c r="A31" s="3" t="inlineStr">
        <is>
          <t>Period alignment: Both inputs cover the same period: the eAR Section 8b is the fiscal year ending January 31, 2024 and the Form 990 fiscal year 2024 ends January 31, 2024, so the residual is period-aligned.</t>
        </is>
      </c>
    </row>
    <row r="32" ht="51" customHeight="1">
      <c r="A32" s="3" t="inlineStr">
        <is>
          <t>What it IS: revenue the system booked as program service on its 990 that is not accounted for by the eAR water-rate line, plausibly member assessments and other service revenue.</t>
        </is>
      </c>
    </row>
    <row r="33" ht="51" customHeight="1">
      <c r="A33" s="3" t="inlineStr">
        <is>
          <t>This residual is a difference between two sources for the same period; it is not a separately filed assessment line and may include other unmatched revenue.</t>
        </is>
      </c>
    </row>
    <row r="34">
      <c r="A34" s="16" t="inlineStr">
        <is>
          <t>Denominator: Total service connections</t>
        </is>
      </c>
      <c r="B34" s="17" t="n">
        <v>23</v>
      </c>
      <c r="C34" s="18" t="inlineStr">
        <is>
          <t>eAR Section 4 CurTotalConnections, reporting year 2023. State Water Board eAR Section 4 (CurTotalConnections), reporting year 2023</t>
        </is>
      </c>
    </row>
    <row r="35" ht="36" customHeight="1">
      <c r="A35" s="3" t="inlineStr">
        <is>
          <t>Per customer: residual $44,776 / 23 connections = $1,946.78 per connection</t>
        </is>
      </c>
    </row>
    <row r="36" ht="36" customHeight="1">
      <c r="A36" s="3" t="inlineStr">
        <is>
          <t>Share of revenue: residual $44,776 / 990 program-service revenue $65,176 = 68.70%</t>
        </is>
      </c>
    </row>
    <row r="38">
      <c r="A38" s="6" t="inlineStr">
        <is>
          <t>Meter revenue - not reported</t>
        </is>
      </c>
      <c r="B38" s="7" t="n"/>
      <c r="C38" s="7" t="n"/>
      <c r="D38" s="7" t="n"/>
      <c r="E38" s="7" t="n"/>
    </row>
    <row r="39" ht="36" customHeight="1">
      <c r="A39" s="3" t="inlineStr">
        <is>
          <t>Not reported. This category is not built because doing so would double-count.</t>
        </is>
      </c>
    </row>
    <row r="40" ht="81" customHeight="1">
      <c r="A40"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42">
      <c r="A42" s="6" t="inlineStr">
        <is>
          <t>Overage or tiered penalty revenue - not reported</t>
        </is>
      </c>
      <c r="B42" s="7" t="n"/>
      <c r="C42" s="7" t="n"/>
      <c r="D42" s="7" t="n"/>
      <c r="E42" s="7" t="n"/>
    </row>
    <row r="43" ht="36" customHeight="1">
      <c r="A43" s="3" t="inlineStr">
        <is>
          <t>Not reported. This category is not built because doing so would double-count.</t>
        </is>
      </c>
    </row>
    <row r="44" ht="81" customHeight="1">
      <c r="A44"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9">
    <mergeCell ref="A39:E39"/>
    <mergeCell ref="A24:E24"/>
    <mergeCell ref="A1:E1"/>
    <mergeCell ref="A36:E36"/>
    <mergeCell ref="A18:E18"/>
    <mergeCell ref="A27:E27"/>
    <mergeCell ref="A3:E3"/>
    <mergeCell ref="A21:E21"/>
    <mergeCell ref="A2:E2"/>
    <mergeCell ref="A33:E33"/>
    <mergeCell ref="A5:E5"/>
    <mergeCell ref="A23:E23"/>
    <mergeCell ref="A32:E32"/>
    <mergeCell ref="A22:E22"/>
    <mergeCell ref="A35:E35"/>
    <mergeCell ref="A43:E43"/>
    <mergeCell ref="A31:E31"/>
    <mergeCell ref="A44:E44"/>
    <mergeCell ref="A40:E4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7"/>
  <sheetViews>
    <sheetView workbookViewId="0">
      <pane ySplit="4" topLeftCell="A5" activePane="bottomLeft" state="frozen"/>
      <selection pane="bottomLeft" activeCell="A1" sqref="A1"/>
    </sheetView>
  </sheetViews>
  <sheetFormatPr baseColWidth="8" defaultRowHeight="15"/>
  <cols>
    <col width="46" customWidth="1" min="1" max="1"/>
    <col width="16" customWidth="1" min="2" max="2"/>
    <col width="16" customWidth="1" min="3" max="3"/>
    <col width="16" customWidth="1" min="4" max="4"/>
  </cols>
  <sheetData>
    <row r="1">
      <c r="A1" s="1" t="inlineStr">
        <is>
          <t>San Augustin Mutual Water Company</t>
        </is>
      </c>
    </row>
    <row r="2">
      <c r="A2" s="2" t="inlineStr">
        <is>
          <t>Rate structure and representative bill - eAR Section 8a (RY2024)</t>
        </is>
      </c>
    </row>
    <row r="3">
      <c r="A3" s="2" t="inlineStr">
        <is>
          <t>Entity ID: cawc_0023   |   Fiscal year ends January 31.</t>
        </is>
      </c>
    </row>
    <row r="5" ht="81" customHeight="1">
      <c r="A5" s="26" t="inlineStr">
        <is>
          <t>This block is a rate-schedule illustration at defined usage levels. It is NOT billed revenue and not a claim about any real customer's usage. The revenue side of unit economics is the separate Unit Economics block.</t>
        </is>
      </c>
    </row>
    <row r="6" ht="51" customHeight="1">
      <c r="A6" s="27" t="inlineStr">
        <is>
          <t>Structure: Tiered increasing-block with a fixed base, billed monthly, priced per Gallons. Rate schedule last updated 05/16/2024.</t>
        </is>
      </c>
    </row>
    <row r="7" ht="216" customHeight="1">
      <c r="A7" s="3" t="inlineStr">
        <is>
          <t>Defined single-family usage levels, identical for every company so the bill is comparable: Low = 5 HCF/month (~125 gallons/day); Median = 10 HCF/month (~249 gallons/day); High = 25 HCF/month (~623 gallons/day). 1 HCF = 748 gallons, and 1 thousand gallons = 1,000 gallons. The usage is converted into the company's own filed unit before the filed tiers are applied, and the bill is stated as a monthly equivalent: a bimonthly structure is computed at twice the monthly usage and divided by two, and any other billing period the same way with its factor stated. These are an illustration, not a measured usage for any real customer.</t>
        </is>
      </c>
    </row>
    <row r="9">
      <c r="A9" s="6" t="inlineStr">
        <is>
          <t>Defined usage levels (EDITABLE - change a yellow cell to move the bill)</t>
        </is>
      </c>
      <c r="B9" s="7" t="n"/>
      <c r="C9" s="7" t="n"/>
      <c r="D9" s="7" t="n"/>
    </row>
    <row r="10">
      <c r="A10" s="28" t="inlineStr"/>
      <c r="B10" s="5" t="inlineStr">
        <is>
          <t>Low</t>
        </is>
      </c>
      <c r="C10" s="5" t="inlineStr">
        <is>
          <t>Median</t>
        </is>
      </c>
      <c r="D10" s="5" t="inlineStr">
        <is>
          <t>High</t>
        </is>
      </c>
    </row>
    <row r="11">
      <c r="A11" s="8" t="inlineStr">
        <is>
          <t>Defined usage level (HCF per month)</t>
        </is>
      </c>
      <c r="B11" s="29" t="n">
        <v>5</v>
      </c>
      <c r="C11" s="29" t="n">
        <v>10</v>
      </c>
      <c r="D11" s="29" t="n">
        <v>25</v>
      </c>
    </row>
    <row r="12">
      <c r="A12" s="8" t="inlineStr">
        <is>
          <t>Conversion: one HCF is this many Gallons</t>
        </is>
      </c>
      <c r="B12" s="30" t="n">
        <v>748</v>
      </c>
      <c r="C12" s="13" t="inlineStr">
        <is>
          <t>1 HCF = 748 gallons</t>
        </is>
      </c>
    </row>
    <row r="13">
      <c r="A13" s="8" t="inlineStr">
        <is>
          <t>Monthly usage (Gallons)</t>
        </is>
      </c>
      <c r="B13" s="29">
        <f>B11*$B$12</f>
        <v/>
      </c>
      <c r="C13" s="29">
        <f>C11*$B$12</f>
        <v/>
      </c>
      <c r="D13" s="29">
        <f>D11*$B$12</f>
        <v/>
      </c>
    </row>
    <row r="14">
      <c r="A14" s="8" t="inlineStr">
        <is>
          <t>Months per bill (from filed billing frequency)</t>
        </is>
      </c>
      <c r="B14" s="31" t="n">
        <v>1</v>
      </c>
      <c r="C14" s="13" t="inlineStr">
        <is>
          <t>monthly biller</t>
        </is>
      </c>
    </row>
    <row r="16">
      <c r="A16" s="6" t="inlineStr">
        <is>
          <t>Filed rate table - single-family residential (as filed, eAR Section 8a)</t>
        </is>
      </c>
      <c r="B16" s="7" t="n"/>
      <c r="C16" s="7" t="n"/>
      <c r="D16" s="7" t="n"/>
    </row>
    <row r="17">
      <c r="A17" s="8" t="inlineStr">
        <is>
          <t>Base / fixed charge per monthly bill ($)</t>
        </is>
      </c>
      <c r="B17" s="21" t="n">
        <v>0</v>
      </c>
    </row>
    <row r="18">
      <c r="A18" s="4" t="inlineStr">
        <is>
          <t>Tier</t>
        </is>
      </c>
      <c r="B18" s="4" t="inlineStr">
        <is>
          <t>Range (Gallons)</t>
        </is>
      </c>
      <c r="C18" s="32" t="inlineStr">
        <is>
          <t>Price ($/Gallons)</t>
        </is>
      </c>
      <c r="D18" s="32" t="inlineStr">
        <is>
          <t>Upper limit (Gallons)</t>
        </is>
      </c>
    </row>
    <row r="19">
      <c r="A19" s="8" t="inlineStr">
        <is>
          <t>Tier 1</t>
        </is>
      </c>
      <c r="B19" s="8" t="inlineStr">
        <is>
          <t>0 to 600 Gallons</t>
        </is>
      </c>
      <c r="C19" s="33" t="n">
        <v>0.015</v>
      </c>
      <c r="D19" s="34" t="n">
        <v>600</v>
      </c>
    </row>
    <row r="20">
      <c r="A20" s="8" t="inlineStr">
        <is>
          <t>Tier 2</t>
        </is>
      </c>
      <c r="B20" s="8" t="inlineStr">
        <is>
          <t>600 to 1000 Gallons</t>
        </is>
      </c>
      <c r="C20" s="33" t="n">
        <v>0.02</v>
      </c>
      <c r="D20" s="34" t="n">
        <v>1000</v>
      </c>
    </row>
    <row r="21">
      <c r="A21" s="8" t="inlineStr">
        <is>
          <t>Tier 3</t>
        </is>
      </c>
      <c r="B21" s="8" t="inlineStr">
        <is>
          <t>1000 to 1200 Gallons</t>
        </is>
      </c>
      <c r="C21" s="33" t="n">
        <v>0.03</v>
      </c>
      <c r="D21" s="34" t="n">
        <v>1200</v>
      </c>
    </row>
    <row r="22">
      <c r="A22" s="8" t="inlineStr">
        <is>
          <t>Tier 4</t>
        </is>
      </c>
      <c r="B22" s="8" t="inlineStr">
        <is>
          <t>over 1200 Gallons</t>
        </is>
      </c>
      <c r="C22" s="33" t="n">
        <v>0.04</v>
      </c>
      <c r="D22" s="34" t="inlineStr">
        <is>
          <t>no limit</t>
        </is>
      </c>
    </row>
    <row r="24">
      <c r="A24" s="6" t="inlineStr">
        <is>
          <t>Flags on the filed rate table (nothing below is corrected)</t>
        </is>
      </c>
      <c r="B24" s="7" t="n"/>
      <c r="C24" s="7" t="n"/>
      <c r="D24" s="7" t="n"/>
    </row>
    <row r="25" ht="126" customHeight="1">
      <c r="A25" s="3" t="inlineStr">
        <is>
          <t>Fixed charge: implausible as filed; checked against source. The filed base charge of $0.00 per bill is $0.00 per month, outside the $5.00 to $500.00 per month range a residential fixed charge plausibly takes. A filed $0.00 can simply mean the company charges no fixed charge. Carried exactly as filed and not corrected. Source: State Water Board eAR Section 8 / WRSFCostPerUOM1</t>
        </is>
      </c>
    </row>
    <row r="27">
      <c r="A27" s="6" t="inlineStr">
        <is>
          <t>Representative monthly bill - LIVE (edit a yellow usage cell to recompute)</t>
        </is>
      </c>
      <c r="B27" s="7" t="n"/>
      <c r="C27" s="7" t="n"/>
      <c r="D27" s="7" t="n"/>
    </row>
    <row r="28">
      <c r="A28" s="28" t="inlineStr"/>
      <c r="B28" s="5" t="inlineStr">
        <is>
          <t>Low</t>
        </is>
      </c>
      <c r="C28" s="5" t="inlineStr">
        <is>
          <t>Median</t>
        </is>
      </c>
      <c r="D28" s="5" t="inlineStr">
        <is>
          <t>High</t>
        </is>
      </c>
    </row>
    <row r="29">
      <c r="A29" s="8" t="inlineStr">
        <is>
          <t>Usage per bill (Gallons)</t>
        </is>
      </c>
      <c r="B29" s="35">
        <f>B13*$B$14</f>
        <v/>
      </c>
      <c r="C29" s="35">
        <f>C13*$B$14</f>
        <v/>
      </c>
      <c r="D29" s="35">
        <f>D13*$B$14</f>
        <v/>
      </c>
    </row>
    <row r="30">
      <c r="A30" s="8" t="inlineStr">
        <is>
          <t xml:space="preserve">    Tier 1 charge per bill ($)</t>
        </is>
      </c>
      <c r="B30" s="36">
        <f>$C$19*MAX(0,MIN(B29,$D$19)-0)</f>
        <v/>
      </c>
      <c r="C30" s="36">
        <f>$C$19*MAX(0,MIN(C29,$D$19)-0)</f>
        <v/>
      </c>
      <c r="D30" s="36">
        <f>$C$19*MAX(0,MIN(D29,$D$19)-0)</f>
        <v/>
      </c>
    </row>
    <row r="31">
      <c r="A31" s="8" t="inlineStr">
        <is>
          <t xml:space="preserve">    Tier 2 charge per bill ($)</t>
        </is>
      </c>
      <c r="B31" s="36">
        <f>$C$20*MAX(0,MIN(B29,$D$20)-$D$19)</f>
        <v/>
      </c>
      <c r="C31" s="36">
        <f>$C$20*MAX(0,MIN(C29,$D$20)-$D$19)</f>
        <v/>
      </c>
      <c r="D31" s="36">
        <f>$C$20*MAX(0,MIN(D29,$D$20)-$D$19)</f>
        <v/>
      </c>
    </row>
    <row r="32">
      <c r="A32" s="8" t="inlineStr">
        <is>
          <t xml:space="preserve">    Tier 3 charge per bill ($)</t>
        </is>
      </c>
      <c r="B32" s="36">
        <f>$C$21*MAX(0,MIN(B29,$D$21)-$D$20)</f>
        <v/>
      </c>
      <c r="C32" s="36">
        <f>$C$21*MAX(0,MIN(C29,$D$21)-$D$20)</f>
        <v/>
      </c>
      <c r="D32" s="36">
        <f>$C$21*MAX(0,MIN(D29,$D$21)-$D$20)</f>
        <v/>
      </c>
    </row>
    <row r="33">
      <c r="A33" s="8" t="inlineStr">
        <is>
          <t xml:space="preserve">    Tier 4 charge per bill ($)</t>
        </is>
      </c>
      <c r="B33" s="36">
        <f>$C$22*MAX(0,B29-$D$21)</f>
        <v/>
      </c>
      <c r="C33" s="36">
        <f>$C$22*MAX(0,C29-$D$21)</f>
        <v/>
      </c>
      <c r="D33" s="36">
        <f>$C$22*MAX(0,D29-$D$21)</f>
        <v/>
      </c>
    </row>
    <row r="34">
      <c r="A34" s="8" t="inlineStr">
        <is>
          <t>Volumetric charge per bill ($)</t>
        </is>
      </c>
      <c r="B34" s="36">
        <f>SUM(B30,B31,B32,B33)</f>
        <v/>
      </c>
      <c r="C34" s="36">
        <f>SUM(C30,C31,C32,C33)</f>
        <v/>
      </c>
      <c r="D34" s="36">
        <f>SUM(D30,D31,D32,D33)</f>
        <v/>
      </c>
    </row>
    <row r="35">
      <c r="A35" s="8" t="inlineStr">
        <is>
          <t>Base charge per bill ($)</t>
        </is>
      </c>
      <c r="B35" s="36">
        <f>$B$17</f>
        <v/>
      </c>
      <c r="C35" s="36">
        <f>$B$17</f>
        <v/>
      </c>
      <c r="D35" s="36">
        <f>$B$17</f>
        <v/>
      </c>
    </row>
    <row r="36">
      <c r="A36" s="8" t="inlineStr">
        <is>
          <t>Total per bill ($)</t>
        </is>
      </c>
      <c r="B36" s="36">
        <f>B35+B34</f>
        <v/>
      </c>
      <c r="C36" s="36">
        <f>C35+C34</f>
        <v/>
      </c>
      <c r="D36" s="36">
        <f>D35+D34</f>
        <v/>
      </c>
    </row>
    <row r="37">
      <c r="A37" s="10" t="inlineStr">
        <is>
          <t>Total per MONTH ($)</t>
        </is>
      </c>
      <c r="B37" s="37">
        <f>B36/$B$14</f>
        <v/>
      </c>
      <c r="C37" s="37">
        <f>C36/$B$14</f>
        <v/>
      </c>
      <c r="D37" s="37">
        <f>D36/$B$14</f>
        <v/>
      </c>
    </row>
    <row r="38">
      <c r="A38" s="8" t="inlineStr">
        <is>
          <t xml:space="preserve">    Fixed per month ($)</t>
        </is>
      </c>
      <c r="B38" s="36">
        <f>$B$17/$B$14</f>
        <v/>
      </c>
      <c r="C38" s="36">
        <f>$B$17/$B$14</f>
        <v/>
      </c>
      <c r="D38" s="36">
        <f>$B$17/$B$14</f>
        <v/>
      </c>
    </row>
    <row r="39">
      <c r="A39" s="8" t="inlineStr">
        <is>
          <t xml:space="preserve">    Volumetric per month ($)</t>
        </is>
      </c>
      <c r="B39" s="36">
        <f>B34/$B$14</f>
        <v/>
      </c>
      <c r="C39" s="36">
        <f>C34/$B$14</f>
        <v/>
      </c>
      <c r="D39" s="36">
        <f>D34/$B$14</f>
        <v/>
      </c>
    </row>
    <row r="40">
      <c r="A40" s="8" t="inlineStr">
        <is>
          <t>Effective price ($/HCF)</t>
        </is>
      </c>
      <c r="B40" s="36">
        <f>IF(B11=0,"",B37/B11)</f>
        <v/>
      </c>
      <c r="C40" s="36">
        <f>IF(C11=0,"",C37/C11)</f>
        <v/>
      </c>
      <c r="D40" s="36">
        <f>IF(D11=0,"",D37/D11)</f>
        <v/>
      </c>
    </row>
    <row r="42">
      <c r="A42" s="6" t="inlineStr">
        <is>
          <t>Rate-structure comparison metrics</t>
        </is>
      </c>
      <c r="B42" s="7" t="n"/>
      <c r="C42" s="7" t="n"/>
      <c r="D42" s="7" t="n"/>
    </row>
    <row r="43">
      <c r="A43" s="8" t="inlineStr">
        <is>
          <t>Fixed share of the bill at median usage</t>
        </is>
      </c>
      <c r="B43" s="38">
        <f>C38/C37</f>
        <v/>
      </c>
      <c r="C43" s="13" t="inlineStr">
        <is>
          <t>fixed / total at 10 HCF/month</t>
        </is>
      </c>
    </row>
    <row r="44">
      <c r="A44" s="8" t="inlineStr">
        <is>
          <t>Tier price ratio (highest to lowest positive tier)</t>
        </is>
      </c>
      <c r="B44" s="39">
        <f>$C$22/$C$19</f>
        <v/>
      </c>
      <c r="C44" s="13" t="inlineStr">
        <is>
          <t>highest filed tier price divided by lowest filed tier price.</t>
        </is>
      </c>
    </row>
    <row r="45">
      <c r="A45" s="8" t="inlineStr">
        <is>
          <t>Rate structure (as filed)</t>
        </is>
      </c>
      <c r="B45" s="40" t="inlineStr">
        <is>
          <t>tiered (Variable Base)</t>
        </is>
      </c>
    </row>
    <row r="47" ht="66" customHeight="1">
      <c r="A47" s="3" t="inlineStr">
        <is>
          <t>State Water Board eAR Section 8a (Customer Charges), single- and multi-family residential charges grid, reporting year 2024. Rate structure only; no revenue.</t>
        </is>
      </c>
    </row>
  </sheetData>
  <mergeCells count="8">
    <mergeCell ref="A1:D1"/>
    <mergeCell ref="A5:D5"/>
    <mergeCell ref="A6:D6"/>
    <mergeCell ref="A3:D3"/>
    <mergeCell ref="A7:D7"/>
    <mergeCell ref="A25:D25"/>
    <mergeCell ref="A2:D2"/>
    <mergeCell ref="A47:D4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30"/>
  <sheetViews>
    <sheetView workbookViewId="0">
      <pane ySplit="4" topLeftCell="A5" activePane="bottomLeft" state="frozen"/>
      <selection pane="bottomLeft" activeCell="A1" sqref="A1"/>
    </sheetView>
  </sheetViews>
  <sheetFormatPr baseColWidth="8" defaultRowHeight="15"/>
  <cols>
    <col width="44" customWidth="1" min="1" max="1"/>
    <col width="20" customWidth="1" min="2" max="2"/>
    <col width="20" customWidth="1" min="3" max="3"/>
  </cols>
  <sheetData>
    <row r="1">
      <c r="A1" s="1" t="inlineStr">
        <is>
          <t>San Augustin Mutual Water Company</t>
        </is>
      </c>
    </row>
    <row r="2">
      <c r="A2" s="2" t="inlineStr">
        <is>
          <t>eAR annual revenue and expenses - State Water Board eAR Section 8b (USD)</t>
        </is>
      </c>
    </row>
    <row r="3">
      <c r="A3" s="2" t="inlineStr">
        <is>
          <t>Entity ID: cawc_0023   |   Fiscal year ends January 31.</t>
        </is>
      </c>
    </row>
    <row r="5" ht="156" customHeight="1">
      <c r="A5" s="3" t="inlineStr">
        <is>
          <t>The water system's own annual figures from the public eAR Section 8b, on the fiscal year ending January 31, 2024 the filer self-reported (B0.1/B0.2). Shown beside the period-aligned Form 990 with the variance flagged: a different source (a State Water Board self-report vs an IRS filing). Preserved as filed, never reconciled.</t>
        </is>
      </c>
    </row>
    <row r="6">
      <c r="A6" s="16" t="inlineStr">
        <is>
          <t>Reporting period basis (self-reported)</t>
        </is>
      </c>
      <c r="B6" s="19" t="inlineStr">
        <is>
          <t>fiscal year ending January 31, 2024</t>
        </is>
      </c>
      <c r="C6" s="18" t="inlineStr">
        <is>
          <t>eAR Section 8b B0.1 (WRFinancialReportingPeriod) / B0.2 start 02/01/2023</t>
        </is>
      </c>
    </row>
    <row r="8">
      <c r="A8" s="6" t="inlineStr">
        <is>
          <t>Revenue (eAR Section 8b, questions B1.x)</t>
        </is>
      </c>
      <c r="B8" s="7" t="n"/>
      <c r="C8" s="7" t="n"/>
    </row>
    <row r="9">
      <c r="A9" s="5" t="inlineStr">
        <is>
          <t>Line</t>
        </is>
      </c>
      <c r="B9" s="5" t="inlineStr">
        <is>
          <t>Amount (USD)</t>
        </is>
      </c>
      <c r="C9" s="5" t="inlineStr">
        <is>
          <t>Citation</t>
        </is>
      </c>
    </row>
    <row r="10">
      <c r="A10" s="16" t="inlineStr">
        <is>
          <t>Water rate revenue</t>
        </is>
      </c>
      <c r="B10" s="9" t="n">
        <v>20400</v>
      </c>
      <c r="C10" s="18" t="inlineStr">
        <is>
          <t>State Water Board eAR Section 8b, question B1.1 + B1.2 (revenue from water rates), reporting year 2023</t>
        </is>
      </c>
    </row>
    <row r="11">
      <c r="A11" s="16" t="inlineStr">
        <is>
          <t>Other fees and charges</t>
        </is>
      </c>
      <c r="B11" s="9" t="n">
        <v>44775</v>
      </c>
      <c r="C11" s="18" t="inlineStr">
        <is>
          <t>State Water Board eAR Section 8b, question B1.3 + B1.4 (revenue from other fees), reporting year 2023</t>
        </is>
      </c>
    </row>
    <row r="12">
      <c r="A12" s="16" t="inlineStr">
        <is>
          <t>Non-customer revenue</t>
        </is>
      </c>
      <c r="B12" s="9" t="n">
        <v>0</v>
      </c>
      <c r="C12" s="18" t="inlineStr">
        <is>
          <t>State Water Board eAR Section 8b, question B1.7 (grants, interest, and other non-customer), reporting year 2023</t>
        </is>
      </c>
    </row>
    <row r="13">
      <c r="A13" s="16" t="inlineStr">
        <is>
          <t>Total annual revenue</t>
        </is>
      </c>
      <c r="B13" s="41" t="n">
        <v>65175</v>
      </c>
      <c r="C13" s="18" t="inlineStr">
        <is>
          <t>State Water Board eAR Section 8b, question B1.8 (total annual revenue for the reporting year), reporting year 2023</t>
        </is>
      </c>
    </row>
    <row r="15">
      <c r="A15" s="6" t="inlineStr">
        <is>
          <t>Expenses (eAR Section 8b, questions B2.x)</t>
        </is>
      </c>
      <c r="B15" s="7" t="n"/>
      <c r="C15" s="7" t="n"/>
    </row>
    <row r="16">
      <c r="A16" s="5" t="inlineStr">
        <is>
          <t>Line</t>
        </is>
      </c>
      <c r="B16" s="5" t="inlineStr">
        <is>
          <t>Amount (USD)</t>
        </is>
      </c>
      <c r="C16" s="5" t="inlineStr">
        <is>
          <t>Citation</t>
        </is>
      </c>
    </row>
    <row r="17">
      <c r="A17" s="16" t="inlineStr">
        <is>
          <t>Operations and maintenance</t>
        </is>
      </c>
      <c r="B17" s="9" t="n">
        <v>70737</v>
      </c>
      <c r="C17" s="18" t="inlineStr">
        <is>
          <t>State Water Board eAR Section 8b, question B2.1 (annual O and M expense), reporting year 2023</t>
        </is>
      </c>
    </row>
    <row r="18">
      <c r="A18" s="16" t="inlineStr">
        <is>
          <t>Capital</t>
        </is>
      </c>
      <c r="B18" s="9" t="n">
        <v>0</v>
      </c>
      <c r="C18" s="18" t="inlineStr">
        <is>
          <t>State Water Board eAR Section 8b, question B2.2 (annual expenses from investing or capital), reporting year 2023</t>
        </is>
      </c>
    </row>
    <row r="19">
      <c r="A19" s="16" t="inlineStr">
        <is>
          <t>Financing</t>
        </is>
      </c>
      <c r="B19" s="9" t="n">
        <v>0</v>
      </c>
      <c r="C19" s="18" t="inlineStr">
        <is>
          <t>State Water Board eAR Section 8b, question B2.3 (annual expenses from financing), reporting year 2023</t>
        </is>
      </c>
    </row>
    <row r="20">
      <c r="A20" s="16" t="inlineStr">
        <is>
          <t>Other</t>
        </is>
      </c>
      <c r="B20" s="9" t="n">
        <v>0</v>
      </c>
      <c r="C20" s="18" t="inlineStr">
        <is>
          <t>State Water Board eAR Section 8b, question B2.4 (total other annual expenses), reporting year 2023</t>
        </is>
      </c>
    </row>
    <row r="21">
      <c r="A21" s="16" t="inlineStr">
        <is>
          <t>Total annual expenses</t>
        </is>
      </c>
      <c r="B21" s="41" t="n">
        <v>70737</v>
      </c>
      <c r="C21" s="18" t="inlineStr">
        <is>
          <t>State Water Board eAR Section 8b, question B2.5 (total annual expenses), reporting year 2023</t>
        </is>
      </c>
    </row>
    <row r="23">
      <c r="A23" s="6" t="inlineStr">
        <is>
          <t>Period-aligned Form 990 comparison (variance surfaced, never reconciled)</t>
        </is>
      </c>
      <c r="B23" s="7" t="n"/>
      <c r="C23" s="7" t="n"/>
    </row>
    <row r="24">
      <c r="A24" s="5" t="inlineStr">
        <is>
          <t>Measure</t>
        </is>
      </c>
      <c r="B24" s="5" t="inlineStr">
        <is>
          <t>eAR Section 8b</t>
        </is>
      </c>
      <c r="C24" s="5" t="inlineStr">
        <is>
          <t>Form 990</t>
        </is>
      </c>
    </row>
    <row r="25">
      <c r="A25" s="8" t="inlineStr">
        <is>
          <t>total revenue</t>
        </is>
      </c>
      <c r="B25" s="9" t="n">
        <v>65175</v>
      </c>
      <c r="C25" s="9" t="n">
        <v>65176</v>
      </c>
    </row>
    <row r="26">
      <c r="A26" s="24" t="inlineStr">
        <is>
          <t>Variance (eAR minus Form 990)</t>
        </is>
      </c>
      <c r="B26" s="25">
        <f>B25-C25</f>
        <v/>
      </c>
      <c r="C26" s="42" t="n"/>
    </row>
    <row r="27" ht="201" customHeight="1">
      <c r="A27" s="3" t="inlineStr">
        <is>
          <t>The eAR Section 8b total revenue (State Water Board self-report, fiscal year ending January 31, 2024) and the Form 990 total revenue (IRS filing) are a different source and cover the same fiscal year (February 1, 2023 to January 31, 2024): the water system self-reported the eAR Section 8b on a fiscal year (B0.1 Fiscal, B0.2 start 02/01/2023), which matches the Form 990 fiscal year. Both are carried as filed; the variance is surfaced, never reconciled.</t>
        </is>
      </c>
    </row>
    <row r="28">
      <c r="A28" s="8" t="inlineStr">
        <is>
          <t>total expenses</t>
        </is>
      </c>
      <c r="B28" s="9" t="n">
        <v>70737</v>
      </c>
      <c r="C28" s="9" t="n">
        <v>70737</v>
      </c>
    </row>
    <row r="29">
      <c r="A29" s="24" t="inlineStr">
        <is>
          <t>Variance (eAR minus Form 990)</t>
        </is>
      </c>
      <c r="B29" s="25">
        <f>B28-C28</f>
        <v/>
      </c>
      <c r="C29" s="42" t="n"/>
    </row>
    <row r="30" ht="201" customHeight="1">
      <c r="A30" s="3" t="inlineStr">
        <is>
          <t>The eAR Section 8b total expenses (State Water Board self-report, fiscal year ending January 31, 2024) and the Form 990 total expenses (IRS filing) are a different source and cover the same fiscal year (February 1, 2023 to January 31, 2024): the water system self-reported the eAR Section 8b on a fiscal year (B0.1 Fiscal, B0.2 start 02/01/2023), which matches the Form 990 fiscal year. Both are carried as filed; the variance is surfaced, never reconciled.</t>
        </is>
      </c>
    </row>
  </sheetData>
  <mergeCells count="6">
    <mergeCell ref="A1:C1"/>
    <mergeCell ref="A5:C5"/>
    <mergeCell ref="A27:C27"/>
    <mergeCell ref="A3:C3"/>
    <mergeCell ref="A30:C30"/>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4" customWidth="1" min="3" max="3"/>
    <col width="16" customWidth="1" min="4" max="4"/>
    <col width="16" customWidth="1" min="5" max="5"/>
    <col width="16" customWidth="1" min="6" max="6"/>
    <col width="48" customWidth="1" min="7" max="7"/>
  </cols>
  <sheetData>
    <row r="1">
      <c r="A1" s="1" t="inlineStr">
        <is>
          <t>San Augustin Mutual Water Company</t>
        </is>
      </c>
    </row>
    <row r="2">
      <c r="A2" s="2" t="inlineStr">
        <is>
          <t>Denominators and calendar alignment</t>
        </is>
      </c>
    </row>
    <row r="3">
      <c r="A3" s="2" t="inlineStr">
        <is>
          <t>Entity ID: cawc_0023   |   Fiscal year ends January 31.</t>
        </is>
      </c>
    </row>
    <row r="5" ht="126" customHeight="1">
      <c r="A5" s="3" t="inlineStr">
        <is>
          <t>System size and water use per fiscal year (the operating denominators that per-customer and per-acre metrics divide by), each cited to file and field. The eAR is reported on the calendar year; the 990 fiscal year differs by company. A calendar-year filer's volume is the eAR annual total (fiscal year = calendar year); an offset filer's is recast by a true monthly sum of the covered calendar months, or read not reported naming the missing months. Point-in-time counts (connections, population) are matched to the closest eAR year and never summed. Every derived figure states its formula and accounting rationale.</t>
        </is>
      </c>
    </row>
    <row r="6">
      <c r="A6" s="6" t="inlineStr">
        <is>
          <t>Member vs customer (two different denominators, both preserved)</t>
        </is>
      </c>
      <c r="B6" s="7" t="n"/>
      <c r="C6" s="7" t="n"/>
      <c r="D6" s="7" t="n"/>
      <c r="E6" s="7" t="n"/>
      <c r="F6" s="7" t="n"/>
      <c r="G6" s="7" t="n"/>
    </row>
    <row r="7">
      <c r="A7" s="16" t="inlineStr">
        <is>
          <t>Customer (service connection)</t>
        </is>
      </c>
      <c r="B7" s="17" t="n">
        <v>23</v>
      </c>
      <c r="C7" s="18" t="inlineStr">
        <is>
          <t>State Water Board eAR Section 4 (CurTotalConnections), reporting year 2024</t>
        </is>
      </c>
    </row>
    <row r="8">
      <c r="A8" s="16" t="inlineStr">
        <is>
          <t>SDWIS service-connection count (different registry)</t>
        </is>
      </c>
      <c r="B8" s="17" t="n">
        <v>23</v>
      </c>
      <c r="C8" s="18" t="inlineStr"/>
    </row>
    <row r="9">
      <c r="A9" s="16" t="inlineStr">
        <is>
          <t>Member (shareholder)</t>
        </is>
      </c>
      <c r="B9" s="19" t="n"/>
      <c r="C9" s="18" t="inlineStr">
        <is>
          <t>No published shareholder count</t>
        </is>
      </c>
    </row>
    <row r="10" ht="96" customHeight="1">
      <c r="A10" s="3" t="inlineStr">
        <is>
          <t>In a mutual water company a MEMBER is a shareholder who owns part of the system; a CUSTOMER is a metered service connection that receives water. The two diverge because one owner can hold several connections, a connection can serve people who are not owners, and some mutuals attach shares to land by acreage rather than counting heads. Per-customer metrics divide by service connections; per-member metrics divide by shareholders; the two counts are never used interchangeably.</t>
        </is>
      </c>
    </row>
    <row r="12">
      <c r="A12" s="6" t="inlineStr">
        <is>
          <t>Denominator layer by fiscal year</t>
        </is>
      </c>
      <c r="B12" s="7" t="n"/>
      <c r="C12" s="7" t="n"/>
      <c r="D12" s="7" t="n"/>
      <c r="E12" s="7" t="n"/>
      <c r="F12" s="7" t="n"/>
      <c r="G12" s="7" t="n"/>
    </row>
    <row r="13">
      <c r="A13" s="5" t="inlineStr">
        <is>
          <t>Fiscal year (end)</t>
        </is>
      </c>
      <c r="B13" s="5" t="inlineStr">
        <is>
          <t>Connections</t>
        </is>
      </c>
      <c r="C13" s="5" t="inlineStr">
        <is>
          <t>Population</t>
        </is>
      </c>
      <c r="D13" s="5" t="inlineStr">
        <is>
          <t>Service-area acres</t>
        </is>
      </c>
      <c r="E13" s="5" t="inlineStr">
        <is>
          <t>Water produced (AF)</t>
        </is>
      </c>
      <c r="F13" s="5" t="inlineStr">
        <is>
          <t>Water delivered (AF)</t>
        </is>
      </c>
      <c r="G13" s="5" t="inlineStr">
        <is>
          <t>Alignment method</t>
        </is>
      </c>
    </row>
    <row r="14" ht="40" customHeight="1">
      <c r="A14" s="8" t="inlineStr">
        <is>
          <t>FY2021 (2021-01-31)</t>
        </is>
      </c>
      <c r="B14" s="17" t="n">
        <v>23</v>
      </c>
      <c r="C14" s="14" t="inlineStr">
        <is>
          <t>not reported</t>
        </is>
      </c>
      <c r="D14" s="17" t="n">
        <v>1018.1</v>
      </c>
      <c r="E14" s="17" t="n">
        <v>10.2</v>
      </c>
      <c r="F14" s="17" t="n">
        <v>7.5</v>
      </c>
      <c r="G14" s="19" t="inlineStr">
        <is>
          <t>recast from monthly eAR data to fiscal year ending January 31, 2021</t>
        </is>
      </c>
    </row>
    <row r="15" ht="40" customHeight="1">
      <c r="A15" s="8" t="inlineStr">
        <is>
          <t>FY2022 (2022-01-31)</t>
        </is>
      </c>
      <c r="B15" s="17" t="n">
        <v>23</v>
      </c>
      <c r="C15" s="14" t="inlineStr">
        <is>
          <t>not reported</t>
        </is>
      </c>
      <c r="D15" s="17" t="n">
        <v>1018.1</v>
      </c>
      <c r="E15" s="17" t="n">
        <v>18.7</v>
      </c>
      <c r="F15" s="17" t="n">
        <v>7.6</v>
      </c>
      <c r="G15" s="19" t="inlineStr">
        <is>
          <t>recast from monthly eAR data to fiscal year ending January 31, 2022</t>
        </is>
      </c>
    </row>
    <row r="16" ht="40" customHeight="1">
      <c r="A16" s="8" t="inlineStr">
        <is>
          <t>FY2023 (2023-01-31)</t>
        </is>
      </c>
      <c r="B16" s="17" t="n">
        <v>23</v>
      </c>
      <c r="C16" s="14" t="inlineStr">
        <is>
          <t>not reported</t>
        </is>
      </c>
      <c r="D16" s="17" t="n">
        <v>1018.1</v>
      </c>
      <c r="E16" s="14" t="inlineStr">
        <is>
          <t>not reported</t>
        </is>
      </c>
      <c r="F16" s="14" t="inlineStr">
        <is>
          <t>not reported</t>
        </is>
      </c>
      <c r="G16" s="19" t="inlineStr">
        <is>
          <t>recast from monthly eAR data to fiscal year ending January 31, 2023</t>
        </is>
      </c>
    </row>
    <row r="17" ht="40" customHeight="1">
      <c r="A17" s="8" t="inlineStr">
        <is>
          <t>FY2024 (2024-01-31)</t>
        </is>
      </c>
      <c r="B17" s="17" t="n">
        <v>23</v>
      </c>
      <c r="C17" s="17" t="n">
        <v>43</v>
      </c>
      <c r="D17" s="17" t="n">
        <v>1018.1</v>
      </c>
      <c r="E17" s="14" t="inlineStr">
        <is>
          <t>not reported</t>
        </is>
      </c>
      <c r="F17" s="14" t="inlineStr">
        <is>
          <t>not reported</t>
        </is>
      </c>
      <c r="G17" s="19" t="inlineStr">
        <is>
          <t>recast from monthly eAR data to fiscal year ending January 31, 2024</t>
        </is>
      </c>
    </row>
    <row r="18" ht="40" customHeight="1">
      <c r="A18" s="8" t="inlineStr">
        <is>
          <t>FY2025 (2025-01-31)</t>
        </is>
      </c>
      <c r="B18" s="17" t="n">
        <v>23</v>
      </c>
      <c r="C18" s="17" t="n">
        <v>43</v>
      </c>
      <c r="D18" s="17" t="n">
        <v>1018.1</v>
      </c>
      <c r="E18" s="14" t="inlineStr">
        <is>
          <t>not reported</t>
        </is>
      </c>
      <c r="F18" s="14" t="inlineStr">
        <is>
          <t>not reported</t>
        </is>
      </c>
      <c r="G18" s="19" t="inlineStr">
        <is>
          <t>recast from monthly eAR data to fiscal year ending January 31, 2025</t>
        </is>
      </c>
    </row>
    <row r="20">
      <c r="A20" s="6" t="inlineStr">
        <is>
          <t>Connections by class - FY2025 (eAR Section 4)</t>
        </is>
      </c>
      <c r="B20" s="7" t="n"/>
      <c r="C20" s="7" t="n"/>
      <c r="D20" s="7" t="n"/>
      <c r="E20" s="7" t="n"/>
      <c r="F20" s="7" t="n"/>
      <c r="G20" s="7" t="n"/>
    </row>
    <row r="21">
      <c r="A21" s="16" t="inlineStr">
        <is>
          <t>Single-family residential</t>
        </is>
      </c>
      <c r="B21" s="17" t="n">
        <v>23</v>
      </c>
      <c r="C21" s="18" t="inlineStr"/>
    </row>
    <row r="22" ht="81" customHeight="1">
      <c r="A22" s="3" t="inlineStr">
        <is>
          <t>Monthly-volume source: California open-data portal (data.ca.gov): the separate Produced Water (by month and source) and Delivered Water (by month and connection type) resources, which cover every public water system (not only urban suppliers), one resource per reporting year, matched by exact PWSID. This is the aggregate publication of eAR Section 6.</t>
        </is>
      </c>
    </row>
  </sheetData>
  <mergeCells count="6">
    <mergeCell ref="A1:G1"/>
    <mergeCell ref="A3:G3"/>
    <mergeCell ref="A22:G22"/>
    <mergeCell ref="A2:G2"/>
    <mergeCell ref="A10:G10"/>
    <mergeCell ref="A5:G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5"/>
  <sheetViews>
    <sheetView workbookViewId="0">
      <pane ySplit="4" topLeftCell="A5" activePane="bottomLeft" state="frozen"/>
      <selection pane="bottomLeft" activeCell="A1" sqref="A1"/>
    </sheetView>
  </sheetViews>
  <sheetFormatPr baseColWidth="8" defaultRowHeight="15"/>
  <cols>
    <col width="26" customWidth="1" min="1" max="1"/>
    <col width="16" customWidth="1" min="2" max="2"/>
    <col width="40" customWidth="1" min="3" max="3"/>
    <col width="40" customWidth="1" min="4" max="4"/>
    <col width="12" customWidth="1" min="5" max="5"/>
  </cols>
  <sheetData>
    <row r="1">
      <c r="A1" s="1" t="inlineStr">
        <is>
          <t>San Augustin Mutual Water Company</t>
        </is>
      </c>
    </row>
    <row r="2">
      <c r="A2" s="2" t="inlineStr">
        <is>
          <t>Governance evidence status - Ostrom's eight design principles</t>
        </is>
      </c>
    </row>
    <row r="3">
      <c r="A3" s="2" t="inlineStr">
        <is>
          <t>Entity ID: cawc_0023   |   Fiscal year ends January 31.</t>
        </is>
      </c>
    </row>
    <row r="5">
      <c r="A5" s="43" t="inlineStr">
        <is>
          <t>Evidence summary: 4 documented, 2 partial, 2 not documented of eight principles.</t>
        </is>
      </c>
      <c r="B5" s="7" t="n"/>
      <c r="C5" s="7" t="n"/>
      <c r="D5" s="7" t="n"/>
      <c r="E5" s="7" t="n"/>
    </row>
    <row r="6" ht="81" customHeight="1">
      <c r="A6" s="3" t="inlineStr">
        <is>
          <t>A count of how many of Elinor Ostrom's eight design principles have a supporting record on file, not a grade. NOT DOCUMENTED means the supporting record was not found, not that the company governs badly. It marks a gap in the documentary record, an evidence gap to close, never a governance failing.</t>
        </is>
      </c>
    </row>
    <row r="7" ht="201" customHeight="1">
      <c r="A7" s="3" t="inlineStr">
        <is>
          <t>Each mutual is read against Elinor Ostrom's eight design principles for institutions that govern a shared resource durably. Per principle: a one-line finding, the observable signal, a citation, and an evidence status stating whether the supporting record exists: DOCUMENTED (a cited record supports alignment), PARTIAL (some evidence exists but it is incomplete), or NOT DOCUMENTED (no supporting record was found). This is an evidence-status read, not a grade: the principles are never ranked, weighted, or given a letter, consistent with reporting as filed and not grading companies. NOT DOCUMENTED means the supporting record was not found, not that the company governs badly. It marks a gap in the documentary record, an evidence gap to close, never a governance failing.</t>
        </is>
      </c>
    </row>
    <row r="9">
      <c r="A9" s="5" t="inlineStr">
        <is>
          <t>Principle</t>
        </is>
      </c>
      <c r="B9" s="5" t="inlineStr">
        <is>
          <t>Evidence status</t>
        </is>
      </c>
      <c r="C9" s="5" t="inlineStr">
        <is>
          <t>Finding</t>
        </is>
      </c>
      <c r="D9" s="5" t="inlineStr">
        <is>
          <t>Signal</t>
        </is>
      </c>
      <c r="E9" s="5" t="inlineStr">
        <is>
          <t>Citation</t>
        </is>
      </c>
    </row>
    <row r="10" ht="46" customHeight="1">
      <c r="A10" s="8" t="inlineStr">
        <is>
          <t>Clearly defined boundaries</t>
        </is>
      </c>
      <c r="B10" s="20" t="inlineStr">
        <is>
          <t>DOCUMENTED</t>
        </is>
      </c>
      <c r="C10" s="19" t="inlineStr">
        <is>
          <t>The system is a defined public water system: 23 service connections over a State-published service-area boundary.</t>
        </is>
      </c>
      <c r="D10" s="19" t="inlineStr">
        <is>
          <t>SDWIS Community water system; SABL service-area boundary (not verified (sabl)); connections defined.</t>
        </is>
      </c>
      <c r="E10" s="44" t="inlineStr">
        <is>
          <t>[C][G]</t>
        </is>
      </c>
    </row>
    <row r="11" ht="81" customHeight="1">
      <c r="A11" s="3" t="inlineStr">
        <is>
          <t>What the record shows: SDWIS defines the membership as a fixed set of service connections and the State Water Board publishes a SABL service-area polygon, so who is inside and outside the system is documented. The boundary is Not Verified (SABL), so its outer edge rests on that State layer.</t>
        </is>
      </c>
    </row>
    <row r="12" ht="46" customHeight="1">
      <c r="A12" s="8" t="inlineStr">
        <is>
          <t>Rules fit local conditions</t>
        </is>
      </c>
      <c r="B12" s="20" t="inlineStr">
        <is>
          <t>DOCUMENTED</t>
        </is>
      </c>
      <c r="C12" s="19" t="inlineStr">
        <is>
          <t>Charges are tied to service under a documented rate or share-based allocation rule reported to the State or set in the company's structure.</t>
        </is>
      </c>
      <c r="D12" s="19" t="inlineStr">
        <is>
          <t>eAR Section 8a customer charges; documented rate or share-allocation rule.</t>
        </is>
      </c>
      <c r="E12" s="44" t="inlineStr">
        <is>
          <t>[E][r1]</t>
        </is>
      </c>
    </row>
    <row r="13" ht="81" customHeight="1">
      <c r="A13" s="3" t="inlineStr">
        <is>
          <t>What the record shows: The record documents how charges are set, whether a filed metered rate schedule or a share-and-acreage allocation, so cost tracks service. Whether every tier scales precisely with use is only partially visible at this scale, but a real cost-to-service rule is on record.</t>
        </is>
      </c>
    </row>
    <row r="14" ht="46" customHeight="1">
      <c r="A14" s="8" t="inlineStr">
        <is>
          <t>Collective-choice arrangements</t>
        </is>
      </c>
      <c r="B14" s="20" t="inlineStr">
        <is>
          <t>PARTIAL</t>
        </is>
      </c>
      <c r="C14" s="19" t="inlineStr">
        <is>
          <t>As a mutual it is owned by its customer-shareholders who elect the board, but specific board membership and votes are not documented.</t>
        </is>
      </c>
      <c r="D14" s="19" t="inlineStr">
        <is>
          <t>Mutual (501(c)(12)) ownership structure; Form 990 governance section.</t>
        </is>
      </c>
      <c r="E14" s="44" t="inlineStr">
        <is>
          <t>[990][SOS]</t>
        </is>
      </c>
    </row>
    <row r="15" ht="150" customHeight="1">
      <c r="A15" s="3" t="inlineStr">
        <is>
          <t>What the record shows: The mutual-company form documents that customers are shareholders who elect the directors, so a collective-choice mechanism exists on paper. No record of the specific board, elections, or member votes was found, so the evidence is partial. The specific board was looked for in the state record and is not there. The California Nonprofit Corporation Statement of Information form has no Directors section, so no director roster exists in this filing to report. Structural to the form for this entity type, not a missing extraction. So this gap is not closed, and the evidence status stays PARTIAL for the same reasons as before.</t>
        </is>
      </c>
    </row>
    <row r="16" ht="46" customHeight="1">
      <c r="A16" s="8" t="inlineStr">
        <is>
          <t>Monitoring</t>
        </is>
      </c>
      <c r="B16" s="20" t="inlineStr">
        <is>
          <t>DOCUMENTED</t>
        </is>
      </c>
      <c r="C16" s="19" t="inlineStr">
        <is>
          <t>The system is metered and monitored: the State SAFER risk assessment shows it Not Failing, and it files an annual eAR.</t>
        </is>
      </c>
      <c r="D16" s="19" t="inlineStr">
        <is>
          <t>SAFER Not Failing; annual eAR reporting; metered connections.</t>
        </is>
      </c>
      <c r="E16" s="44" t="inlineStr">
        <is>
          <t>[S][E]</t>
        </is>
      </c>
    </row>
    <row r="17" ht="81" customHeight="1">
      <c r="A17" s="3" t="inlineStr">
        <is>
          <t>What the record shows: Operational monitoring is documented: the State rates the system Not Failing on its drinking-water risk assessment and the system files an annual eAR. No independent audited financial statement is published, so financial monitoring is weaker, but the operational record is present.</t>
        </is>
      </c>
    </row>
    <row r="18" ht="46" customHeight="1">
      <c r="A18" s="8" t="inlineStr">
        <is>
          <t>Graduated sanctions</t>
        </is>
      </c>
      <c r="B18" s="20" t="inlineStr">
        <is>
          <t>NOT DOCUMENTED</t>
        </is>
      </c>
      <c r="C18" s="19" t="inlineStr">
        <is>
          <t>No published shut-off, penalty, or delinquency policy was found for this system.</t>
        </is>
      </c>
      <c r="D18" s="19" t="inlineStr">
        <is>
          <t>No sourced sanctions policy.</t>
        </is>
      </c>
      <c r="E18" s="44" t="inlineStr">
        <is>
          <t>not reported</t>
        </is>
      </c>
    </row>
    <row r="19" ht="81" customHeight="1">
      <c r="A19" s="3" t="inlineStr">
        <is>
          <t>What the record shows: No public record of a graduated shut-off or penalty policy was found for a system this small. NOT DOCUMENTED means the supporting record was not found, not that the company governs badly. It marks a gap in the documentary record, an evidence gap to close, never a governance failing.</t>
        </is>
      </c>
    </row>
    <row r="20" ht="46" customHeight="1">
      <c r="A20" s="8" t="inlineStr">
        <is>
          <t>Conflict-resolution mechanisms</t>
        </is>
      </c>
      <c r="B20" s="20" t="inlineStr">
        <is>
          <t>NOT DOCUMENTED</t>
        </is>
      </c>
      <c r="C20" s="19" t="inlineStr">
        <is>
          <t>No published bylaws, dispute procedure, or grievance mechanism was found for this system.</t>
        </is>
      </c>
      <c r="D20" s="19" t="inlineStr">
        <is>
          <t>No sourced conflict-resolution record.</t>
        </is>
      </c>
      <c r="E20" s="44" t="inlineStr">
        <is>
          <t>not reported</t>
        </is>
      </c>
    </row>
    <row r="21" ht="81" customHeight="1">
      <c r="A21" s="3" t="inlineStr">
        <is>
          <t>What the record shows: No public record of a member dispute or conflict-resolution procedure was found. NOT DOCUMENTED means the supporting record was not found, not that the company governs badly. It marks a gap in the documentary record, an evidence gap to close, never a governance failing.</t>
        </is>
      </c>
    </row>
    <row r="22" ht="46" customHeight="1">
      <c r="A22" s="8" t="inlineStr">
        <is>
          <t>Recognized right to organize</t>
        </is>
      </c>
      <c r="B22" s="20" t="inlineStr">
        <is>
          <t>DOCUMENTED</t>
        </is>
      </c>
      <c r="C22" s="19" t="inlineStr">
        <is>
          <t>An incorporated California mutual water company recognized by the IRS (501(c)(12)) and by the State Water Board as a public water system.</t>
        </is>
      </c>
      <c r="D22" s="19" t="inlineStr">
        <is>
          <t>IRS 501(c)(12) exempt filer (Form 990); SDWIS public water system.</t>
        </is>
      </c>
      <c r="E22" s="44" t="inlineStr">
        <is>
          <t>[990][C][SOS]</t>
        </is>
      </c>
    </row>
    <row r="23" ht="150" customHeight="1">
      <c r="A23" s="3" t="inlineStr">
        <is>
          <t>What the record shows: Baseline legal standing is documented: the company is an incorporated mutual recognized by the IRS as a tax-exempt filer and by the State Water Board as a regulated water system. This records the right to organize as a member entity, not a documented instance of exercising it. The California Secretary of State holds the company as a registered corporation, entity number 1017677, first registered 02/09/1981, status as filed "Active", with a governing body named in the Statement of Information filed 5/12/2026. That is a direct state record of the right to organize being recognized, so the evidence behind this status is now a filed corporate record rather than an inference from the company's tax form. The status was already DOCUMENTED and does not move.</t>
        </is>
      </c>
    </row>
    <row r="24" ht="46" customHeight="1">
      <c r="A24" s="8" t="inlineStr">
        <is>
          <t>Nested enterprises</t>
        </is>
      </c>
      <c r="B24" s="20" t="inlineStr">
        <is>
          <t>PARTIAL</t>
        </is>
      </c>
      <c r="C24" s="19" t="inlineStr">
        <is>
          <t>The system draws on a shared local groundwater basin, embedding it in a larger physical water system, though its role in basin governance is not documented.</t>
        </is>
      </c>
      <c r="D24" s="19" t="inlineStr">
        <is>
          <t>SDWIS Primary Water Source Type: groundwater (shared basin).</t>
        </is>
      </c>
      <c r="E24" s="44" t="inlineStr">
        <is>
          <t>[C]</t>
        </is>
      </c>
    </row>
    <row r="25" ht="66" customHeight="1">
      <c r="A25" s="3" t="inlineStr">
        <is>
          <t>What the record shows: The system relies on a shared groundwater basin, so it is physically nested in a larger hydrologic system. Its participation in a groundwater sustainability agency or basin governance is not documented, so the nesting evidence is partial.</t>
        </is>
      </c>
    </row>
  </sheetData>
  <mergeCells count="13">
    <mergeCell ref="A21:E21"/>
    <mergeCell ref="A2:E2"/>
    <mergeCell ref="A15:E15"/>
    <mergeCell ref="A7:E7"/>
    <mergeCell ref="A25:E25"/>
    <mergeCell ref="A19:E19"/>
    <mergeCell ref="A11:E11"/>
    <mergeCell ref="A1:E1"/>
    <mergeCell ref="A23:E23"/>
    <mergeCell ref="A13:E13"/>
    <mergeCell ref="A6:E6"/>
    <mergeCell ref="A17:E1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0"/>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San Augustin Mutual Water Company</t>
        </is>
      </c>
    </row>
    <row r="2">
      <c r="A2" s="2" t="inlineStr">
        <is>
          <t>Operational metrics - plant per acre, density, terrain</t>
        </is>
      </c>
    </row>
    <row r="3">
      <c r="A3" s="2" t="inlineStr">
        <is>
          <t>Entity ID: cawc_0023   |   Fiscal year ends January 31.</t>
        </is>
      </c>
    </row>
    <row r="5">
      <c r="A5" s="6" t="inlineStr">
        <is>
          <t>Connections per acre</t>
        </is>
      </c>
      <c r="B5" s="7" t="n"/>
      <c r="C5" s="7" t="n"/>
    </row>
    <row r="6">
      <c r="A6" s="16" t="inlineStr">
        <is>
          <t>Connections per acre</t>
        </is>
      </c>
      <c r="B6" s="15" t="n">
        <v>0.02</v>
      </c>
      <c r="C6" s="18" t="inlineStr">
        <is>
          <t>23 connections / 1,018.1 acres. CA State Water Board SABL SERVICE_CONNECTIONS; Geodesic area (WGS84 spherical excess) of the SABL service-area polygon.</t>
        </is>
      </c>
    </row>
    <row r="8">
      <c r="A8" s="6" t="inlineStr">
        <is>
          <t>Who they are</t>
        </is>
      </c>
      <c r="B8" s="7" t="n"/>
      <c r="C8" s="7" t="n"/>
    </row>
    <row r="9">
      <c r="A9" s="16" t="inlineStr">
        <is>
          <t>Terrain class</t>
        </is>
      </c>
      <c r="B9" s="19" t="inlineStr">
        <is>
          <t>coastal terrace</t>
        </is>
      </c>
      <c r="C9" s="18" t="inlineStr">
        <is>
          <t>Company context page (BLUEPRINT 5B)</t>
        </is>
      </c>
    </row>
    <row r="10" ht="126" customHeight="1">
      <c r="A10" s="3" t="inlineStr">
        <is>
          <t>A small domestic mutual water company (501(c)(12)) serving about 23 service connections and roughly 43 residents in the Hollister Ranch and Gaviota coast area of Santa Barbara County, on coastal terrace and rural ranch terrain about 30 miles west of Santa Barbara.</t>
        </is>
      </c>
    </row>
  </sheetData>
  <mergeCells count="4">
    <mergeCell ref="A1:C1"/>
    <mergeCell ref="A3:C3"/>
    <mergeCell ref="A2:C2"/>
    <mergeCell ref="A10:C10"/>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San Augustin Mutual Water Company</t>
        </is>
      </c>
    </row>
    <row r="2">
      <c r="A2" s="2" t="inlineStr">
        <is>
          <t>Supply and weather indicators (DWR water year)</t>
        </is>
      </c>
    </row>
    <row r="3">
      <c r="A3" s="2" t="inlineStr">
        <is>
          <t>Entity ID: cawc_0023   |   Fiscal year ends January 31.</t>
        </is>
      </c>
    </row>
    <row r="5" ht="96" customHeight="1">
      <c r="A5" s="3" t="inlineStr">
        <is>
          <t>Reporting calendar: Different reporting periods. The DWR water year runs October 1 to September 30; this system's fiscal year ends January 31, so the two period ends are four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44" t="inlineStr">
        <is>
          <t>Critical</t>
        </is>
      </c>
      <c r="C8" s="44" t="inlineStr">
        <is>
          <t>Critical</t>
        </is>
      </c>
      <c r="D8" s="44" t="inlineStr">
        <is>
          <t>Wet</t>
        </is>
      </c>
      <c r="E8" s="44" t="inlineStr">
        <is>
          <t>Above Normal</t>
        </is>
      </c>
      <c r="F8" s="45" t="inlineStr">
        <is>
          <t>not reported</t>
        </is>
      </c>
    </row>
    <row r="9">
      <c r="A9" s="8" t="inlineStr">
        <is>
          <t>Peak drought, Santa Barbara County</t>
        </is>
      </c>
      <c r="B9" s="44" t="inlineStr">
        <is>
          <t>D4</t>
        </is>
      </c>
      <c r="C9" s="44" t="inlineStr">
        <is>
          <t>D4</t>
        </is>
      </c>
      <c r="D9" s="44" t="inlineStr">
        <is>
          <t>D3</t>
        </is>
      </c>
      <c r="E9" s="44" t="inlineStr">
        <is>
          <t>None (no D0-D4 during the fiscal year)</t>
        </is>
      </c>
      <c r="F9" s="44" t="inlineStr">
        <is>
          <t>D3</t>
        </is>
      </c>
    </row>
    <row r="10">
      <c r="A10" s="8" t="inlineStr">
        <is>
          <t>Precip, percent of normal (8-Station Index)</t>
        </is>
      </c>
      <c r="B10" s="44" t="inlineStr">
        <is>
          <t>48</t>
        </is>
      </c>
      <c r="C10" s="44" t="inlineStr">
        <is>
          <t>86</t>
        </is>
      </c>
      <c r="D10" s="44" t="inlineStr">
        <is>
          <t>133</t>
        </is>
      </c>
      <c r="E10" s="44" t="inlineStr">
        <is>
          <t>96</t>
        </is>
      </c>
      <c r="F10" s="44" t="inlineStr">
        <is>
          <t>113</t>
        </is>
      </c>
    </row>
    <row r="11">
      <c r="A11" s="8" t="inlineStr">
        <is>
          <t>Snowpack, April 1 percent of average</t>
        </is>
      </c>
      <c r="B11" s="44" t="inlineStr">
        <is>
          <t>59%</t>
        </is>
      </c>
      <c r="C11" s="44" t="inlineStr">
        <is>
          <t>38%</t>
        </is>
      </c>
      <c r="D11" s="44" t="inlineStr">
        <is>
          <t>237%</t>
        </is>
      </c>
      <c r="E11" s="44" t="inlineStr">
        <is>
          <t>110%</t>
        </is>
      </c>
      <c r="F11" s="44" t="inlineStr">
        <is>
          <t>96%</t>
        </is>
      </c>
    </row>
    <row r="12">
      <c r="A12" s="8" t="inlineStr">
        <is>
          <t>State Water Project allocation</t>
        </is>
      </c>
      <c r="B12" s="44" t="inlineStr">
        <is>
          <t>5%</t>
        </is>
      </c>
      <c r="C12" s="44" t="inlineStr">
        <is>
          <t>5%</t>
        </is>
      </c>
      <c r="D12" s="44" t="inlineStr">
        <is>
          <t>100%</t>
        </is>
      </c>
      <c r="E12" s="44" t="inlineStr">
        <is>
          <t>40%</t>
        </is>
      </c>
      <c r="F12" s="44"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San Augustin Mutual Water Company</t>
        </is>
      </c>
    </row>
    <row r="2">
      <c r="A2" s="2" t="inlineStr">
        <is>
          <t>How this was built - forensic lineage</t>
        </is>
      </c>
    </row>
    <row r="3">
      <c r="A3" s="2" t="inlineStr">
        <is>
          <t>Entity ID: cawc_0023   |   Fiscal year ends January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DIRECT</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2023, so this is a DIRECT filed figure; per customer it is divided by the eAR Section 4 connection count for the same reporting year, so numerator and denominator share the year.</t>
        </is>
      </c>
    </row>
    <row r="11">
      <c r="A11" s="6" t="inlineStr">
        <is>
          <t>Assessment revenue (residual) - DERIVED</t>
        </is>
      </c>
      <c r="B11" s="7" t="n"/>
    </row>
    <row r="12" ht="72" customHeight="1">
      <c r="A12" s="16" t="inlineStr">
        <is>
          <t>Sources checked</t>
        </is>
      </c>
      <c r="B12" s="18" t="inlineStr">
        <is>
          <t>Form 990 Part VIII line 2 (program-service revenue); State Water Board eAR Section 8b (water-rate revenue B1.1/B1.2)</t>
        </is>
      </c>
    </row>
    <row r="13" ht="72" customHeight="1">
      <c r="A13" s="16" t="inlineStr">
        <is>
          <t>What was found</t>
        </is>
      </c>
      <c r="B13" s="18" t="inlineStr">
        <is>
          <t>No source separately reports a member assessment, so it is DERIVED as a residual: $65,176 (990 program-service revenue) minus $20,400 (eAR water-rate revenue) = $44,776. Period-aligned; medium confidence.</t>
        </is>
      </c>
    </row>
    <row r="14" ht="72" customHeight="1">
      <c r="A14" s="16" t="inlineStr">
        <is>
          <t>Caveat</t>
        </is>
      </c>
      <c r="B14" s="18" t="inlineStr">
        <is>
          <t>This residual is a difference between two sources for the same period; it is not a separately filed assessment line and may include other unmatched revenue.</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7"/>
  <sheetViews>
    <sheetView workbookViewId="0">
      <pane ySplit="7" topLeftCell="A8" activePane="bottomLeft" state="frozen"/>
      <selection pane="bottomLeft" activeCell="A1" sqref="A1"/>
    </sheetView>
  </sheetViews>
  <sheetFormatPr baseColWidth="8" defaultRowHeight="15"/>
  <cols>
    <col width="30" customWidth="1" min="1" max="1"/>
    <col width="46" customWidth="1" min="2" max="2"/>
    <col width="30" customWidth="1" min="3" max="3"/>
    <col width="10" customWidth="1" min="4" max="4"/>
    <col width="12" customWidth="1" min="5" max="5"/>
    <col width="60" customWidth="1" min="6" max="6"/>
  </cols>
  <sheetData>
    <row r="1">
      <c r="A1" s="1" t="inlineStr">
        <is>
          <t>San Augustin Mutual Water Company</t>
        </is>
      </c>
    </row>
    <row r="2">
      <c r="A2" s="2" t="inlineStr">
        <is>
          <t>Water Operations (sourced outside the financial filings)</t>
        </is>
      </c>
    </row>
    <row r="3">
      <c r="A3" s="2" t="inlineStr">
        <is>
          <t>Entity ID: cawc_0023   |   Fiscal year ends January 31.</t>
        </is>
      </c>
    </row>
    <row r="5" ht="42" customHeight="1">
      <c r="A5" s="3" t="inlineStr">
        <is>
          <t>A separate dialect of data from the financial statements: the system's water supply, from the California State Water Board records (the Consumer Confidence Report served by the eAR portal, and SDWIS Drinking Water Watch). Each field carries its source, year, and confidence the same way a financial line item does; a field the source does not state reads 'not reported' with the source still needed. Figures are as reported, never estimated or reconciled across sources.</t>
        </is>
      </c>
    </row>
    <row r="7">
      <c r="A7" s="5" t="inlineStr">
        <is>
          <t>Field</t>
        </is>
      </c>
      <c r="B7" s="5" t="inlineStr">
        <is>
          <t>Value</t>
        </is>
      </c>
      <c r="C7" s="5" t="inlineStr">
        <is>
          <t>Source</t>
        </is>
      </c>
      <c r="D7" s="5" t="inlineStr">
        <is>
          <t>Year</t>
        </is>
      </c>
      <c r="E7" s="5" t="inlineStr">
        <is>
          <t>Confidence</t>
        </is>
      </c>
      <c r="F7" s="5" t="inlineStr">
        <is>
          <t>Source excerpt / cross-source note</t>
        </is>
      </c>
    </row>
    <row r="8" ht="42" customHeight="1">
      <c r="A8" s="8" t="inlineStr">
        <is>
          <t>Water type</t>
        </is>
      </c>
      <c r="B8" s="19" t="inlineStr">
        <is>
          <t>Potable (community drinking water)</t>
        </is>
      </c>
      <c r="C8" s="8" t="inlineStr">
        <is>
          <t>SDWIS Drinking Water Watch (State Water Board)</t>
        </is>
      </c>
      <c r="D8" s="44" t="n">
        <v>2024</v>
      </c>
      <c r="E8" s="8" t="inlineStr">
        <is>
          <t>high</t>
        </is>
      </c>
      <c r="F8" s="19" t="inlineStr">
        <is>
          <t>SAN AUGUSTINE MUTUAL WATER COMPANY: State Water System Type = Community.</t>
        </is>
      </c>
    </row>
    <row r="9" ht="42" customHeight="1">
      <c r="A9" s="8" t="inlineStr">
        <is>
          <t>Source mix</t>
        </is>
      </c>
      <c r="B9" s="19" t="inlineStr">
        <is>
          <t>Primary source: local groundwater wells (SDWIS Primary Water Source Type: Groundwater). SDWIS classifies the primary supply type; it states no acre-foot volume by source.</t>
        </is>
      </c>
      <c r="C9" s="8" t="inlineStr">
        <is>
          <t>SDWIS Drinking Water Watch (State Water Board)</t>
        </is>
      </c>
      <c r="D9" s="44" t="n">
        <v>2024</v>
      </c>
      <c r="E9" s="8" t="inlineStr">
        <is>
          <t>high</t>
        </is>
      </c>
      <c r="F9" s="19" t="inlineStr">
        <is>
          <t>SAN AUGUSTINE MUTUAL WATER COMPANY: Primary Water Source Type = Groundwater.</t>
        </is>
      </c>
    </row>
    <row r="10" ht="42" customHeight="1">
      <c r="A10" s="8" t="inlineStr">
        <is>
          <t>Service connections (total)</t>
        </is>
      </c>
      <c r="B10" s="19" t="inlineStr">
        <is>
          <t>23 connections</t>
        </is>
      </c>
      <c r="C10" s="8" t="inlineStr">
        <is>
          <t>SDWIS Drinking Water Watch (State Water Board)</t>
        </is>
      </c>
      <c r="D10" s="44" t="n">
        <v>2024</v>
      </c>
      <c r="E10" s="8" t="inlineStr">
        <is>
          <t>high</t>
        </is>
      </c>
      <c r="F10" s="19" t="inlineStr">
        <is>
          <t>SAN AUGUSTINE MUTUAL WATER COMPANY: Total Number of Service Connections = 23.  [cross-source: SDWIS connection snapshot; the eAR reports active service connections on its own basis and per reporting year. Both preserved, not reconciled.]</t>
        </is>
      </c>
    </row>
    <row r="11" ht="42" customHeight="1">
      <c r="A11" s="8" t="inlineStr">
        <is>
          <t>Connections by class</t>
        </is>
      </c>
      <c r="B11" s="19" t="inlineStr">
        <is>
          <t>Service connections by type (SDWIS snapshot): Residential 23; Total 23.</t>
        </is>
      </c>
      <c r="C11" s="8" t="inlineStr">
        <is>
          <t>SDWIS Drinking Water Watch (State Water Board)</t>
        </is>
      </c>
      <c r="D11" s="44" t="n">
        <v>2024</v>
      </c>
      <c r="E11" s="8" t="inlineStr">
        <is>
          <t>high</t>
        </is>
      </c>
      <c r="F11" s="19" t="inlineStr">
        <is>
          <t>SAN AUGUSTINE MUTUAL WATER COMPANY: connections by type - Residential 23; Total 23.</t>
        </is>
      </c>
    </row>
    <row r="12" ht="42" customHeight="1">
      <c r="A12" s="8" t="inlineStr">
        <is>
          <t>Population served</t>
        </is>
      </c>
      <c r="B12" s="19" t="inlineStr">
        <is>
          <t>43 residents</t>
        </is>
      </c>
      <c r="C12" s="8" t="inlineStr">
        <is>
          <t>SDWIS Drinking Water Watch (State Water Board)</t>
        </is>
      </c>
      <c r="D12" s="44" t="n">
        <v>2024</v>
      </c>
      <c r="E12" s="8" t="inlineStr">
        <is>
          <t>high</t>
        </is>
      </c>
      <c r="F12" s="19" t="inlineStr">
        <is>
          <t>SAN AUGUSTINE MUTUAL WATER COMPANY: Total Population = 43.</t>
        </is>
      </c>
    </row>
    <row r="13" ht="42" customHeight="1">
      <c r="A13" s="8" t="inlineStr">
        <is>
          <t>Treatment and water quality</t>
        </is>
      </c>
      <c r="B13" s="19" t="inlineStr">
        <is>
          <t>Operator certification on file: Treatment or distribution operator of any grade; Distribution Operator Level 1. SDWIS states operator grades, not the treatment process detail.</t>
        </is>
      </c>
      <c r="C13" s="8" t="inlineStr">
        <is>
          <t>SDWIS Drinking Water Watch (State Water Board)</t>
        </is>
      </c>
      <c r="D13" s="44" t="n">
        <v>2024</v>
      </c>
      <c r="E13" s="8" t="inlineStr">
        <is>
          <t>high</t>
        </is>
      </c>
      <c r="F13" s="19" t="inlineStr">
        <is>
          <t>SAN AUGUSTINE MUTUAL WATER COMPANY: Treatment Plant Class = Treatment or distribution operator of any grade; Distribution System Class = Distribution Operator Level 1.</t>
        </is>
      </c>
    </row>
    <row r="15">
      <c r="A15" s="6" t="inlineStr">
        <is>
          <t>Not reported (source still needed)</t>
        </is>
      </c>
      <c r="B15" s="7" t="n"/>
      <c r="C15" s="7" t="n"/>
      <c r="D15" s="7" t="n"/>
      <c r="E15" s="7" t="n"/>
      <c r="F15" s="7" t="n"/>
    </row>
    <row r="16" ht="30" customHeight="1">
      <c r="A16" s="8" t="inlineStr">
        <is>
          <t>Annual volume delivered (acre-feet)</t>
        </is>
      </c>
      <c r="B16" s="18" t="inlineStr">
        <is>
          <t>not reported - needs annual volume in acre-feet (State Water Board eAR Section 6 or company production records); the CCR states only a percentage mix</t>
        </is>
      </c>
      <c r="C16" s="42" t="n"/>
      <c r="D16" s="42" t="n"/>
      <c r="E16" s="42" t="n"/>
      <c r="F16" s="42" t="n"/>
    </row>
    <row r="17" ht="30" customHeight="1">
      <c r="A17" s="8" t="inlineStr">
        <is>
          <t>Customer classes served</t>
        </is>
      </c>
      <c r="B17" s="18" t="inlineStr">
        <is>
          <t>not reported - needs the State Water Board eAR or the system CCR</t>
        </is>
      </c>
      <c r="C17" s="42" t="n"/>
      <c r="D17" s="42" t="n"/>
      <c r="E17" s="42" t="n"/>
      <c r="F17" s="42" t="n"/>
    </row>
  </sheetData>
  <mergeCells count="4">
    <mergeCell ref="A3:F3"/>
    <mergeCell ref="A2:F2"/>
    <mergeCell ref="A1:F1"/>
    <mergeCell ref="A5:F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0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San Augustin Mutual Water Company</t>
        </is>
      </c>
    </row>
    <row r="2">
      <c r="A2" s="2" t="inlineStr">
        <is>
          <t>Sources &amp; audit - full provenance and tie-outs (kept off the statements so they read clean)</t>
        </is>
      </c>
    </row>
    <row r="3">
      <c r="A3" s="2" t="inlineStr">
        <is>
          <t>Entity ID: cawc_0023   |   Fiscal year ends January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3"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44" t="inlineStr">
        <is>
          <t>FY2021</t>
        </is>
      </c>
      <c r="B10" s="8" t="inlineStr">
        <is>
          <t>2021-01-31</t>
        </is>
      </c>
      <c r="C10" s="8" t="inlineStr">
        <is>
          <t>990-EZ</t>
        </is>
      </c>
      <c r="D10" s="8" t="inlineStr">
        <is>
          <t>high</t>
        </is>
      </c>
      <c r="E10" s="8" t="inlineStr">
        <is>
          <t>2a2ac10a-af99-4353-adf9-0e26e948224c</t>
        </is>
      </c>
      <c r="F10" s="8" t="inlineStr">
        <is>
          <t>202111399349200026</t>
        </is>
      </c>
      <c r="G10" s="8" t="inlineStr">
        <is>
          <t>claude-opus-5</t>
        </is>
      </c>
      <c r="H10" s="8" t="inlineStr">
        <is>
          <t>2026-09-14T20:40:23+00:00</t>
        </is>
      </c>
      <c r="I10" s="8" t="inlineStr">
        <is>
          <t>https://apps.irs.gov/pub/epostcard/990/xml/2021/2021_TEOS_XML_01A.zip#202111399349200026_public.xml</t>
        </is>
      </c>
    </row>
    <row r="11">
      <c r="A11" s="44" t="inlineStr">
        <is>
          <t>FY2022</t>
        </is>
      </c>
      <c r="B11" s="8" t="inlineStr">
        <is>
          <t>2022-01-31</t>
        </is>
      </c>
      <c r="C11" s="8" t="inlineStr">
        <is>
          <t>990-EZ</t>
        </is>
      </c>
      <c r="D11" s="8" t="inlineStr">
        <is>
          <t>high</t>
        </is>
      </c>
      <c r="E11" s="8" t="inlineStr">
        <is>
          <t>e3715ba5-7cb1-4bbe-80f9-67c2c3da0556</t>
        </is>
      </c>
      <c r="F11" s="8" t="inlineStr">
        <is>
          <t>202231249349200738</t>
        </is>
      </c>
      <c r="G11" s="8" t="inlineStr">
        <is>
          <t>claude-opus-5</t>
        </is>
      </c>
      <c r="H11" s="8" t="inlineStr">
        <is>
          <t>2026-09-14T20:40:23+00:00</t>
        </is>
      </c>
      <c r="I11" s="8" t="inlineStr">
        <is>
          <t>https://apps.irs.gov/pub/epostcard/990/xml/2022/2022_TEOS_XML_01A.zip#202231249349200738_public.xml</t>
        </is>
      </c>
    </row>
    <row r="12">
      <c r="A12" s="44" t="inlineStr">
        <is>
          <t>FY2023</t>
        </is>
      </c>
      <c r="B12" s="8" t="inlineStr">
        <is>
          <t>2023-01-31</t>
        </is>
      </c>
      <c r="C12" s="8" t="inlineStr">
        <is>
          <t>990-EZ</t>
        </is>
      </c>
      <c r="D12" s="8" t="inlineStr">
        <is>
          <t>high</t>
        </is>
      </c>
      <c r="E12" s="8" t="inlineStr">
        <is>
          <t>0bfc7b8f-a0ce-4c4c-a959-d36d2f89ae17</t>
        </is>
      </c>
      <c r="F12" s="8" t="inlineStr">
        <is>
          <t>202301319349204655</t>
        </is>
      </c>
      <c r="G12" s="8" t="inlineStr">
        <is>
          <t>claude-opus-5</t>
        </is>
      </c>
      <c r="H12" s="8" t="inlineStr">
        <is>
          <t>2026-09-14T20:40:23+00:00</t>
        </is>
      </c>
      <c r="I12" s="8" t="inlineStr">
        <is>
          <t>https://apps.irs.gov/pub/epostcard/990/xml/2023/2023_TEOS_XML_05A.zip#202301319349204655_public.xml</t>
        </is>
      </c>
    </row>
    <row r="13">
      <c r="A13" s="44" t="inlineStr">
        <is>
          <t>FY2024</t>
        </is>
      </c>
      <c r="B13" s="8" t="inlineStr">
        <is>
          <t>2024-01-31</t>
        </is>
      </c>
      <c r="C13" s="8" t="inlineStr">
        <is>
          <t>990-EZ</t>
        </is>
      </c>
      <c r="D13" s="8" t="inlineStr">
        <is>
          <t>high</t>
        </is>
      </c>
      <c r="E13" s="8" t="inlineStr">
        <is>
          <t>e7ec1e94-bf90-48de-9d41-487731d167c2</t>
        </is>
      </c>
      <c r="F13" s="8" t="inlineStr">
        <is>
          <t>202401559349201210</t>
        </is>
      </c>
      <c r="G13" s="8" t="inlineStr">
        <is>
          <t>claude-opus-5</t>
        </is>
      </c>
      <c r="H13" s="8" t="inlineStr">
        <is>
          <t>2026-09-14T20:40:23+00:00</t>
        </is>
      </c>
      <c r="I13" s="8" t="inlineStr">
        <is>
          <t>https://apps.irs.gov/pub/epostcard/990/xml/2024/2024_TEOS_XML_06A.zip#202401559349201210_public.xml</t>
        </is>
      </c>
    </row>
    <row r="14">
      <c r="A14" s="44" t="inlineStr">
        <is>
          <t>FY2025</t>
        </is>
      </c>
      <c r="B14" s="8" t="inlineStr">
        <is>
          <t>2025-01-31</t>
        </is>
      </c>
      <c r="C14" s="8" t="inlineStr">
        <is>
          <t>990-EZ</t>
        </is>
      </c>
      <c r="D14" s="8" t="inlineStr">
        <is>
          <t>high</t>
        </is>
      </c>
      <c r="E14" s="8" t="inlineStr">
        <is>
          <t>f176b4dc-1bf0-4bfd-803b-35c4a67b4630</t>
        </is>
      </c>
      <c r="F14" s="8" t="inlineStr">
        <is>
          <t>202521199349201317</t>
        </is>
      </c>
      <c r="G14" s="8" t="inlineStr">
        <is>
          <t>claude-opus-5</t>
        </is>
      </c>
      <c r="H14" s="8" t="inlineStr">
        <is>
          <t>2026-09-14T20:40:23+00:00</t>
        </is>
      </c>
      <c r="I14" s="8" t="inlineStr">
        <is>
          <t>https://apps.irs.gov/pub/epostcard/990/xml/2025/2025_TEOS_XML_05A.zip#202521199349201317_public.xml</t>
        </is>
      </c>
    </row>
    <row r="16">
      <c r="A16" s="43"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Form 990-EZ Parts I &amp; II</t>
        </is>
      </c>
      <c r="B18" s="8" t="inlineStr">
        <is>
          <t>B7</t>
        </is>
      </c>
      <c r="C18" s="8" t="inlineStr">
        <is>
          <t>2. Program service revenue</t>
        </is>
      </c>
      <c r="D18" s="8" t="inlineStr">
        <is>
          <t>Part I line 2</t>
        </is>
      </c>
      <c r="E18" s="8" t="inlineStr">
        <is>
          <t>part_i_revenue_expenses.program_service_revenue</t>
        </is>
      </c>
      <c r="F18" s="8" t="inlineStr">
        <is>
          <t>high</t>
        </is>
      </c>
      <c r="G18" s="9" t="n">
        <v>46526</v>
      </c>
    </row>
    <row r="19">
      <c r="A19" s="8" t="inlineStr">
        <is>
          <t>Form 990-EZ Parts I &amp; II</t>
        </is>
      </c>
      <c r="B19" s="8" t="inlineStr">
        <is>
          <t>C7</t>
        </is>
      </c>
      <c r="C19" s="8" t="inlineStr">
        <is>
          <t>2. Program service revenue</t>
        </is>
      </c>
      <c r="D19" s="8" t="inlineStr">
        <is>
          <t>Part I line 2</t>
        </is>
      </c>
      <c r="E19" s="8" t="inlineStr">
        <is>
          <t>part_i_revenue_expenses.program_service_revenue</t>
        </is>
      </c>
      <c r="F19" s="8" t="inlineStr">
        <is>
          <t>high</t>
        </is>
      </c>
      <c r="G19" s="9" t="n">
        <v>52754</v>
      </c>
    </row>
    <row r="20">
      <c r="A20" s="8" t="inlineStr">
        <is>
          <t>Form 990-EZ Parts I &amp; II</t>
        </is>
      </c>
      <c r="B20" s="8" t="inlineStr">
        <is>
          <t>D7</t>
        </is>
      </c>
      <c r="C20" s="8" t="inlineStr">
        <is>
          <t>2. Program service revenue</t>
        </is>
      </c>
      <c r="D20" s="8" t="inlineStr">
        <is>
          <t>Part I line 2</t>
        </is>
      </c>
      <c r="E20" s="8" t="inlineStr">
        <is>
          <t>part_i_revenue_expenses.program_service_revenue</t>
        </is>
      </c>
      <c r="F20" s="8" t="inlineStr">
        <is>
          <t>high</t>
        </is>
      </c>
      <c r="G20" s="9" t="n">
        <v>62010</v>
      </c>
    </row>
    <row r="21">
      <c r="A21" s="8" t="inlineStr">
        <is>
          <t>Form 990-EZ Parts I &amp; II</t>
        </is>
      </c>
      <c r="B21" s="8" t="inlineStr">
        <is>
          <t>E7</t>
        </is>
      </c>
      <c r="C21" s="8" t="inlineStr">
        <is>
          <t>2. Program service revenue</t>
        </is>
      </c>
      <c r="D21" s="8" t="inlineStr">
        <is>
          <t>Part I line 2</t>
        </is>
      </c>
      <c r="E21" s="8" t="inlineStr">
        <is>
          <t>part_i_revenue_expenses.program_service_revenue</t>
        </is>
      </c>
      <c r="F21" s="8" t="inlineStr">
        <is>
          <t>high</t>
        </is>
      </c>
      <c r="G21" s="9" t="n">
        <v>65176</v>
      </c>
    </row>
    <row r="22">
      <c r="A22" s="8" t="inlineStr">
        <is>
          <t>Form 990-EZ Parts I &amp; II</t>
        </is>
      </c>
      <c r="B22" s="8" t="inlineStr">
        <is>
          <t>F8</t>
        </is>
      </c>
      <c r="C22" s="8" t="inlineStr">
        <is>
          <t>3. Membership dues and assessments</t>
        </is>
      </c>
      <c r="D22" s="8" t="inlineStr">
        <is>
          <t>Part I line 3</t>
        </is>
      </c>
      <c r="E22" s="8" t="inlineStr">
        <is>
          <t>part_i_revenue_expenses.membership_dues</t>
        </is>
      </c>
      <c r="F22" s="8" t="inlineStr">
        <is>
          <t>high</t>
        </is>
      </c>
      <c r="G22" s="9" t="n">
        <v>86048</v>
      </c>
    </row>
    <row r="23">
      <c r="A23" s="8" t="inlineStr">
        <is>
          <t>Form 990-EZ Parts I &amp; II</t>
        </is>
      </c>
      <c r="B23" s="8" t="inlineStr">
        <is>
          <t>B9</t>
        </is>
      </c>
      <c r="C23" s="8" t="inlineStr">
        <is>
          <t>4. Investment income</t>
        </is>
      </c>
      <c r="D23" s="8" t="inlineStr">
        <is>
          <t>Part I line 4</t>
        </is>
      </c>
      <c r="E23" s="8" t="inlineStr">
        <is>
          <t>part_i_revenue_expenses.investment_income</t>
        </is>
      </c>
      <c r="F23" s="8" t="inlineStr">
        <is>
          <t>high</t>
        </is>
      </c>
      <c r="G23" s="9" t="n">
        <v>4</v>
      </c>
    </row>
    <row r="24">
      <c r="A24" s="8" t="inlineStr">
        <is>
          <t>Form 990-EZ Parts I &amp; II</t>
        </is>
      </c>
      <c r="B24" s="8" t="inlineStr">
        <is>
          <t>C9</t>
        </is>
      </c>
      <c r="C24" s="8" t="inlineStr">
        <is>
          <t>4. Investment income</t>
        </is>
      </c>
      <c r="D24" s="8" t="inlineStr">
        <is>
          <t>Part I line 4</t>
        </is>
      </c>
      <c r="E24" s="8" t="inlineStr">
        <is>
          <t>part_i_revenue_expenses.investment_income</t>
        </is>
      </c>
      <c r="F24" s="8" t="inlineStr">
        <is>
          <t>high</t>
        </is>
      </c>
      <c r="G24" s="9" t="n">
        <v>1</v>
      </c>
    </row>
    <row r="25">
      <c r="A25" s="8" t="inlineStr">
        <is>
          <t>Form 990-EZ Parts I &amp; II</t>
        </is>
      </c>
      <c r="B25" s="8" t="inlineStr">
        <is>
          <t>C10</t>
        </is>
      </c>
      <c r="C25" s="8" t="inlineStr">
        <is>
          <t>8. Other revenue</t>
        </is>
      </c>
      <c r="D25" s="8" t="inlineStr">
        <is>
          <t>Part I line 8</t>
        </is>
      </c>
      <c r="E25" s="8" t="inlineStr">
        <is>
          <t>part_i_revenue_expenses.other_revenue_total</t>
        </is>
      </c>
      <c r="F25" s="8" t="inlineStr">
        <is>
          <t>high</t>
        </is>
      </c>
      <c r="G25" s="9" t="n">
        <v>76</v>
      </c>
    </row>
    <row r="26">
      <c r="A26" s="8" t="inlineStr">
        <is>
          <t>Form 990-EZ Parts I &amp; II</t>
        </is>
      </c>
      <c r="B26" s="8" t="inlineStr">
        <is>
          <t>D10</t>
        </is>
      </c>
      <c r="C26" s="8" t="inlineStr">
        <is>
          <t>8. Other revenue</t>
        </is>
      </c>
      <c r="D26" s="8" t="inlineStr">
        <is>
          <t>Part I line 8</t>
        </is>
      </c>
      <c r="E26" s="8" t="inlineStr">
        <is>
          <t>part_i_revenue_expenses.other_revenue_total</t>
        </is>
      </c>
      <c r="F26" s="8" t="inlineStr">
        <is>
          <t>high</t>
        </is>
      </c>
      <c r="G26" s="9" t="n">
        <v>41</v>
      </c>
    </row>
    <row r="27">
      <c r="A27" s="8" t="inlineStr">
        <is>
          <t>Form 990-EZ Parts I &amp; II</t>
        </is>
      </c>
      <c r="B27" s="8" t="inlineStr">
        <is>
          <t>B11</t>
        </is>
      </c>
      <c r="C27" s="8" t="inlineStr">
        <is>
          <t>9. Total revenue</t>
        </is>
      </c>
      <c r="D27" s="8" t="inlineStr">
        <is>
          <t>Part I line 9</t>
        </is>
      </c>
      <c r="E27" s="8" t="inlineStr">
        <is>
          <t>part_i_revenue_expenses.total_revenue</t>
        </is>
      </c>
      <c r="F27" s="8" t="inlineStr">
        <is>
          <t>high</t>
        </is>
      </c>
      <c r="G27" s="9" t="n">
        <v>46530</v>
      </c>
    </row>
    <row r="28">
      <c r="A28" s="8" t="inlineStr">
        <is>
          <t>Form 990-EZ Parts I &amp; II</t>
        </is>
      </c>
      <c r="B28" s="8" t="inlineStr">
        <is>
          <t>C11</t>
        </is>
      </c>
      <c r="C28" s="8" t="inlineStr">
        <is>
          <t>9. Total revenue</t>
        </is>
      </c>
      <c r="D28" s="8" t="inlineStr">
        <is>
          <t>Part I line 9</t>
        </is>
      </c>
      <c r="E28" s="8" t="inlineStr">
        <is>
          <t>part_i_revenue_expenses.total_revenue</t>
        </is>
      </c>
      <c r="F28" s="8" t="inlineStr">
        <is>
          <t>high</t>
        </is>
      </c>
      <c r="G28" s="9" t="n">
        <v>52831</v>
      </c>
    </row>
    <row r="29">
      <c r="A29" s="8" t="inlineStr">
        <is>
          <t>Form 990-EZ Parts I &amp; II</t>
        </is>
      </c>
      <c r="B29" s="8" t="inlineStr">
        <is>
          <t>D11</t>
        </is>
      </c>
      <c r="C29" s="8" t="inlineStr">
        <is>
          <t>9. Total revenue</t>
        </is>
      </c>
      <c r="D29" s="8" t="inlineStr">
        <is>
          <t>Part I line 9</t>
        </is>
      </c>
      <c r="E29" s="8" t="inlineStr">
        <is>
          <t>part_i_revenue_expenses.total_revenue</t>
        </is>
      </c>
      <c r="F29" s="8" t="inlineStr">
        <is>
          <t>high</t>
        </is>
      </c>
      <c r="G29" s="9" t="n">
        <v>62051</v>
      </c>
    </row>
    <row r="30">
      <c r="A30" s="8" t="inlineStr">
        <is>
          <t>Form 990-EZ Parts I &amp; II</t>
        </is>
      </c>
      <c r="B30" s="8" t="inlineStr">
        <is>
          <t>E11</t>
        </is>
      </c>
      <c r="C30" s="8" t="inlineStr">
        <is>
          <t>9. Total revenue</t>
        </is>
      </c>
      <c r="D30" s="8" t="inlineStr">
        <is>
          <t>Part I line 9</t>
        </is>
      </c>
      <c r="E30" s="8" t="inlineStr">
        <is>
          <t>part_i_revenue_expenses.total_revenue</t>
        </is>
      </c>
      <c r="F30" s="8" t="inlineStr">
        <is>
          <t>high</t>
        </is>
      </c>
      <c r="G30" s="9" t="n">
        <v>65176</v>
      </c>
    </row>
    <row r="31">
      <c r="A31" s="8" t="inlineStr">
        <is>
          <t>Form 990-EZ Parts I &amp; II</t>
        </is>
      </c>
      <c r="B31" s="8" t="inlineStr">
        <is>
          <t>F11</t>
        </is>
      </c>
      <c r="C31" s="8" t="inlineStr">
        <is>
          <t>9. Total revenue</t>
        </is>
      </c>
      <c r="D31" s="8" t="inlineStr">
        <is>
          <t>Part I line 9</t>
        </is>
      </c>
      <c r="E31" s="8" t="inlineStr">
        <is>
          <t>part_i_revenue_expenses.total_revenue</t>
        </is>
      </c>
      <c r="F31" s="8" t="inlineStr">
        <is>
          <t>high</t>
        </is>
      </c>
      <c r="G31" s="9" t="n">
        <v>86048</v>
      </c>
    </row>
    <row r="32">
      <c r="A32" s="8" t="inlineStr">
        <is>
          <t>Form 990-EZ Parts I &amp; II</t>
        </is>
      </c>
      <c r="B32" s="8" t="inlineStr">
        <is>
          <t>B14</t>
        </is>
      </c>
      <c r="C32" s="8" t="inlineStr">
        <is>
          <t>12. Salaries, other compensation, benefits</t>
        </is>
      </c>
      <c r="D32" s="8" t="inlineStr">
        <is>
          <t>Part I line 12</t>
        </is>
      </c>
      <c r="E32" s="8" t="inlineStr">
        <is>
          <t>part_i_revenue_expenses.salaries_other_comp_benefits</t>
        </is>
      </c>
      <c r="F32" s="8" t="inlineStr">
        <is>
          <t>high</t>
        </is>
      </c>
      <c r="G32" s="9" t="n">
        <v>34288</v>
      </c>
    </row>
    <row r="33">
      <c r="A33" s="8" t="inlineStr">
        <is>
          <t>Form 990-EZ Parts I &amp; II</t>
        </is>
      </c>
      <c r="B33" s="8" t="inlineStr">
        <is>
          <t>C14</t>
        </is>
      </c>
      <c r="C33" s="8" t="inlineStr">
        <is>
          <t>12. Salaries, other compensation, benefits</t>
        </is>
      </c>
      <c r="D33" s="8" t="inlineStr">
        <is>
          <t>Part I line 12</t>
        </is>
      </c>
      <c r="E33" s="8" t="inlineStr">
        <is>
          <t>part_i_revenue_expenses.salaries_other_comp_benefits</t>
        </is>
      </c>
      <c r="F33" s="8" t="inlineStr">
        <is>
          <t>high</t>
        </is>
      </c>
      <c r="G33" s="9" t="n">
        <v>28398</v>
      </c>
    </row>
    <row r="34">
      <c r="A34" s="8" t="inlineStr">
        <is>
          <t>Form 990-EZ Parts I &amp; II</t>
        </is>
      </c>
      <c r="B34" s="8" t="inlineStr">
        <is>
          <t>D14</t>
        </is>
      </c>
      <c r="C34" s="8" t="inlineStr">
        <is>
          <t>12. Salaries, other compensation, benefits</t>
        </is>
      </c>
      <c r="D34" s="8" t="inlineStr">
        <is>
          <t>Part I line 12</t>
        </is>
      </c>
      <c r="E34" s="8" t="inlineStr">
        <is>
          <t>part_i_revenue_expenses.salaries_other_comp_benefits</t>
        </is>
      </c>
      <c r="F34" s="8" t="inlineStr">
        <is>
          <t>high</t>
        </is>
      </c>
      <c r="G34" s="9" t="n">
        <v>32417</v>
      </c>
    </row>
    <row r="35">
      <c r="A35" s="8" t="inlineStr">
        <is>
          <t>Form 990-EZ Parts I &amp; II</t>
        </is>
      </c>
      <c r="B35" s="8" t="inlineStr">
        <is>
          <t>E14</t>
        </is>
      </c>
      <c r="C35" s="8" t="inlineStr">
        <is>
          <t>12. Salaries, other compensation, benefits</t>
        </is>
      </c>
      <c r="D35" s="8" t="inlineStr">
        <is>
          <t>Part I line 12</t>
        </is>
      </c>
      <c r="E35" s="8" t="inlineStr">
        <is>
          <t>part_i_revenue_expenses.salaries_other_comp_benefits</t>
        </is>
      </c>
      <c r="F35" s="8" t="inlineStr">
        <is>
          <t>high</t>
        </is>
      </c>
      <c r="G35" s="9" t="n">
        <v>33289</v>
      </c>
    </row>
    <row r="36">
      <c r="A36" s="8" t="inlineStr">
        <is>
          <t>Form 990-EZ Parts I &amp; II</t>
        </is>
      </c>
      <c r="B36" s="8" t="inlineStr">
        <is>
          <t>B15</t>
        </is>
      </c>
      <c r="C36" s="8" t="inlineStr">
        <is>
          <t>13. Fees for services (independent contractors)</t>
        </is>
      </c>
      <c r="D36" s="8" t="inlineStr">
        <is>
          <t>Part I line 13</t>
        </is>
      </c>
      <c r="E36" s="8" t="inlineStr">
        <is>
          <t>part_i_revenue_expenses.fees_ind_contractors</t>
        </is>
      </c>
      <c r="F36" s="8" t="inlineStr">
        <is>
          <t>high</t>
        </is>
      </c>
      <c r="G36" s="9" t="n">
        <v>2210</v>
      </c>
    </row>
    <row r="37">
      <c r="A37" s="8" t="inlineStr">
        <is>
          <t>Form 990-EZ Parts I &amp; II</t>
        </is>
      </c>
      <c r="B37" s="8" t="inlineStr">
        <is>
          <t>C15</t>
        </is>
      </c>
      <c r="C37" s="8" t="inlineStr">
        <is>
          <t>13. Fees for services (independent contractors)</t>
        </is>
      </c>
      <c r="D37" s="8" t="inlineStr">
        <is>
          <t>Part I line 13</t>
        </is>
      </c>
      <c r="E37" s="8" t="inlineStr">
        <is>
          <t>part_i_revenue_expenses.fees_ind_contractors</t>
        </is>
      </c>
      <c r="F37" s="8" t="inlineStr">
        <is>
          <t>high</t>
        </is>
      </c>
      <c r="G37" s="9" t="n">
        <v>2253</v>
      </c>
    </row>
    <row r="38">
      <c r="A38" s="8" t="inlineStr">
        <is>
          <t>Form 990-EZ Parts I &amp; II</t>
        </is>
      </c>
      <c r="B38" s="8" t="inlineStr">
        <is>
          <t>D15</t>
        </is>
      </c>
      <c r="C38" s="8" t="inlineStr">
        <is>
          <t>13. Fees for services (independent contractors)</t>
        </is>
      </c>
      <c r="D38" s="8" t="inlineStr">
        <is>
          <t>Part I line 13</t>
        </is>
      </c>
      <c r="E38" s="8" t="inlineStr">
        <is>
          <t>part_i_revenue_expenses.fees_ind_contractors</t>
        </is>
      </c>
      <c r="F38" s="8" t="inlineStr">
        <is>
          <t>high</t>
        </is>
      </c>
      <c r="G38" s="9" t="n">
        <v>2325</v>
      </c>
    </row>
    <row r="39">
      <c r="A39" s="8" t="inlineStr">
        <is>
          <t>Form 990-EZ Parts I &amp; II</t>
        </is>
      </c>
      <c r="B39" s="8" t="inlineStr">
        <is>
          <t>E15</t>
        </is>
      </c>
      <c r="C39" s="8" t="inlineStr">
        <is>
          <t>13. Fees for services (independent contractors)</t>
        </is>
      </c>
      <c r="D39" s="8" t="inlineStr">
        <is>
          <t>Part I line 13</t>
        </is>
      </c>
      <c r="E39" s="8" t="inlineStr">
        <is>
          <t>part_i_revenue_expenses.fees_ind_contractors</t>
        </is>
      </c>
      <c r="F39" s="8" t="inlineStr">
        <is>
          <t>high</t>
        </is>
      </c>
      <c r="G39" s="9" t="n">
        <v>2475</v>
      </c>
    </row>
    <row r="40">
      <c r="A40" s="8" t="inlineStr">
        <is>
          <t>Form 990-EZ Parts I &amp; II</t>
        </is>
      </c>
      <c r="B40" s="8" t="inlineStr">
        <is>
          <t>F15</t>
        </is>
      </c>
      <c r="C40" s="8" t="inlineStr">
        <is>
          <t>13. Fees for services (independent contractors)</t>
        </is>
      </c>
      <c r="D40" s="8" t="inlineStr">
        <is>
          <t>Part I line 13</t>
        </is>
      </c>
      <c r="E40" s="8" t="inlineStr">
        <is>
          <t>part_i_revenue_expenses.fees_ind_contractors</t>
        </is>
      </c>
      <c r="F40" s="8" t="inlineStr">
        <is>
          <t>high</t>
        </is>
      </c>
      <c r="G40" s="9" t="n">
        <v>6108</v>
      </c>
    </row>
    <row r="41">
      <c r="A41" s="8" t="inlineStr">
        <is>
          <t>Form 990-EZ Parts I &amp; II</t>
        </is>
      </c>
      <c r="B41" s="8" t="inlineStr">
        <is>
          <t>F16</t>
        </is>
      </c>
      <c r="C41" s="8" t="inlineStr">
        <is>
          <t>14. Occupancy, rent, utilities, maintenance</t>
        </is>
      </c>
      <c r="D41" s="8" t="inlineStr">
        <is>
          <t>Part I line 14</t>
        </is>
      </c>
      <c r="E41" s="8" t="inlineStr">
        <is>
          <t>part_i_revenue_expenses.occupancy_utilities_maint</t>
        </is>
      </c>
      <c r="F41" s="8" t="inlineStr">
        <is>
          <t>high</t>
        </is>
      </c>
      <c r="G41" s="9" t="n">
        <v>930</v>
      </c>
    </row>
    <row r="42">
      <c r="A42" s="8" t="inlineStr">
        <is>
          <t>Form 990-EZ Parts I &amp; II</t>
        </is>
      </c>
      <c r="B42" s="8" t="inlineStr">
        <is>
          <t>B17</t>
        </is>
      </c>
      <c r="C42" s="8" t="inlineStr">
        <is>
          <t>16. Other expenses</t>
        </is>
      </c>
      <c r="D42" s="8" t="inlineStr">
        <is>
          <t>Part I line 16</t>
        </is>
      </c>
      <c r="E42" s="8" t="inlineStr">
        <is>
          <t>part_i_revenue_expenses.other_expenses_total</t>
        </is>
      </c>
      <c r="F42" s="8" t="inlineStr">
        <is>
          <t>high</t>
        </is>
      </c>
      <c r="G42" s="9" t="n">
        <v>25913</v>
      </c>
    </row>
    <row r="43">
      <c r="A43" s="8" t="inlineStr">
        <is>
          <t>Form 990-EZ Parts I &amp; II</t>
        </is>
      </c>
      <c r="B43" s="8" t="inlineStr">
        <is>
          <t>C17</t>
        </is>
      </c>
      <c r="C43" s="8" t="inlineStr">
        <is>
          <t>16. Other expenses</t>
        </is>
      </c>
      <c r="D43" s="8" t="inlineStr">
        <is>
          <t>Part I line 16</t>
        </is>
      </c>
      <c r="E43" s="8" t="inlineStr">
        <is>
          <t>part_i_revenue_expenses.other_expenses_total</t>
        </is>
      </c>
      <c r="F43" s="8" t="inlineStr">
        <is>
          <t>high</t>
        </is>
      </c>
      <c r="G43" s="9" t="n">
        <v>27742</v>
      </c>
    </row>
    <row r="44">
      <c r="A44" s="8" t="inlineStr">
        <is>
          <t>Form 990-EZ Parts I &amp; II</t>
        </is>
      </c>
      <c r="B44" s="8" t="inlineStr">
        <is>
          <t>D17</t>
        </is>
      </c>
      <c r="C44" s="8" t="inlineStr">
        <is>
          <t>16. Other expenses</t>
        </is>
      </c>
      <c r="D44" s="8" t="inlineStr">
        <is>
          <t>Part I line 16</t>
        </is>
      </c>
      <c r="E44" s="8" t="inlineStr">
        <is>
          <t>part_i_revenue_expenses.other_expenses_total</t>
        </is>
      </c>
      <c r="F44" s="8" t="inlineStr">
        <is>
          <t>high</t>
        </is>
      </c>
      <c r="G44" s="9" t="n">
        <v>30675</v>
      </c>
    </row>
    <row r="45">
      <c r="A45" s="8" t="inlineStr">
        <is>
          <t>Form 990-EZ Parts I &amp; II</t>
        </is>
      </c>
      <c r="B45" s="8" t="inlineStr">
        <is>
          <t>E17</t>
        </is>
      </c>
      <c r="C45" s="8" t="inlineStr">
        <is>
          <t>16. Other expenses</t>
        </is>
      </c>
      <c r="D45" s="8" t="inlineStr">
        <is>
          <t>Part I line 16</t>
        </is>
      </c>
      <c r="E45" s="8" t="inlineStr">
        <is>
          <t>part_i_revenue_expenses.other_expenses_total</t>
        </is>
      </c>
      <c r="F45" s="8" t="inlineStr">
        <is>
          <t>high</t>
        </is>
      </c>
      <c r="G45" s="9" t="n">
        <v>34973</v>
      </c>
    </row>
    <row r="46">
      <c r="A46" s="8" t="inlineStr">
        <is>
          <t>Form 990-EZ Parts I &amp; II</t>
        </is>
      </c>
      <c r="B46" s="8" t="inlineStr">
        <is>
          <t>F17</t>
        </is>
      </c>
      <c r="C46" s="8" t="inlineStr">
        <is>
          <t>16. Other expenses</t>
        </is>
      </c>
      <c r="D46" s="8" t="inlineStr">
        <is>
          <t>Part I line 16</t>
        </is>
      </c>
      <c r="E46" s="8" t="inlineStr">
        <is>
          <t>part_i_revenue_expenses.other_expenses_total</t>
        </is>
      </c>
      <c r="F46" s="8" t="inlineStr">
        <is>
          <t>high</t>
        </is>
      </c>
      <c r="G46" s="9" t="n">
        <v>66803</v>
      </c>
    </row>
    <row r="47">
      <c r="A47" s="8" t="inlineStr">
        <is>
          <t>Form 990-EZ Parts I &amp; II</t>
        </is>
      </c>
      <c r="B47" s="8" t="inlineStr">
        <is>
          <t>B21</t>
        </is>
      </c>
      <c r="C47" s="8" t="inlineStr">
        <is>
          <t>19. Net assets or fund balances, beginning of year</t>
        </is>
      </c>
      <c r="D47" s="8" t="inlineStr">
        <is>
          <t>Part I line 19</t>
        </is>
      </c>
      <c r="E47" s="8" t="inlineStr">
        <is>
          <t>part_i_revenue_expenses.net_assets_boy</t>
        </is>
      </c>
      <c r="F47" s="8" t="inlineStr">
        <is>
          <t>high</t>
        </is>
      </c>
      <c r="G47" s="9" t="n">
        <v>59917</v>
      </c>
    </row>
    <row r="48">
      <c r="A48" s="8" t="inlineStr">
        <is>
          <t>Form 990-EZ Parts I &amp; II</t>
        </is>
      </c>
      <c r="B48" s="8" t="inlineStr">
        <is>
          <t>C21</t>
        </is>
      </c>
      <c r="C48" s="8" t="inlineStr">
        <is>
          <t>19. Net assets or fund balances, beginning of year</t>
        </is>
      </c>
      <c r="D48" s="8" t="inlineStr">
        <is>
          <t>Part I line 19</t>
        </is>
      </c>
      <c r="E48" s="8" t="inlineStr">
        <is>
          <t>part_i_revenue_expenses.net_assets_boy</t>
        </is>
      </c>
      <c r="F48" s="8" t="inlineStr">
        <is>
          <t>high</t>
        </is>
      </c>
      <c r="G48" s="9" t="n">
        <v>44036</v>
      </c>
    </row>
    <row r="49">
      <c r="A49" s="8" t="inlineStr">
        <is>
          <t>Form 990-EZ Parts I &amp; II</t>
        </is>
      </c>
      <c r="B49" s="8" t="inlineStr">
        <is>
          <t>D21</t>
        </is>
      </c>
      <c r="C49" s="8" t="inlineStr">
        <is>
          <t>19. Net assets or fund balances, beginning of year</t>
        </is>
      </c>
      <c r="D49" s="8" t="inlineStr">
        <is>
          <t>Part I line 19</t>
        </is>
      </c>
      <c r="E49" s="8" t="inlineStr">
        <is>
          <t>part_i_revenue_expenses.net_assets_boy</t>
        </is>
      </c>
      <c r="F49" s="8" t="inlineStr">
        <is>
          <t>high</t>
        </is>
      </c>
      <c r="G49" s="9" t="n">
        <v>38474</v>
      </c>
    </row>
    <row r="50">
      <c r="A50" s="8" t="inlineStr">
        <is>
          <t>Form 990-EZ Parts I &amp; II</t>
        </is>
      </c>
      <c r="B50" s="8" t="inlineStr">
        <is>
          <t>E21</t>
        </is>
      </c>
      <c r="C50" s="8" t="inlineStr">
        <is>
          <t>19. Net assets or fund balances, beginning of year</t>
        </is>
      </c>
      <c r="D50" s="8" t="inlineStr">
        <is>
          <t>Part I line 19</t>
        </is>
      </c>
      <c r="E50" s="8" t="inlineStr">
        <is>
          <t>part_i_revenue_expenses.net_assets_boy</t>
        </is>
      </c>
      <c r="F50" s="8" t="inlineStr">
        <is>
          <t>high</t>
        </is>
      </c>
      <c r="G50" s="9" t="n">
        <v>35108</v>
      </c>
    </row>
    <row r="51">
      <c r="A51" s="8" t="inlineStr">
        <is>
          <t>Form 990-EZ Parts I &amp; II</t>
        </is>
      </c>
      <c r="B51" s="8" t="inlineStr">
        <is>
          <t>F21</t>
        </is>
      </c>
      <c r="C51" s="8" t="inlineStr">
        <is>
          <t>19. Net assets or fund balances, beginning of year</t>
        </is>
      </c>
      <c r="D51" s="8" t="inlineStr">
        <is>
          <t>Part I line 19</t>
        </is>
      </c>
      <c r="E51" s="8" t="inlineStr">
        <is>
          <t>part_i_revenue_expenses.net_assets_boy</t>
        </is>
      </c>
      <c r="F51" s="8" t="inlineStr">
        <is>
          <t>high</t>
        </is>
      </c>
      <c r="G51" s="9" t="n">
        <v>29547</v>
      </c>
    </row>
    <row r="52">
      <c r="A52" s="8" t="inlineStr">
        <is>
          <t>Form 990-EZ Parts I &amp; II</t>
        </is>
      </c>
      <c r="B52" s="8" t="inlineStr">
        <is>
          <t>B22</t>
        </is>
      </c>
      <c r="C52" s="8" t="inlineStr">
        <is>
          <t>18. Excess or (deficit) for the year</t>
        </is>
      </c>
      <c r="D52" s="8" t="inlineStr">
        <is>
          <t>Part I line 18</t>
        </is>
      </c>
      <c r="E52" s="8" t="inlineStr">
        <is>
          <t>part_i_revenue_expenses.excess_or_deficit</t>
        </is>
      </c>
      <c r="F52" s="8" t="inlineStr">
        <is>
          <t>high</t>
        </is>
      </c>
      <c r="G52" s="9" t="n">
        <v>-15881</v>
      </c>
    </row>
    <row r="53">
      <c r="A53" s="8" t="inlineStr">
        <is>
          <t>Form 990-EZ Parts I &amp; II</t>
        </is>
      </c>
      <c r="B53" s="8" t="inlineStr">
        <is>
          <t>C22</t>
        </is>
      </c>
      <c r="C53" s="8" t="inlineStr">
        <is>
          <t>18. Excess or (deficit) for the year</t>
        </is>
      </c>
      <c r="D53" s="8" t="inlineStr">
        <is>
          <t>Part I line 18</t>
        </is>
      </c>
      <c r="E53" s="8" t="inlineStr">
        <is>
          <t>part_i_revenue_expenses.excess_or_deficit</t>
        </is>
      </c>
      <c r="F53" s="8" t="inlineStr">
        <is>
          <t>high</t>
        </is>
      </c>
      <c r="G53" s="9" t="n">
        <v>-5562</v>
      </c>
    </row>
    <row r="54">
      <c r="A54" s="8" t="inlineStr">
        <is>
          <t>Form 990-EZ Parts I &amp; II</t>
        </is>
      </c>
      <c r="B54" s="8" t="inlineStr">
        <is>
          <t>D22</t>
        </is>
      </c>
      <c r="C54" s="8" t="inlineStr">
        <is>
          <t>18. Excess or (deficit) for the year</t>
        </is>
      </c>
      <c r="D54" s="8" t="inlineStr">
        <is>
          <t>Part I line 18</t>
        </is>
      </c>
      <c r="E54" s="8" t="inlineStr">
        <is>
          <t>part_i_revenue_expenses.excess_or_deficit</t>
        </is>
      </c>
      <c r="F54" s="8" t="inlineStr">
        <is>
          <t>high</t>
        </is>
      </c>
      <c r="G54" s="9" t="n">
        <v>-3366</v>
      </c>
    </row>
    <row r="55">
      <c r="A55" s="8" t="inlineStr">
        <is>
          <t>Form 990-EZ Parts I &amp; II</t>
        </is>
      </c>
      <c r="B55" s="8" t="inlineStr">
        <is>
          <t>E22</t>
        </is>
      </c>
      <c r="C55" s="8" t="inlineStr">
        <is>
          <t>18. Excess or (deficit) for the year</t>
        </is>
      </c>
      <c r="D55" s="8" t="inlineStr">
        <is>
          <t>Part I line 18</t>
        </is>
      </c>
      <c r="E55" s="8" t="inlineStr">
        <is>
          <t>part_i_revenue_expenses.excess_or_deficit</t>
        </is>
      </c>
      <c r="F55" s="8" t="inlineStr">
        <is>
          <t>high</t>
        </is>
      </c>
      <c r="G55" s="9" t="n">
        <v>-5561</v>
      </c>
    </row>
    <row r="56">
      <c r="A56" s="8" t="inlineStr">
        <is>
          <t>Form 990-EZ Parts I &amp; II</t>
        </is>
      </c>
      <c r="B56" s="8" t="inlineStr">
        <is>
          <t>F22</t>
        </is>
      </c>
      <c r="C56" s="8" t="inlineStr">
        <is>
          <t>18. Excess or (deficit) for the year</t>
        </is>
      </c>
      <c r="D56" s="8" t="inlineStr">
        <is>
          <t>Part I line 18</t>
        </is>
      </c>
      <c r="E56" s="8" t="inlineStr">
        <is>
          <t>part_i_revenue_expenses.excess_or_deficit</t>
        </is>
      </c>
      <c r="F56" s="8" t="inlineStr">
        <is>
          <t>high</t>
        </is>
      </c>
      <c r="G56" s="9" t="n">
        <v>12207</v>
      </c>
    </row>
    <row r="57">
      <c r="A57" s="8" t="inlineStr">
        <is>
          <t>Form 990-EZ Parts I &amp; II</t>
        </is>
      </c>
      <c r="B57" s="8" t="inlineStr">
        <is>
          <t>B26</t>
        </is>
      </c>
      <c r="C57" s="8" t="inlineStr">
        <is>
          <t>22. Cash, savings, and investments</t>
        </is>
      </c>
      <c r="D57" s="8" t="inlineStr">
        <is>
          <t>Part II line 22 col B</t>
        </is>
      </c>
      <c r="E57" s="8" t="inlineStr">
        <is>
          <t>part_ii_balance_sheet.cash_savings_investments_eoy</t>
        </is>
      </c>
      <c r="F57" s="8" t="inlineStr">
        <is>
          <t>high</t>
        </is>
      </c>
      <c r="G57" s="9" t="n">
        <v>3601</v>
      </c>
    </row>
    <row r="58">
      <c r="A58" s="8" t="inlineStr">
        <is>
          <t>Form 990-EZ Parts I &amp; II</t>
        </is>
      </c>
      <c r="B58" s="8" t="inlineStr">
        <is>
          <t>C26</t>
        </is>
      </c>
      <c r="C58" s="8" t="inlineStr">
        <is>
          <t>22. Cash, savings, and investments</t>
        </is>
      </c>
      <c r="D58" s="8" t="inlineStr">
        <is>
          <t>Part II line 22 col B</t>
        </is>
      </c>
      <c r="E58" s="8" t="inlineStr">
        <is>
          <t>part_ii_balance_sheet.cash_savings_investments_eoy</t>
        </is>
      </c>
      <c r="F58" s="8" t="inlineStr">
        <is>
          <t>high</t>
        </is>
      </c>
      <c r="G58" s="9" t="n">
        <v>2009</v>
      </c>
    </row>
    <row r="59">
      <c r="A59" s="8" t="inlineStr">
        <is>
          <t>Form 990-EZ Parts I &amp; II</t>
        </is>
      </c>
      <c r="B59" s="8" t="inlineStr">
        <is>
          <t>D26</t>
        </is>
      </c>
      <c r="C59" s="8" t="inlineStr">
        <is>
          <t>22. Cash, savings, and investments</t>
        </is>
      </c>
      <c r="D59" s="8" t="inlineStr">
        <is>
          <t>Part II line 22 col B</t>
        </is>
      </c>
      <c r="E59" s="8" t="inlineStr">
        <is>
          <t>part_ii_balance_sheet.cash_savings_investments_eoy</t>
        </is>
      </c>
      <c r="F59" s="8" t="inlineStr">
        <is>
          <t>high</t>
        </is>
      </c>
      <c r="G59" s="9" t="n">
        <v>2564</v>
      </c>
    </row>
    <row r="60">
      <c r="A60" s="8" t="inlineStr">
        <is>
          <t>Form 990-EZ Parts I &amp; II</t>
        </is>
      </c>
      <c r="B60" s="8" t="inlineStr">
        <is>
          <t>E26</t>
        </is>
      </c>
      <c r="C60" s="8" t="inlineStr">
        <is>
          <t>22. Cash, savings, and investments</t>
        </is>
      </c>
      <c r="D60" s="8" t="inlineStr">
        <is>
          <t>Part II line 22 col B</t>
        </is>
      </c>
      <c r="E60" s="8" t="inlineStr">
        <is>
          <t>part_ii_balance_sheet.cash_savings_investments_eoy</t>
        </is>
      </c>
      <c r="F60" s="8" t="inlineStr">
        <is>
          <t>high</t>
        </is>
      </c>
      <c r="G60" s="9" t="n">
        <v>924</v>
      </c>
    </row>
    <row r="61">
      <c r="A61" s="8" t="inlineStr">
        <is>
          <t>Form 990-EZ Parts I &amp; II</t>
        </is>
      </c>
      <c r="B61" s="8" t="inlineStr">
        <is>
          <t>F26</t>
        </is>
      </c>
      <c r="C61" s="8" t="inlineStr">
        <is>
          <t>22. Cash, savings, and investments</t>
        </is>
      </c>
      <c r="D61" s="8" t="inlineStr">
        <is>
          <t>Part II line 22 col B</t>
        </is>
      </c>
      <c r="E61" s="8" t="inlineStr">
        <is>
          <t>part_ii_balance_sheet.cash_savings_investments_eoy</t>
        </is>
      </c>
      <c r="F61" s="8" t="inlineStr">
        <is>
          <t>high</t>
        </is>
      </c>
      <c r="G61" s="9" t="n">
        <v>16226</v>
      </c>
    </row>
    <row r="62">
      <c r="A62" s="8" t="inlineStr">
        <is>
          <t>Form 990-EZ Parts I &amp; II</t>
        </is>
      </c>
      <c r="B62" s="8" t="inlineStr">
        <is>
          <t>B27</t>
        </is>
      </c>
      <c r="C62" s="8" t="inlineStr">
        <is>
          <t>24. Other assets</t>
        </is>
      </c>
      <c r="D62" s="8" t="inlineStr">
        <is>
          <t>Part II line 24 col B</t>
        </is>
      </c>
      <c r="E62" s="8" t="inlineStr">
        <is>
          <t>part_ii_balance_sheet.other_assets_eoy</t>
        </is>
      </c>
      <c r="F62" s="8" t="inlineStr">
        <is>
          <t>high</t>
        </is>
      </c>
      <c r="G62" s="9" t="n">
        <v>40435</v>
      </c>
    </row>
    <row r="63">
      <c r="A63" s="8" t="inlineStr">
        <is>
          <t>Form 990-EZ Parts I &amp; II</t>
        </is>
      </c>
      <c r="B63" s="8" t="inlineStr">
        <is>
          <t>C27</t>
        </is>
      </c>
      <c r="C63" s="8" t="inlineStr">
        <is>
          <t>24. Other assets</t>
        </is>
      </c>
      <c r="D63" s="8" t="inlineStr">
        <is>
          <t>Part II line 24 col B</t>
        </is>
      </c>
      <c r="E63" s="8" t="inlineStr">
        <is>
          <t>part_ii_balance_sheet.other_assets_eoy</t>
        </is>
      </c>
      <c r="F63" s="8" t="inlineStr">
        <is>
          <t>high</t>
        </is>
      </c>
      <c r="G63" s="9" t="n">
        <v>36465</v>
      </c>
    </row>
    <row r="64">
      <c r="A64" s="8" t="inlineStr">
        <is>
          <t>Form 990-EZ Parts I &amp; II</t>
        </is>
      </c>
      <c r="B64" s="8" t="inlineStr">
        <is>
          <t>D27</t>
        </is>
      </c>
      <c r="C64" s="8" t="inlineStr">
        <is>
          <t>24. Other assets</t>
        </is>
      </c>
      <c r="D64" s="8" t="inlineStr">
        <is>
          <t>Part II line 24 col B</t>
        </is>
      </c>
      <c r="E64" s="8" t="inlineStr">
        <is>
          <t>part_ii_balance_sheet.other_assets_eoy</t>
        </is>
      </c>
      <c r="F64" s="8" t="inlineStr">
        <is>
          <t>high</t>
        </is>
      </c>
      <c r="G64" s="9" t="n">
        <v>32544</v>
      </c>
    </row>
    <row r="65">
      <c r="A65" s="8" t="inlineStr">
        <is>
          <t>Form 990-EZ Parts I &amp; II</t>
        </is>
      </c>
      <c r="B65" s="8" t="inlineStr">
        <is>
          <t>E27</t>
        </is>
      </c>
      <c r="C65" s="8" t="inlineStr">
        <is>
          <t>24. Other assets</t>
        </is>
      </c>
      <c r="D65" s="8" t="inlineStr">
        <is>
          <t>Part II line 24 col B</t>
        </is>
      </c>
      <c r="E65" s="8" t="inlineStr">
        <is>
          <t>part_ii_balance_sheet.other_assets_eoy</t>
        </is>
      </c>
      <c r="F65" s="8" t="inlineStr">
        <is>
          <t>high</t>
        </is>
      </c>
      <c r="G65" s="9" t="n">
        <v>28623</v>
      </c>
    </row>
    <row r="66">
      <c r="A66" s="8" t="inlineStr">
        <is>
          <t>Form 990-EZ Parts I &amp; II</t>
        </is>
      </c>
      <c r="B66" s="8" t="inlineStr">
        <is>
          <t>F27</t>
        </is>
      </c>
      <c r="C66" s="8" t="inlineStr">
        <is>
          <t>24. Other assets</t>
        </is>
      </c>
      <c r="D66" s="8" t="inlineStr">
        <is>
          <t>Part II line 24 col B</t>
        </is>
      </c>
      <c r="E66" s="8" t="inlineStr">
        <is>
          <t>part_ii_balance_sheet.other_assets_eoy</t>
        </is>
      </c>
      <c r="F66" s="8" t="inlineStr">
        <is>
          <t>high</t>
        </is>
      </c>
      <c r="G66" s="9" t="n">
        <v>25528</v>
      </c>
    </row>
    <row r="67">
      <c r="A67" s="8" t="inlineStr">
        <is>
          <t>Form 990-EZ Parts I &amp; II</t>
        </is>
      </c>
      <c r="B67" s="8" t="inlineStr">
        <is>
          <t>F29</t>
        </is>
      </c>
      <c r="C67" s="8" t="inlineStr">
        <is>
          <t>26. Total liabilities</t>
        </is>
      </c>
      <c r="D67" s="8" t="inlineStr">
        <is>
          <t>Part II line 26 col B</t>
        </is>
      </c>
      <c r="E67" s="8" t="inlineStr">
        <is>
          <t>part_ii_balance_sheet.total_liabilities_eoy</t>
        </is>
      </c>
      <c r="F67" s="8" t="inlineStr">
        <is>
          <t>high</t>
        </is>
      </c>
      <c r="G67" s="9" t="n">
        <v>0</v>
      </c>
    </row>
    <row r="68">
      <c r="A68" s="8" t="inlineStr">
        <is>
          <t>Form 990-EZ Parts I &amp; II</t>
        </is>
      </c>
      <c r="B68" s="8" t="inlineStr">
        <is>
          <t>B30</t>
        </is>
      </c>
      <c r="C68" s="8" t="inlineStr">
        <is>
          <t>27. Net assets or fund balances</t>
        </is>
      </c>
      <c r="D68" s="8" t="inlineStr">
        <is>
          <t>Part II line 27 col B</t>
        </is>
      </c>
      <c r="E68" s="8" t="inlineStr">
        <is>
          <t>part_ii_balance_sheet.net_assets_eoy</t>
        </is>
      </c>
      <c r="F68" s="8" t="inlineStr">
        <is>
          <t>high</t>
        </is>
      </c>
      <c r="G68" s="9" t="n">
        <v>44036</v>
      </c>
    </row>
    <row r="69">
      <c r="A69" s="8" t="inlineStr">
        <is>
          <t>Form 990-EZ Parts I &amp; II</t>
        </is>
      </c>
      <c r="B69" s="8" t="inlineStr">
        <is>
          <t>C30</t>
        </is>
      </c>
      <c r="C69" s="8" t="inlineStr">
        <is>
          <t>27. Net assets or fund balances</t>
        </is>
      </c>
      <c r="D69" s="8" t="inlineStr">
        <is>
          <t>Part II line 27 col B</t>
        </is>
      </c>
      <c r="E69" s="8" t="inlineStr">
        <is>
          <t>part_ii_balance_sheet.net_assets_eoy</t>
        </is>
      </c>
      <c r="F69" s="8" t="inlineStr">
        <is>
          <t>high</t>
        </is>
      </c>
      <c r="G69" s="9" t="n">
        <v>38474</v>
      </c>
    </row>
    <row r="70">
      <c r="A70" s="8" t="inlineStr">
        <is>
          <t>Form 990-EZ Parts I &amp; II</t>
        </is>
      </c>
      <c r="B70" s="8" t="inlineStr">
        <is>
          <t>D30</t>
        </is>
      </c>
      <c r="C70" s="8" t="inlineStr">
        <is>
          <t>27. Net assets or fund balances</t>
        </is>
      </c>
      <c r="D70" s="8" t="inlineStr">
        <is>
          <t>Part II line 27 col B</t>
        </is>
      </c>
      <c r="E70" s="8" t="inlineStr">
        <is>
          <t>part_ii_balance_sheet.net_assets_eoy</t>
        </is>
      </c>
      <c r="F70" s="8" t="inlineStr">
        <is>
          <t>high</t>
        </is>
      </c>
      <c r="G70" s="9" t="n">
        <v>35108</v>
      </c>
    </row>
    <row r="71">
      <c r="A71" s="8" t="inlineStr">
        <is>
          <t>Form 990-EZ Parts I &amp; II</t>
        </is>
      </c>
      <c r="B71" s="8" t="inlineStr">
        <is>
          <t>E30</t>
        </is>
      </c>
      <c r="C71" s="8" t="inlineStr">
        <is>
          <t>27. Net assets or fund balances</t>
        </is>
      </c>
      <c r="D71" s="8" t="inlineStr">
        <is>
          <t>Part II line 27 col B</t>
        </is>
      </c>
      <c r="E71" s="8" t="inlineStr">
        <is>
          <t>part_ii_balance_sheet.net_assets_eoy</t>
        </is>
      </c>
      <c r="F71" s="8" t="inlineStr">
        <is>
          <t>high</t>
        </is>
      </c>
      <c r="G71" s="9" t="n">
        <v>29547</v>
      </c>
    </row>
    <row r="72">
      <c r="A72" s="8" t="inlineStr">
        <is>
          <t>Form 990-EZ Parts I &amp; II</t>
        </is>
      </c>
      <c r="B72" s="8" t="inlineStr">
        <is>
          <t>F30</t>
        </is>
      </c>
      <c r="C72" s="8" t="inlineStr">
        <is>
          <t>27. Net assets or fund balances</t>
        </is>
      </c>
      <c r="D72" s="8" t="inlineStr">
        <is>
          <t>Part II line 27 col B</t>
        </is>
      </c>
      <c r="E72" s="8" t="inlineStr">
        <is>
          <t>part_ii_balance_sheet.net_assets_eoy</t>
        </is>
      </c>
      <c r="F72" s="8" t="inlineStr">
        <is>
          <t>high</t>
        </is>
      </c>
      <c r="G72" s="9" t="n">
        <v>41754</v>
      </c>
    </row>
    <row r="74">
      <c r="A74" s="43" t="inlineStr">
        <is>
          <t>C. Tie-out checks (filed vs computed; any nonzero variance is flagged red)</t>
        </is>
      </c>
      <c r="B74" s="7" t="n"/>
      <c r="C74" s="7" t="n"/>
      <c r="D74" s="7" t="n"/>
      <c r="E74" s="7" t="n"/>
      <c r="F74" s="7" t="n"/>
      <c r="G74" s="7" t="n"/>
      <c r="H74" s="7" t="n"/>
      <c r="I74" s="7" t="n"/>
      <c r="J74" s="7" t="n"/>
      <c r="K74" s="7" t="n"/>
    </row>
    <row r="75">
      <c r="A75" s="5" t="inlineStr">
        <is>
          <t>Tab</t>
        </is>
      </c>
      <c r="B75" s="5" t="inlineStr">
        <is>
          <t>Check</t>
        </is>
      </c>
      <c r="C75" s="5" t="inlineStr">
        <is>
          <t>Fiscal year</t>
        </is>
      </c>
      <c r="D75" s="5" t="inlineStr">
        <is>
          <t>Filed</t>
        </is>
      </c>
      <c r="E75" s="5" t="inlineStr">
        <is>
          <t>Computed</t>
        </is>
      </c>
      <c r="F75" s="5" t="inlineStr">
        <is>
          <t>Variance (computed - filed)</t>
        </is>
      </c>
    </row>
    <row r="76">
      <c r="A76" s="46" t="inlineStr">
        <is>
          <t>Form 990-EZ Parts I &amp; II</t>
        </is>
      </c>
      <c r="B76" s="46" t="inlineStr">
        <is>
          <t>17. Total expenses</t>
        </is>
      </c>
      <c r="C76" s="46" t="inlineStr">
        <is>
          <t>FY2021</t>
        </is>
      </c>
      <c r="D76" s="9" t="n">
        <v>62411</v>
      </c>
      <c r="E76" s="9">
        <f>'Form 990-EZ Parts I &amp; II'!B18</f>
        <v/>
      </c>
      <c r="F76" s="9">
        <f>E76-D76</f>
        <v/>
      </c>
    </row>
    <row r="77">
      <c r="A77" s="46" t="inlineStr">
        <is>
          <t>Form 990-EZ Parts I &amp; II</t>
        </is>
      </c>
      <c r="B77" s="46" t="inlineStr">
        <is>
          <t>17. Total expenses</t>
        </is>
      </c>
      <c r="C77" s="46" t="inlineStr">
        <is>
          <t>FY2022</t>
        </is>
      </c>
      <c r="D77" s="9" t="n">
        <v>58393</v>
      </c>
      <c r="E77" s="9">
        <f>'Form 990-EZ Parts I &amp; II'!C18</f>
        <v/>
      </c>
      <c r="F77" s="9">
        <f>E77-D77</f>
        <v/>
      </c>
    </row>
    <row r="78">
      <c r="A78" s="46" t="inlineStr">
        <is>
          <t>Form 990-EZ Parts I &amp; II</t>
        </is>
      </c>
      <c r="B78" s="46" t="inlineStr">
        <is>
          <t>17. Total expenses</t>
        </is>
      </c>
      <c r="C78" s="46" t="inlineStr">
        <is>
          <t>FY2023</t>
        </is>
      </c>
      <c r="D78" s="9" t="n">
        <v>65417</v>
      </c>
      <c r="E78" s="9">
        <f>'Form 990-EZ Parts I &amp; II'!D18</f>
        <v/>
      </c>
      <c r="F78" s="9">
        <f>E78-D78</f>
        <v/>
      </c>
    </row>
    <row r="79">
      <c r="A79" s="46" t="inlineStr">
        <is>
          <t>Form 990-EZ Parts I &amp; II</t>
        </is>
      </c>
      <c r="B79" s="46" t="inlineStr">
        <is>
          <t>17. Total expenses</t>
        </is>
      </c>
      <c r="C79" s="46" t="inlineStr">
        <is>
          <t>FY2024</t>
        </is>
      </c>
      <c r="D79" s="9" t="n">
        <v>70737</v>
      </c>
      <c r="E79" s="9">
        <f>'Form 990-EZ Parts I &amp; II'!E18</f>
        <v/>
      </c>
      <c r="F79" s="9">
        <f>E79-D79</f>
        <v/>
      </c>
    </row>
    <row r="80">
      <c r="A80" s="46" t="inlineStr">
        <is>
          <t>Form 990-EZ Parts I &amp; II</t>
        </is>
      </c>
      <c r="B80" s="46" t="inlineStr">
        <is>
          <t>17. Total expenses</t>
        </is>
      </c>
      <c r="C80" s="46" t="inlineStr">
        <is>
          <t>FY2025</t>
        </is>
      </c>
      <c r="D80" s="9" t="n">
        <v>73841</v>
      </c>
      <c r="E80" s="9">
        <f>'Form 990-EZ Parts I &amp; II'!F18</f>
        <v/>
      </c>
      <c r="F80" s="9">
        <f>E80-D80</f>
        <v/>
      </c>
    </row>
    <row r="81">
      <c r="A81" s="46" t="inlineStr">
        <is>
          <t>Form 990-EZ Parts I &amp; II</t>
        </is>
      </c>
      <c r="B81" s="46" t="inlineStr">
        <is>
          <t>21. Net assets or fund balances, end of year</t>
        </is>
      </c>
      <c r="C81" s="46" t="inlineStr">
        <is>
          <t>FY2021</t>
        </is>
      </c>
      <c r="D81" s="9" t="n">
        <v>44036</v>
      </c>
      <c r="E81" s="9">
        <f>'Form 990-EZ Parts I &amp; II'!B23</f>
        <v/>
      </c>
      <c r="F81" s="9">
        <f>E81-D81</f>
        <v/>
      </c>
    </row>
    <row r="82">
      <c r="A82" s="46" t="inlineStr">
        <is>
          <t>Form 990-EZ Parts I &amp; II</t>
        </is>
      </c>
      <c r="B82" s="46" t="inlineStr">
        <is>
          <t>21. Net assets or fund balances, end of year</t>
        </is>
      </c>
      <c r="C82" s="46" t="inlineStr">
        <is>
          <t>FY2022</t>
        </is>
      </c>
      <c r="D82" s="9" t="n">
        <v>38474</v>
      </c>
      <c r="E82" s="9">
        <f>'Form 990-EZ Parts I &amp; II'!C23</f>
        <v/>
      </c>
      <c r="F82" s="9">
        <f>E82-D82</f>
        <v/>
      </c>
    </row>
    <row r="83">
      <c r="A83" s="46" t="inlineStr">
        <is>
          <t>Form 990-EZ Parts I &amp; II</t>
        </is>
      </c>
      <c r="B83" s="46" t="inlineStr">
        <is>
          <t>21. Net assets or fund balances, end of year</t>
        </is>
      </c>
      <c r="C83" s="46" t="inlineStr">
        <is>
          <t>FY2023</t>
        </is>
      </c>
      <c r="D83" s="9" t="n">
        <v>35108</v>
      </c>
      <c r="E83" s="9">
        <f>'Form 990-EZ Parts I &amp; II'!D23</f>
        <v/>
      </c>
      <c r="F83" s="9">
        <f>E83-D83</f>
        <v/>
      </c>
    </row>
    <row r="84">
      <c r="A84" s="46" t="inlineStr">
        <is>
          <t>Form 990-EZ Parts I &amp; II</t>
        </is>
      </c>
      <c r="B84" s="46" t="inlineStr">
        <is>
          <t>21. Net assets or fund balances, end of year</t>
        </is>
      </c>
      <c r="C84" s="46" t="inlineStr">
        <is>
          <t>FY2024</t>
        </is>
      </c>
      <c r="D84" s="9" t="n">
        <v>29547</v>
      </c>
      <c r="E84" s="9">
        <f>'Form 990-EZ Parts I &amp; II'!E23</f>
        <v/>
      </c>
      <c r="F84" s="9">
        <f>E84-D84</f>
        <v/>
      </c>
    </row>
    <row r="85">
      <c r="A85" s="46" t="inlineStr">
        <is>
          <t>Form 990-EZ Parts I &amp; II</t>
        </is>
      </c>
      <c r="B85" s="46" t="inlineStr">
        <is>
          <t>21. Net assets or fund balances, end of year</t>
        </is>
      </c>
      <c r="C85" s="46" t="inlineStr">
        <is>
          <t>FY2025</t>
        </is>
      </c>
      <c r="D85" s="9" t="n">
        <v>41754</v>
      </c>
      <c r="E85" s="9">
        <f>'Form 990-EZ Parts I &amp; II'!F23</f>
        <v/>
      </c>
      <c r="F85" s="9">
        <f>E85-D85</f>
        <v/>
      </c>
    </row>
    <row r="86">
      <c r="A86" s="46" t="inlineStr">
        <is>
          <t>Form 990-EZ Parts I &amp; II</t>
        </is>
      </c>
      <c r="B86" s="46" t="inlineStr">
        <is>
          <t>25. Total assets</t>
        </is>
      </c>
      <c r="C86" s="46" t="inlineStr">
        <is>
          <t>FY2021</t>
        </is>
      </c>
      <c r="D86" s="9" t="n">
        <v>44036</v>
      </c>
      <c r="E86" s="9">
        <f>'Form 990-EZ Parts I &amp; II'!B28</f>
        <v/>
      </c>
      <c r="F86" s="9">
        <f>E86-D86</f>
        <v/>
      </c>
    </row>
    <row r="87">
      <c r="A87" s="46" t="inlineStr">
        <is>
          <t>Form 990-EZ Parts I &amp; II</t>
        </is>
      </c>
      <c r="B87" s="46" t="inlineStr">
        <is>
          <t>25. Total assets</t>
        </is>
      </c>
      <c r="C87" s="46" t="inlineStr">
        <is>
          <t>FY2022</t>
        </is>
      </c>
      <c r="D87" s="9" t="n">
        <v>38474</v>
      </c>
      <c r="E87" s="9">
        <f>'Form 990-EZ Parts I &amp; II'!C28</f>
        <v/>
      </c>
      <c r="F87" s="9">
        <f>E87-D87</f>
        <v/>
      </c>
    </row>
    <row r="88">
      <c r="A88" s="46" t="inlineStr">
        <is>
          <t>Form 990-EZ Parts I &amp; II</t>
        </is>
      </c>
      <c r="B88" s="46" t="inlineStr">
        <is>
          <t>25. Total assets</t>
        </is>
      </c>
      <c r="C88" s="46" t="inlineStr">
        <is>
          <t>FY2023</t>
        </is>
      </c>
      <c r="D88" s="9" t="n">
        <v>35108</v>
      </c>
      <c r="E88" s="9">
        <f>'Form 990-EZ Parts I &amp; II'!D28</f>
        <v/>
      </c>
      <c r="F88" s="9">
        <f>E88-D88</f>
        <v/>
      </c>
    </row>
    <row r="89">
      <c r="A89" s="46" t="inlineStr">
        <is>
          <t>Form 990-EZ Parts I &amp; II</t>
        </is>
      </c>
      <c r="B89" s="46" t="inlineStr">
        <is>
          <t>25. Total assets</t>
        </is>
      </c>
      <c r="C89" s="46" t="inlineStr">
        <is>
          <t>FY2024</t>
        </is>
      </c>
      <c r="D89" s="9" t="n">
        <v>29547</v>
      </c>
      <c r="E89" s="9">
        <f>'Form 990-EZ Parts I &amp; II'!E28</f>
        <v/>
      </c>
      <c r="F89" s="9">
        <f>E89-D89</f>
        <v/>
      </c>
    </row>
    <row r="90">
      <c r="A90" s="46" t="inlineStr">
        <is>
          <t>Form 990-EZ Parts I &amp; II</t>
        </is>
      </c>
      <c r="B90" s="46" t="inlineStr">
        <is>
          <t>25. Total assets</t>
        </is>
      </c>
      <c r="C90" s="46" t="inlineStr">
        <is>
          <t>FY2025</t>
        </is>
      </c>
      <c r="D90" s="9" t="n">
        <v>41754</v>
      </c>
      <c r="E90" s="9">
        <f>'Form 990-EZ Parts I &amp; II'!F28</f>
        <v/>
      </c>
      <c r="F90" s="9">
        <f>E90-D90</f>
        <v/>
      </c>
    </row>
    <row r="91">
      <c r="A91" s="46" t="inlineStr">
        <is>
          <t>Form 990-EZ Parts I &amp; II</t>
        </is>
      </c>
      <c r="B91" s="46" t="inlineStr">
        <is>
          <t>Balance sheet identity: line 25 = line 26 + line 27 (EOY)</t>
        </is>
      </c>
      <c r="C91" s="46" t="inlineStr">
        <is>
          <t>FY2021</t>
        </is>
      </c>
      <c r="D91" s="9">
        <f>'Form 990-EZ Parts I &amp; II'!B28</f>
        <v/>
      </c>
      <c r="E91" s="9">
        <f>SUM('Form 990-EZ Parts I &amp; II'!B29,'Form 990-EZ Parts I &amp; II'!B30)</f>
        <v/>
      </c>
      <c r="F91" s="9">
        <f>E91-D91</f>
        <v/>
      </c>
    </row>
    <row r="92">
      <c r="A92" s="46" t="inlineStr">
        <is>
          <t>Form 990-EZ Parts I &amp; II</t>
        </is>
      </c>
      <c r="B92" s="46" t="inlineStr">
        <is>
          <t>Balance sheet identity: line 25 = line 26 + line 27 (EOY)</t>
        </is>
      </c>
      <c r="C92" s="46" t="inlineStr">
        <is>
          <t>FY2022</t>
        </is>
      </c>
      <c r="D92" s="9">
        <f>'Form 990-EZ Parts I &amp; II'!C28</f>
        <v/>
      </c>
      <c r="E92" s="9">
        <f>SUM('Form 990-EZ Parts I &amp; II'!C29,'Form 990-EZ Parts I &amp; II'!C30)</f>
        <v/>
      </c>
      <c r="F92" s="9">
        <f>E92-D92</f>
        <v/>
      </c>
    </row>
    <row r="93">
      <c r="A93" s="46" t="inlineStr">
        <is>
          <t>Form 990-EZ Parts I &amp; II</t>
        </is>
      </c>
      <c r="B93" s="46" t="inlineStr">
        <is>
          <t>Balance sheet identity: line 25 = line 26 + line 27 (EOY)</t>
        </is>
      </c>
      <c r="C93" s="46" t="inlineStr">
        <is>
          <t>FY2023</t>
        </is>
      </c>
      <c r="D93" s="9">
        <f>'Form 990-EZ Parts I &amp; II'!D28</f>
        <v/>
      </c>
      <c r="E93" s="9">
        <f>SUM('Form 990-EZ Parts I &amp; II'!D29,'Form 990-EZ Parts I &amp; II'!D30)</f>
        <v/>
      </c>
      <c r="F93" s="9">
        <f>E93-D93</f>
        <v/>
      </c>
    </row>
    <row r="94">
      <c r="A94" s="46" t="inlineStr">
        <is>
          <t>Form 990-EZ Parts I &amp; II</t>
        </is>
      </c>
      <c r="B94" s="46" t="inlineStr">
        <is>
          <t>Balance sheet identity: line 25 = line 26 + line 27 (EOY)</t>
        </is>
      </c>
      <c r="C94" s="46" t="inlineStr">
        <is>
          <t>FY2024</t>
        </is>
      </c>
      <c r="D94" s="9">
        <f>'Form 990-EZ Parts I &amp; II'!E28</f>
        <v/>
      </c>
      <c r="E94" s="9">
        <f>SUM('Form 990-EZ Parts I &amp; II'!E29,'Form 990-EZ Parts I &amp; II'!E30)</f>
        <v/>
      </c>
      <c r="F94" s="9">
        <f>E94-D94</f>
        <v/>
      </c>
    </row>
    <row r="95">
      <c r="A95" s="46" t="inlineStr">
        <is>
          <t>Form 990-EZ Parts I &amp; II</t>
        </is>
      </c>
      <c r="B95" s="46" t="inlineStr">
        <is>
          <t>Balance sheet identity: line 25 = line 26 + line 27 (EOY)</t>
        </is>
      </c>
      <c r="C95" s="46" t="inlineStr">
        <is>
          <t>FY2025</t>
        </is>
      </c>
      <c r="D95" s="9">
        <f>'Form 990-EZ Parts I &amp; II'!F28</f>
        <v/>
      </c>
      <c r="E95" s="9">
        <f>SUM('Form 990-EZ Parts I &amp; II'!F29,'Form 990-EZ Parts I &amp; II'!F30)</f>
        <v/>
      </c>
      <c r="F95" s="9">
        <f>E95-D95</f>
        <v/>
      </c>
    </row>
    <row r="97">
      <c r="A97" s="43" t="inlineStr">
        <is>
          <t>D. Preparer / auditor trail (one row per fiscal year, as filed)</t>
        </is>
      </c>
      <c r="B97" s="7" t="n"/>
      <c r="C97" s="7" t="n"/>
      <c r="D97" s="7" t="n"/>
      <c r="E97" s="7" t="n"/>
      <c r="F97" s="7" t="n"/>
      <c r="G97" s="7" t="n"/>
      <c r="H97" s="7" t="n"/>
      <c r="I97" s="7" t="n"/>
      <c r="J97" s="7" t="n"/>
      <c r="K97" s="7" t="n"/>
    </row>
    <row r="98">
      <c r="A98" s="5" t="inlineStr">
        <is>
          <t>Fiscal year</t>
        </is>
      </c>
      <c r="B98" s="5" t="inlineStr">
        <is>
          <t>Paid preparer</t>
        </is>
      </c>
      <c r="C98" s="5" t="inlineStr">
        <is>
          <t>Preparer firm</t>
        </is>
      </c>
      <c r="D98" s="5" t="inlineStr">
        <is>
          <t>Independent auditor</t>
        </is>
      </c>
      <c r="E98" s="5" t="inlineStr">
        <is>
          <t>Citation</t>
        </is>
      </c>
    </row>
    <row r="99" ht="42" customHeight="1">
      <c r="A99" s="44" t="inlineStr">
        <is>
          <t>FY2021</t>
        </is>
      </c>
      <c r="B99" s="8" t="inlineStr">
        <is>
          <t>Gary A Smith</t>
        </is>
      </c>
      <c r="C99" s="8" t="inlineStr">
        <is>
          <t>Gary A Smith</t>
        </is>
      </c>
      <c r="D99" s="47" t="inlineStr">
        <is>
          <t>not reported</t>
        </is>
      </c>
      <c r="E99" s="19" t="inlineStr">
        <is>
          <t>Form 990 Return Header, Paid Preparer block (return_header.preparer_person_name / preparer_firm_name); auditor: Part XII line 2 reports audited financial statements but does not name the firm.</t>
        </is>
      </c>
    </row>
    <row r="100" ht="42" customHeight="1">
      <c r="A100" s="44" t="inlineStr">
        <is>
          <t>FY2022</t>
        </is>
      </c>
      <c r="B100" s="8" t="inlineStr">
        <is>
          <t>Gary A Smith</t>
        </is>
      </c>
      <c r="C100" s="8" t="inlineStr">
        <is>
          <t>Gary A Smith</t>
        </is>
      </c>
      <c r="D100" s="47" t="inlineStr">
        <is>
          <t>not reported</t>
        </is>
      </c>
      <c r="E100" s="19" t="inlineStr">
        <is>
          <t>Form 990 Return Header, Paid Preparer block (return_header.preparer_person_name / preparer_firm_name); auditor: Part XII line 2 reports audited financial statements but does not name the firm.</t>
        </is>
      </c>
    </row>
    <row r="101" ht="42" customHeight="1">
      <c r="A101" s="44" t="inlineStr">
        <is>
          <t>FY2023</t>
        </is>
      </c>
      <c r="B101" s="8" t="inlineStr">
        <is>
          <t>Gary A Smith</t>
        </is>
      </c>
      <c r="C101" s="8" t="inlineStr">
        <is>
          <t>Gary A Smith</t>
        </is>
      </c>
      <c r="D101" s="47" t="inlineStr">
        <is>
          <t>not reported</t>
        </is>
      </c>
      <c r="E101" s="19" t="inlineStr">
        <is>
          <t>Form 990 Return Header, Paid Preparer block (return_header.preparer_person_name / preparer_firm_name); auditor: Part XII line 2 reports audited financial statements but does not name the firm.</t>
        </is>
      </c>
    </row>
    <row r="102" ht="42" customHeight="1">
      <c r="A102" s="44" t="inlineStr">
        <is>
          <t>FY2024</t>
        </is>
      </c>
      <c r="B102" s="8" t="inlineStr">
        <is>
          <t>Gary A Smith</t>
        </is>
      </c>
      <c r="C102" s="8" t="inlineStr">
        <is>
          <t>Gary A Smith</t>
        </is>
      </c>
      <c r="D102" s="47" t="inlineStr">
        <is>
          <t>not reported</t>
        </is>
      </c>
      <c r="E102" s="19" t="inlineStr">
        <is>
          <t>Form 990 Return Header, Paid Preparer block (return_header.preparer_person_name / preparer_firm_name); auditor: Part XII line 2 reports audited financial statements but does not name the firm.</t>
        </is>
      </c>
    </row>
    <row r="103" ht="42" customHeight="1">
      <c r="A103" s="44" t="inlineStr">
        <is>
          <t>FY2025</t>
        </is>
      </c>
      <c r="B103" s="47" t="inlineStr">
        <is>
          <t>not reported</t>
        </is>
      </c>
      <c r="C103" s="8" t="inlineStr">
        <is>
          <t>Michael J Gartzke CPA</t>
        </is>
      </c>
      <c r="D103" s="47" t="inlineStr">
        <is>
          <t>not reported</t>
        </is>
      </c>
      <c r="E103" s="19" t="inlineStr">
        <is>
          <t>Form 990 Return Header, Paid Preparer block (return_header.preparer_person_name / preparer_firm_name); auditor: Part XII line 2 reports audited financial statements but does not name the firm.</t>
        </is>
      </c>
    </row>
    <row r="105" ht="42" customHeight="1">
      <c r="A10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105:K105"/>
    <mergeCell ref="A3:K3"/>
    <mergeCell ref="A2:K2"/>
    <mergeCell ref="A5:K5"/>
    <mergeCell ref="A1:K1"/>
  </mergeCells>
  <conditionalFormatting sqref="F76:F95">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