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
    <numFmt numFmtId="167"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7" fontId="6" fillId="0" borderId="1" applyAlignment="1" pivotButton="0" quotePrefix="0" xfId="0">
      <alignment horizontal="right"/>
    </xf>
    <xf numFmtId="0" fontId="8" fillId="0" borderId="1" applyAlignment="1" pivotButton="0" quotePrefix="0" xfId="0">
      <alignment horizontal="center"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Financial Summary - multi-year overview (USD)</t>
        </is>
      </c>
    </row>
    <row r="3">
      <c r="A3" s="2" t="inlineStr">
        <is>
          <t>Entity ID: cawc_0013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251282</v>
      </c>
      <c r="C10" s="9" t="n">
        <v>257555</v>
      </c>
      <c r="D10" s="9" t="n">
        <v>341470</v>
      </c>
      <c r="E10" s="9" t="n">
        <v>262072</v>
      </c>
      <c r="F10" s="9" t="n">
        <v>387865</v>
      </c>
      <c r="G10" s="9" t="n">
        <v>346455</v>
      </c>
    </row>
    <row r="11">
      <c r="A11" s="8" t="inlineStr">
        <is>
          <t xml:space="preserve">    Total expenses</t>
        </is>
      </c>
      <c r="B11" s="9" t="n">
        <v>251282</v>
      </c>
      <c r="C11" s="9" t="n">
        <v>297708</v>
      </c>
      <c r="D11" s="9" t="n">
        <v>309299</v>
      </c>
      <c r="E11" s="9" t="n">
        <v>305178</v>
      </c>
      <c r="F11" s="9" t="n">
        <v>310773</v>
      </c>
      <c r="G11" s="9" t="n">
        <v>316226</v>
      </c>
    </row>
    <row r="12">
      <c r="A12" s="10" t="inlineStr">
        <is>
          <t xml:space="preserve">    Net income</t>
        </is>
      </c>
      <c r="B12" s="11" t="n">
        <v>0</v>
      </c>
      <c r="C12" s="11" t="n">
        <v>-40153</v>
      </c>
      <c r="D12" s="11" t="n">
        <v>32171</v>
      </c>
      <c r="E12" s="11" t="n">
        <v>-43106</v>
      </c>
      <c r="F12" s="11" t="n">
        <v>77092</v>
      </c>
      <c r="G12" s="11" t="n">
        <v>30229</v>
      </c>
    </row>
    <row r="14">
      <c r="A14" s="6" t="inlineStr">
        <is>
          <t>Financial position (USD, end of year)</t>
        </is>
      </c>
      <c r="B14" s="7" t="n"/>
      <c r="C14" s="7" t="n"/>
      <c r="D14" s="7" t="n"/>
      <c r="E14" s="7" t="n"/>
      <c r="F14" s="7" t="n"/>
      <c r="G14" s="7" t="n"/>
    </row>
    <row r="15">
      <c r="A15" s="8" t="inlineStr">
        <is>
          <t xml:space="preserve">    Total assets</t>
        </is>
      </c>
      <c r="B15" s="9" t="n">
        <v>456929</v>
      </c>
      <c r="C15" s="9" t="n">
        <v>434901</v>
      </c>
      <c r="D15" s="9" t="n">
        <v>497245</v>
      </c>
      <c r="E15" s="9" t="n">
        <v>501654</v>
      </c>
      <c r="F15" s="9" t="n">
        <v>680946</v>
      </c>
      <c r="G15" s="9" t="n">
        <v>688202</v>
      </c>
    </row>
    <row r="16">
      <c r="A16" s="8" t="inlineStr">
        <is>
          <t xml:space="preserve">    Total liabilities</t>
        </is>
      </c>
      <c r="B16" s="9" t="n">
        <v>47744</v>
      </c>
      <c r="C16" s="9" t="n">
        <v>38796</v>
      </c>
      <c r="D16" s="9" t="n">
        <v>41801</v>
      </c>
      <c r="E16" s="9" t="n">
        <v>62243</v>
      </c>
      <c r="F16" s="9" t="n">
        <v>137370</v>
      </c>
      <c r="G16" s="9" t="n">
        <v>87324</v>
      </c>
    </row>
    <row r="17">
      <c r="A17" s="10" t="inlineStr">
        <is>
          <t xml:space="preserve">    Net assets</t>
        </is>
      </c>
      <c r="B17" s="11" t="n">
        <v>409185</v>
      </c>
      <c r="C17" s="11" t="n">
        <v>396105</v>
      </c>
      <c r="D17" s="11" t="n">
        <v>455444</v>
      </c>
      <c r="E17" s="11" t="n">
        <v>439411</v>
      </c>
      <c r="F17" s="11" t="n">
        <v>543576</v>
      </c>
      <c r="G17" s="11" t="n">
        <v>600878</v>
      </c>
    </row>
    <row r="19">
      <c r="A19" s="6" t="inlineStr">
        <is>
          <t>Headline ratios</t>
        </is>
      </c>
      <c r="B19" s="7" t="n"/>
      <c r="C19" s="7" t="n"/>
      <c r="D19" s="7" t="n"/>
      <c r="E19" s="7" t="n"/>
      <c r="F19" s="7" t="n"/>
      <c r="G19" s="7" t="n"/>
    </row>
    <row r="20">
      <c r="A20" s="8" t="inlineStr">
        <is>
          <t xml:space="preserve">    Operating margin</t>
        </is>
      </c>
      <c r="B20" s="12" t="n">
        <v>0</v>
      </c>
      <c r="C20" s="12" t="n">
        <v>-0.1559006814078546</v>
      </c>
      <c r="D20" s="12" t="n">
        <v>0.09421325445866401</v>
      </c>
      <c r="E20" s="12" t="n">
        <v>-0.1644815165298086</v>
      </c>
      <c r="F20" s="12" t="n">
        <v>0.1987598777925309</v>
      </c>
      <c r="G20" s="12" t="n">
        <v>0.08725231271016438</v>
      </c>
    </row>
    <row r="21">
      <c r="A21" s="8" t="inlineStr">
        <is>
          <t xml:space="preserve">    Revenue growth (YoY)</t>
        </is>
      </c>
      <c r="B21" s="12" t="n"/>
      <c r="C21" s="12" t="n">
        <v>0.02496398468652749</v>
      </c>
      <c r="D21" s="12" t="n">
        <v>0.3258139038263672</v>
      </c>
      <c r="E21" s="12" t="n">
        <v>-0.2325182300055642</v>
      </c>
      <c r="F21" s="12" t="n">
        <v>0.4799940474373455</v>
      </c>
      <c r="G21" s="12" t="n">
        <v>-0.106763951374834</v>
      </c>
    </row>
    <row r="22">
      <c r="A22" s="8" t="inlineStr">
        <is>
          <t xml:space="preserve">    Return on assets</t>
        </is>
      </c>
      <c r="B22" s="12" t="n">
        <v>0</v>
      </c>
      <c r="C22" s="12" t="n">
        <v>-0.09232675942340901</v>
      </c>
      <c r="D22" s="12" t="n">
        <v>0.06469848867258594</v>
      </c>
      <c r="E22" s="12" t="n">
        <v>-0.08592775099969302</v>
      </c>
      <c r="F22" s="12" t="n">
        <v>0.1132130888499235</v>
      </c>
      <c r="G22" s="12" t="n">
        <v>0.04392460353210249</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Financial Statements - income statement, balance sheet, cash flow, member income test (USD)</t>
        </is>
      </c>
    </row>
    <row r="3">
      <c r="A3" s="2" t="inlineStr">
        <is>
          <t>Entity ID: cawc_0013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251282</v>
      </c>
      <c r="C8" s="9" t="n">
        <v>257555</v>
      </c>
      <c r="D8" s="9" t="n">
        <v>341470</v>
      </c>
      <c r="E8" s="9" t="n">
        <v>262072</v>
      </c>
      <c r="F8" s="9" t="n">
        <v>387865</v>
      </c>
      <c r="G8" s="9" t="n">
        <v>346455</v>
      </c>
    </row>
    <row r="9">
      <c r="A9" s="8" t="inlineStr">
        <is>
          <t xml:space="preserve">    Investment income</t>
        </is>
      </c>
      <c r="B9" s="9" t="n">
        <v>0</v>
      </c>
      <c r="C9" s="9" t="n">
        <v>0</v>
      </c>
      <c r="D9" s="9" t="n">
        <v>0</v>
      </c>
      <c r="E9" s="9" t="n">
        <v>0</v>
      </c>
      <c r="F9" s="9" t="n">
        <v>0</v>
      </c>
      <c r="G9" s="9" t="n">
        <v>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251282</v>
      </c>
      <c r="C14" s="11" t="n">
        <v>257555</v>
      </c>
      <c r="D14" s="11" t="n">
        <v>341470</v>
      </c>
      <c r="E14" s="11" t="n">
        <v>262072</v>
      </c>
      <c r="F14" s="11" t="n">
        <v>387865</v>
      </c>
      <c r="G14" s="11" t="n">
        <v>346455</v>
      </c>
    </row>
    <row r="16">
      <c r="A16" s="6" t="inlineStr">
        <is>
          <t>Expenses</t>
        </is>
      </c>
      <c r="B16" s="7" t="n"/>
      <c r="C16" s="7" t="n"/>
      <c r="D16" s="7" t="n"/>
      <c r="E16" s="7" t="n"/>
      <c r="F16" s="7" t="n"/>
      <c r="G16" s="7" t="n"/>
    </row>
    <row r="17">
      <c r="A17" s="8" t="inlineStr">
        <is>
          <t xml:space="preserve">    Depreciation</t>
        </is>
      </c>
      <c r="B17" s="9" t="n">
        <v>36740</v>
      </c>
      <c r="C17" s="9" t="n">
        <v>28482</v>
      </c>
      <c r="D17" s="9" t="n">
        <v>22239</v>
      </c>
      <c r="E17" s="9" t="n">
        <v>21743</v>
      </c>
      <c r="F17" s="9" t="n">
        <v>25933</v>
      </c>
      <c r="G17" s="9" t="n">
        <v>26635</v>
      </c>
    </row>
    <row r="18">
      <c r="A18" s="8" t="inlineStr">
        <is>
          <t xml:space="preserve">    Interest expense</t>
        </is>
      </c>
      <c r="B18" s="9" t="n">
        <v>0</v>
      </c>
      <c r="C18" s="9" t="n">
        <v>0</v>
      </c>
      <c r="D18" s="9" t="n">
        <v>0</v>
      </c>
      <c r="E18" s="9" t="n">
        <v>0</v>
      </c>
      <c r="F18" s="9" t="n">
        <v>0</v>
      </c>
      <c r="G18" s="9" t="n">
        <v>0</v>
      </c>
    </row>
    <row r="19">
      <c r="A19" s="10" t="inlineStr">
        <is>
          <t>Total expenses</t>
        </is>
      </c>
      <c r="B19" s="11" t="n">
        <v>251282</v>
      </c>
      <c r="C19" s="11" t="n">
        <v>297708</v>
      </c>
      <c r="D19" s="11" t="n">
        <v>309299</v>
      </c>
      <c r="E19" s="11" t="n">
        <v>305178</v>
      </c>
      <c r="F19" s="11" t="n">
        <v>310773</v>
      </c>
      <c r="G19" s="11" t="n">
        <v>316226</v>
      </c>
    </row>
    <row r="21">
      <c r="A21" s="10" t="inlineStr">
        <is>
          <t>Net income</t>
        </is>
      </c>
      <c r="B21" s="11" t="n">
        <v>0</v>
      </c>
      <c r="C21" s="11" t="n">
        <v>-40153</v>
      </c>
      <c r="D21" s="11" t="n">
        <v>32171</v>
      </c>
      <c r="E21" s="11" t="n">
        <v>-43106</v>
      </c>
      <c r="F21" s="11" t="n">
        <v>77092</v>
      </c>
      <c r="G21" s="11" t="n">
        <v>30229</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141161</v>
      </c>
      <c r="C27" s="9" t="n">
        <v>106290</v>
      </c>
      <c r="D27" s="9" t="n">
        <v>216148</v>
      </c>
      <c r="E27" s="9" t="n">
        <v>209475</v>
      </c>
      <c r="F27" s="9" t="n">
        <v>308059</v>
      </c>
      <c r="G27" s="9" t="n">
        <v>396287</v>
      </c>
    </row>
    <row r="28">
      <c r="A28" s="8" t="inlineStr">
        <is>
          <t xml:space="preserve">    Savings &amp; temporary investments</t>
        </is>
      </c>
      <c r="B28" s="9" t="n">
        <v>0</v>
      </c>
      <c r="C28" s="9" t="n">
        <v>0</v>
      </c>
      <c r="D28" s="9" t="n">
        <v>0</v>
      </c>
      <c r="E28" s="9" t="n">
        <v>0</v>
      </c>
      <c r="F28" s="9" t="n">
        <v>0</v>
      </c>
      <c r="G28" s="9" t="n">
        <v>0</v>
      </c>
    </row>
    <row r="29">
      <c r="A29" s="8" t="inlineStr">
        <is>
          <t xml:space="preserve">    Accounts receivable</t>
        </is>
      </c>
      <c r="B29" s="9" t="n">
        <v>73810</v>
      </c>
      <c r="C29" s="9" t="n">
        <v>122629</v>
      </c>
      <c r="D29" s="9" t="n">
        <v>97354</v>
      </c>
      <c r="E29" s="9" t="n">
        <v>92864</v>
      </c>
      <c r="F29" s="9" t="n">
        <v>199505</v>
      </c>
      <c r="G29" s="9" t="n">
        <v>145168</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748806</v>
      </c>
      <c r="C32" s="9" t="n">
        <v>748806</v>
      </c>
      <c r="D32" s="9" t="n">
        <v>748806</v>
      </c>
      <c r="E32" s="9" t="n">
        <v>786121</v>
      </c>
      <c r="F32" s="9" t="n">
        <v>786121</v>
      </c>
      <c r="G32" s="9" t="n">
        <v>786121</v>
      </c>
    </row>
    <row r="33">
      <c r="A33" s="8" t="inlineStr">
        <is>
          <t xml:space="preserve">    Less: accumulated depreciation</t>
        </is>
      </c>
      <c r="B33" s="9" t="n">
        <v>-514342</v>
      </c>
      <c r="C33" s="9" t="n">
        <v>-542824</v>
      </c>
      <c r="D33" s="9" t="n">
        <v>-565063</v>
      </c>
      <c r="E33" s="9" t="n">
        <v>-586806</v>
      </c>
      <c r="F33" s="9" t="n">
        <v>-612739</v>
      </c>
      <c r="G33" s="9" t="n">
        <v>-639374</v>
      </c>
    </row>
    <row r="34">
      <c r="A34" s="10" t="inlineStr">
        <is>
          <t xml:space="preserve">    Net property, plant &amp; equipment</t>
        </is>
      </c>
      <c r="B34" s="11" t="n">
        <v>234464</v>
      </c>
      <c r="C34" s="11" t="n">
        <v>205982</v>
      </c>
      <c r="D34" s="11" t="n">
        <v>183743</v>
      </c>
      <c r="E34" s="11" t="n">
        <v>199315</v>
      </c>
      <c r="F34" s="11" t="n">
        <v>173382</v>
      </c>
      <c r="G34" s="11" t="n">
        <v>146747</v>
      </c>
    </row>
    <row r="35">
      <c r="A35" s="10" t="inlineStr">
        <is>
          <t>Total assets</t>
        </is>
      </c>
      <c r="B35" s="11" t="n">
        <v>456929</v>
      </c>
      <c r="C35" s="11" t="n">
        <v>434901</v>
      </c>
      <c r="D35" s="11" t="n">
        <v>497245</v>
      </c>
      <c r="E35" s="11" t="n">
        <v>501654</v>
      </c>
      <c r="F35" s="11" t="n">
        <v>680946</v>
      </c>
      <c r="G35" s="11" t="n">
        <v>688202</v>
      </c>
    </row>
    <row r="37">
      <c r="A37" s="6" t="inlineStr">
        <is>
          <t>Liabilities</t>
        </is>
      </c>
      <c r="B37" s="7" t="n"/>
      <c r="C37" s="7" t="n"/>
      <c r="D37" s="7" t="n"/>
      <c r="E37" s="7" t="n"/>
      <c r="F37" s="7" t="n"/>
      <c r="G37" s="7" t="n"/>
    </row>
    <row r="38">
      <c r="A38" s="8" t="inlineStr">
        <is>
          <t xml:space="preserve">    Accounts payable</t>
        </is>
      </c>
      <c r="B38" s="9" t="n">
        <v>47744</v>
      </c>
      <c r="C38" s="9" t="n">
        <v>38796</v>
      </c>
      <c r="D38" s="9" t="n">
        <v>41801</v>
      </c>
      <c r="E38" s="9" t="n">
        <v>62243</v>
      </c>
      <c r="F38" s="9" t="n">
        <v>137370</v>
      </c>
      <c r="G38" s="9" t="n">
        <v>87324</v>
      </c>
    </row>
    <row r="39">
      <c r="A39" s="8" t="inlineStr">
        <is>
          <t xml:space="preserve">    Mortgages &amp; notes payable</t>
        </is>
      </c>
      <c r="B39" s="9" t="n"/>
      <c r="C39" s="9" t="n"/>
      <c r="D39" s="9" t="n"/>
      <c r="E39" s="9" t="n"/>
      <c r="F39" s="9" t="n"/>
      <c r="G39" s="9" t="n"/>
    </row>
    <row r="40">
      <c r="A40" s="10" t="inlineStr">
        <is>
          <t>Total liabilities</t>
        </is>
      </c>
      <c r="B40" s="11" t="n">
        <v>47744</v>
      </c>
      <c r="C40" s="11" t="n">
        <v>38796</v>
      </c>
      <c r="D40" s="11" t="n">
        <v>41801</v>
      </c>
      <c r="E40" s="11" t="n">
        <v>62243</v>
      </c>
      <c r="F40" s="11" t="n">
        <v>137370</v>
      </c>
      <c r="G40" s="11" t="n">
        <v>87324</v>
      </c>
    </row>
    <row r="42">
      <c r="A42" s="6" t="inlineStr">
        <is>
          <t>Net Assets / Equity</t>
        </is>
      </c>
      <c r="B42" s="7" t="n"/>
      <c r="C42" s="7" t="n"/>
      <c r="D42" s="7" t="n"/>
      <c r="E42" s="7" t="n"/>
      <c r="F42" s="7" t="n"/>
      <c r="G42" s="7" t="n"/>
    </row>
    <row r="43">
      <c r="A43" s="8" t="inlineStr">
        <is>
          <t xml:space="preserve">    Capital stock</t>
        </is>
      </c>
      <c r="B43" s="9" t="n">
        <v>5656</v>
      </c>
      <c r="C43" s="9" t="n">
        <v>5656</v>
      </c>
      <c r="D43" s="9" t="n">
        <v>5656</v>
      </c>
      <c r="E43" s="9" t="n">
        <v>5656</v>
      </c>
      <c r="F43" s="9" t="n">
        <v>5656</v>
      </c>
      <c r="G43" s="9" t="n">
        <v>5656</v>
      </c>
    </row>
    <row r="44">
      <c r="A44" s="8" t="inlineStr">
        <is>
          <t xml:space="preserve">    Paid-in capital</t>
        </is>
      </c>
      <c r="B44" s="9" t="n">
        <v>112947</v>
      </c>
      <c r="C44" s="9" t="n">
        <v>112947</v>
      </c>
      <c r="D44" s="9" t="n">
        <v>112947</v>
      </c>
      <c r="E44" s="9" t="n">
        <v>112947</v>
      </c>
      <c r="F44" s="9" t="n">
        <v>112947</v>
      </c>
      <c r="G44" s="9" t="n">
        <v>112947</v>
      </c>
    </row>
    <row r="45">
      <c r="A45" s="8" t="inlineStr">
        <is>
          <t xml:space="preserve">    Retained earnings</t>
        </is>
      </c>
      <c r="B45" s="9" t="n">
        <v>290582</v>
      </c>
      <c r="C45" s="9" t="n">
        <v>277502</v>
      </c>
      <c r="D45" s="9" t="n">
        <v>336841</v>
      </c>
      <c r="E45" s="9" t="n">
        <v>320808</v>
      </c>
      <c r="F45" s="9" t="n">
        <v>424973</v>
      </c>
      <c r="G45" s="9" t="n">
        <v>482275</v>
      </c>
    </row>
    <row r="46">
      <c r="A46" s="10" t="inlineStr">
        <is>
          <t>Net assets</t>
        </is>
      </c>
      <c r="B46" s="11" t="n">
        <v>409185</v>
      </c>
      <c r="C46" s="11" t="n">
        <v>396105</v>
      </c>
      <c r="D46" s="11" t="n">
        <v>455444</v>
      </c>
      <c r="E46" s="11" t="n">
        <v>439411</v>
      </c>
      <c r="F46" s="11" t="n">
        <v>543576</v>
      </c>
      <c r="G46" s="11" t="n">
        <v>600878</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0</v>
      </c>
      <c r="C52" s="9" t="n">
        <v>-40153</v>
      </c>
      <c r="D52" s="9" t="n">
        <v>32171</v>
      </c>
      <c r="E52" s="9" t="n">
        <v>-43106</v>
      </c>
      <c r="F52" s="9" t="n">
        <v>77092</v>
      </c>
      <c r="G52" s="9" t="n">
        <v>30229</v>
      </c>
    </row>
    <row r="53">
      <c r="A53" s="8" t="inlineStr">
        <is>
          <t xml:space="preserve">    + Depreciation (reported)</t>
        </is>
      </c>
      <c r="B53" s="9" t="n">
        <v>36740</v>
      </c>
      <c r="C53" s="9" t="n">
        <v>28482</v>
      </c>
      <c r="D53" s="9" t="n">
        <v>22239</v>
      </c>
      <c r="E53" s="9" t="n">
        <v>21743</v>
      </c>
      <c r="F53" s="9" t="n">
        <v>25933</v>
      </c>
      <c r="G53" s="9" t="n">
        <v>26635</v>
      </c>
    </row>
    <row r="54">
      <c r="A54" s="8" t="inlineStr">
        <is>
          <t xml:space="preserve">    − Δ Accounts receivable</t>
        </is>
      </c>
      <c r="B54" s="9" t="n"/>
      <c r="C54" s="9" t="n">
        <v>-48819</v>
      </c>
      <c r="D54" s="9" t="n">
        <v>25275</v>
      </c>
      <c r="E54" s="9" t="n">
        <v>4490</v>
      </c>
      <c r="F54" s="9" t="n">
        <v>-106641</v>
      </c>
      <c r="G54" s="9" t="n">
        <v>54337</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v>-8948</v>
      </c>
      <c r="D57" s="9" t="n">
        <v>3005</v>
      </c>
      <c r="E57" s="9" t="n">
        <v>20442</v>
      </c>
      <c r="F57" s="9" t="n">
        <v>75127</v>
      </c>
      <c r="G57" s="9" t="n">
        <v>-50046</v>
      </c>
    </row>
    <row r="58">
      <c r="A58" s="10" t="inlineStr">
        <is>
          <t xml:space="preserve">    Operating cash flow proxy</t>
        </is>
      </c>
      <c r="B58" s="11" t="n"/>
      <c r="C58" s="11" t="n">
        <v>-69438</v>
      </c>
      <c r="D58" s="11" t="n">
        <v>82690</v>
      </c>
      <c r="E58" s="11" t="n">
        <v>3569</v>
      </c>
      <c r="F58" s="11" t="n">
        <v>71511</v>
      </c>
      <c r="G58" s="11" t="n">
        <v>61155</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-37315</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-34871</v>
      </c>
      <c r="D67" s="11" t="n">
        <v>109858</v>
      </c>
      <c r="E67" s="11" t="n">
        <v>-6673</v>
      </c>
      <c r="F67" s="11" t="n">
        <v>98584</v>
      </c>
      <c r="G67" s="11" t="n">
        <v>88228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Balance Sheet - as reported (USD, end of year)</t>
        </is>
      </c>
    </row>
    <row r="3">
      <c r="A3" s="2" t="inlineStr">
        <is>
          <t>Entity ID: cawc_0013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141161</v>
      </c>
      <c r="C7" s="9" t="n">
        <v>106290</v>
      </c>
      <c r="D7" s="9" t="n">
        <v>216148</v>
      </c>
      <c r="E7" s="9" t="n">
        <v>209475</v>
      </c>
      <c r="F7" s="9" t="n">
        <v>308059</v>
      </c>
      <c r="G7" s="9" t="n">
        <v>396287</v>
      </c>
    </row>
    <row r="8">
      <c r="A8" s="8" t="inlineStr">
        <is>
          <t xml:space="preserve">    Savings &amp; temporary investments</t>
        </is>
      </c>
      <c r="B8" s="9" t="n">
        <v>0</v>
      </c>
      <c r="C8" s="9" t="n">
        <v>0</v>
      </c>
      <c r="D8" s="9" t="n">
        <v>0</v>
      </c>
      <c r="E8" s="9" t="n">
        <v>0</v>
      </c>
      <c r="F8" s="9" t="n">
        <v>0</v>
      </c>
      <c r="G8" s="9" t="n">
        <v>0</v>
      </c>
    </row>
    <row r="9">
      <c r="A9" s="8" t="inlineStr">
        <is>
          <t xml:space="preserve">    Accounts receivable</t>
        </is>
      </c>
      <c r="B9" s="9" t="n">
        <v>73810</v>
      </c>
      <c r="C9" s="9" t="n">
        <v>122629</v>
      </c>
      <c r="D9" s="9" t="n">
        <v>97354</v>
      </c>
      <c r="E9" s="9" t="n">
        <v>92864</v>
      </c>
      <c r="F9" s="9" t="n">
        <v>199505</v>
      </c>
      <c r="G9" s="9" t="n">
        <v>145168</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748806</v>
      </c>
      <c r="C12" s="9" t="n">
        <v>748806</v>
      </c>
      <c r="D12" s="9" t="n">
        <v>748806</v>
      </c>
      <c r="E12" s="9" t="n">
        <v>786121</v>
      </c>
      <c r="F12" s="9" t="n">
        <v>786121</v>
      </c>
      <c r="G12" s="9" t="n">
        <v>786121</v>
      </c>
    </row>
    <row r="13">
      <c r="A13" s="8" t="inlineStr">
        <is>
          <t xml:space="preserve">    Less: accumulated depreciation</t>
        </is>
      </c>
      <c r="B13" s="9" t="n">
        <v>-514342</v>
      </c>
      <c r="C13" s="9" t="n">
        <v>-542824</v>
      </c>
      <c r="D13" s="9" t="n">
        <v>-565063</v>
      </c>
      <c r="E13" s="9" t="n">
        <v>-586806</v>
      </c>
      <c r="F13" s="9" t="n">
        <v>-612739</v>
      </c>
      <c r="G13" s="9" t="n">
        <v>-639374</v>
      </c>
    </row>
    <row r="14">
      <c r="A14" s="10" t="inlineStr">
        <is>
          <t xml:space="preserve">    Net property, plant &amp; equipment</t>
        </is>
      </c>
      <c r="B14" s="11" t="n">
        <v>234464</v>
      </c>
      <c r="C14" s="11" t="n">
        <v>205982</v>
      </c>
      <c r="D14" s="11" t="n">
        <v>183743</v>
      </c>
      <c r="E14" s="11" t="n">
        <v>199315</v>
      </c>
      <c r="F14" s="11" t="n">
        <v>173382</v>
      </c>
      <c r="G14" s="11" t="n">
        <v>146747</v>
      </c>
    </row>
    <row r="15">
      <c r="A15" s="10" t="inlineStr">
        <is>
          <t>Total assets</t>
        </is>
      </c>
      <c r="B15" s="11" t="n">
        <v>456929</v>
      </c>
      <c r="C15" s="11" t="n">
        <v>434901</v>
      </c>
      <c r="D15" s="11" t="n">
        <v>497245</v>
      </c>
      <c r="E15" s="11" t="n">
        <v>501654</v>
      </c>
      <c r="F15" s="11" t="n">
        <v>680946</v>
      </c>
      <c r="G15" s="11" t="n">
        <v>688202</v>
      </c>
    </row>
    <row r="17">
      <c r="A17" s="6" t="inlineStr">
        <is>
          <t>Liabilities</t>
        </is>
      </c>
      <c r="B17" s="7" t="n"/>
      <c r="C17" s="7" t="n"/>
      <c r="D17" s="7" t="n"/>
      <c r="E17" s="7" t="n"/>
      <c r="F17" s="7" t="n"/>
      <c r="G17" s="7" t="n"/>
    </row>
    <row r="18">
      <c r="A18" s="8" t="inlineStr">
        <is>
          <t xml:space="preserve">    Accounts payable</t>
        </is>
      </c>
      <c r="B18" s="9" t="n">
        <v>47744</v>
      </c>
      <c r="C18" s="9" t="n">
        <v>38796</v>
      </c>
      <c r="D18" s="9" t="n">
        <v>41801</v>
      </c>
      <c r="E18" s="9" t="n">
        <v>62243</v>
      </c>
      <c r="F18" s="9" t="n">
        <v>137370</v>
      </c>
      <c r="G18" s="9" t="n">
        <v>87324</v>
      </c>
    </row>
    <row r="19">
      <c r="A19" s="8" t="inlineStr">
        <is>
          <t xml:space="preserve">    Mortgages &amp; notes payable</t>
        </is>
      </c>
      <c r="B19" s="9" t="n"/>
      <c r="C19" s="9" t="n"/>
      <c r="D19" s="9" t="n"/>
      <c r="E19" s="9" t="n"/>
      <c r="F19" s="9" t="n"/>
      <c r="G19" s="9" t="n"/>
    </row>
    <row r="20">
      <c r="A20" s="10" t="inlineStr">
        <is>
          <t>Total liabilities</t>
        </is>
      </c>
      <c r="B20" s="11" t="n">
        <v>47744</v>
      </c>
      <c r="C20" s="11" t="n">
        <v>38796</v>
      </c>
      <c r="D20" s="11" t="n">
        <v>41801</v>
      </c>
      <c r="E20" s="11" t="n">
        <v>62243</v>
      </c>
      <c r="F20" s="11" t="n">
        <v>137370</v>
      </c>
      <c r="G20" s="11" t="n">
        <v>87324</v>
      </c>
    </row>
    <row r="22">
      <c r="A22" s="6" t="inlineStr">
        <is>
          <t>Net Assets / Equity</t>
        </is>
      </c>
      <c r="B22" s="7" t="n"/>
      <c r="C22" s="7" t="n"/>
      <c r="D22" s="7" t="n"/>
      <c r="E22" s="7" t="n"/>
      <c r="F22" s="7" t="n"/>
      <c r="G22" s="7" t="n"/>
    </row>
    <row r="23">
      <c r="A23" s="8" t="inlineStr">
        <is>
          <t xml:space="preserve">    Capital stock</t>
        </is>
      </c>
      <c r="B23" s="9" t="n">
        <v>5656</v>
      </c>
      <c r="C23" s="9" t="n">
        <v>5656</v>
      </c>
      <c r="D23" s="9" t="n">
        <v>5656</v>
      </c>
      <c r="E23" s="9" t="n">
        <v>5656</v>
      </c>
      <c r="F23" s="9" t="n">
        <v>5656</v>
      </c>
      <c r="G23" s="9" t="n">
        <v>5656</v>
      </c>
    </row>
    <row r="24">
      <c r="A24" s="8" t="inlineStr">
        <is>
          <t xml:space="preserve">    Paid-in capital</t>
        </is>
      </c>
      <c r="B24" s="9" t="n">
        <v>112947</v>
      </c>
      <c r="C24" s="9" t="n">
        <v>112947</v>
      </c>
      <c r="D24" s="9" t="n">
        <v>112947</v>
      </c>
      <c r="E24" s="9" t="n">
        <v>112947</v>
      </c>
      <c r="F24" s="9" t="n">
        <v>112947</v>
      </c>
      <c r="G24" s="9" t="n">
        <v>112947</v>
      </c>
    </row>
    <row r="25">
      <c r="A25" s="8" t="inlineStr">
        <is>
          <t xml:space="preserve">    Retained earnings</t>
        </is>
      </c>
      <c r="B25" s="9" t="n">
        <v>290582</v>
      </c>
      <c r="C25" s="9" t="n">
        <v>277502</v>
      </c>
      <c r="D25" s="9" t="n">
        <v>336841</v>
      </c>
      <c r="E25" s="9" t="n">
        <v>320808</v>
      </c>
      <c r="F25" s="9" t="n">
        <v>424973</v>
      </c>
      <c r="G25" s="9" t="n">
        <v>482275</v>
      </c>
    </row>
    <row r="26">
      <c r="A26" s="10" t="inlineStr">
        <is>
          <t>Net assets</t>
        </is>
      </c>
      <c r="B26" s="11" t="n">
        <v>409185</v>
      </c>
      <c r="C26" s="11" t="n">
        <v>396105</v>
      </c>
      <c r="D26" s="11" t="n">
        <v>455444</v>
      </c>
      <c r="E26" s="11" t="n">
        <v>439411</v>
      </c>
      <c r="F26" s="11" t="n">
        <v>543576</v>
      </c>
      <c r="G26" s="11" t="n">
        <v>600878</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Community Mutual Water Company</t>
        </is>
      </c>
    </row>
    <row r="2">
      <c r="A2" s="2" t="inlineStr">
        <is>
          <t>Officers, Directors &amp; Contractors - Form 990 Part VII (FY2025; USD)</t>
        </is>
      </c>
    </row>
    <row r="3">
      <c r="A3" s="2" t="inlineStr">
        <is>
          <t>Entity ID: cawc_0013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DEANN HOBSON</t>
        </is>
      </c>
      <c r="B7" s="8" t="inlineStr">
        <is>
          <t>Director</t>
        </is>
      </c>
      <c r="C7" s="9" t="n">
        <v>0</v>
      </c>
      <c r="D7" s="9" t="n">
        <v>0</v>
      </c>
      <c r="E7" s="9" t="n">
        <v>0</v>
      </c>
      <c r="F7" s="9" t="n">
        <v>0</v>
      </c>
    </row>
    <row r="8">
      <c r="A8" s="8" t="inlineStr">
        <is>
          <t>JIM HEIGHTON</t>
        </is>
      </c>
      <c r="B8" s="8" t="inlineStr">
        <is>
          <t>Vice President</t>
        </is>
      </c>
      <c r="C8" s="9" t="n">
        <v>0</v>
      </c>
      <c r="D8" s="9" t="n">
        <v>0</v>
      </c>
      <c r="E8" s="9" t="n">
        <v>0</v>
      </c>
      <c r="F8" s="9" t="n">
        <v>0</v>
      </c>
    </row>
    <row r="9">
      <c r="A9" s="8" t="inlineStr">
        <is>
          <t>PAUL BARNARD</t>
        </is>
      </c>
      <c r="B9" s="8" t="inlineStr">
        <is>
          <t>Director</t>
        </is>
      </c>
      <c r="C9" s="9" t="n">
        <v>0</v>
      </c>
      <c r="D9" s="9" t="n">
        <v>0</v>
      </c>
      <c r="E9" s="9" t="n">
        <v>0</v>
      </c>
      <c r="F9" s="9" t="n">
        <v>0</v>
      </c>
    </row>
    <row r="10">
      <c r="A10" s="8" t="inlineStr">
        <is>
          <t>GUY COLE</t>
        </is>
      </c>
      <c r="B10" s="8" t="inlineStr">
        <is>
          <t>President</t>
        </is>
      </c>
      <c r="C10" s="9" t="n">
        <v>0</v>
      </c>
      <c r="D10" s="9" t="n">
        <v>0</v>
      </c>
      <c r="E10" s="9" t="n">
        <v>0</v>
      </c>
      <c r="F10" s="9" t="n">
        <v>0</v>
      </c>
    </row>
    <row r="11">
      <c r="A11" s="8" t="inlineStr">
        <is>
          <t>AMBER MCCALISTER</t>
        </is>
      </c>
      <c r="B11" s="8" t="inlineStr">
        <is>
          <t>Secretary</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Revenue - Form 990 Part VIII (USD)</t>
        </is>
      </c>
    </row>
    <row r="3">
      <c r="A3" s="2" t="inlineStr">
        <is>
          <t>Entity ID: cawc_0013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251282</v>
      </c>
      <c r="C8" s="9" t="n">
        <v>257555</v>
      </c>
      <c r="D8" s="9" t="n">
        <v>341470</v>
      </c>
      <c r="E8" s="9" t="n">
        <v>262072</v>
      </c>
      <c r="F8" s="9" t="n">
        <v>387865</v>
      </c>
      <c r="G8" s="9" t="n">
        <v>346455</v>
      </c>
    </row>
    <row r="9">
      <c r="A9" s="8" t="inlineStr">
        <is>
          <t xml:space="preserve">    3. Investment income</t>
        </is>
      </c>
      <c r="B9" s="9" t="n">
        <v>0</v>
      </c>
      <c r="C9" s="9" t="n">
        <v>0</v>
      </c>
      <c r="D9" s="9" t="n">
        <v>0</v>
      </c>
      <c r="E9" s="9" t="n">
        <v>0</v>
      </c>
      <c r="F9" s="9" t="n">
        <v>0</v>
      </c>
      <c r="G9" s="9" t="n">
        <v>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Fees &amp; Contracts Gov Agencies</t>
        </is>
      </c>
      <c r="B17" s="8" t="n"/>
      <c r="C17" s="9" t="n">
        <v>346455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Community Mutual Water Company</t>
        </is>
      </c>
    </row>
    <row r="2">
      <c r="A2" s="2" t="inlineStr">
        <is>
          <t>Statement of Functional Expenses - Form 990 Part IX (USD)</t>
        </is>
      </c>
    </row>
    <row r="3">
      <c r="A3" s="2" t="inlineStr">
        <is>
          <t>Entity ID: cawc_0013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2775</v>
      </c>
      <c r="C19" s="9" t="n">
        <v>2362</v>
      </c>
      <c r="D19" s="9" t="n">
        <v>2836</v>
      </c>
      <c r="E19" s="9" t="n">
        <v>2076</v>
      </c>
      <c r="F19" s="9" t="n">
        <v>2153</v>
      </c>
      <c r="G19" s="9" t="n">
        <v>2374</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0</v>
      </c>
      <c r="C25" s="9" t="n">
        <v>0</v>
      </c>
      <c r="D25" s="9" t="n">
        <v>0</v>
      </c>
      <c r="E25" s="9" t="n">
        <v>0</v>
      </c>
      <c r="F25" s="9" t="n">
        <v>0</v>
      </c>
      <c r="G25" s="9" t="n">
        <v>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36740</v>
      </c>
      <c r="C34" s="9" t="n">
        <v>28482</v>
      </c>
      <c r="D34" s="9" t="n">
        <v>22239</v>
      </c>
      <c r="E34" s="9" t="n">
        <v>21743</v>
      </c>
      <c r="F34" s="9" t="n">
        <v>25933</v>
      </c>
      <c r="G34" s="9" t="n">
        <v>26635</v>
      </c>
    </row>
    <row r="35">
      <c r="A35" s="8" t="inlineStr">
        <is>
          <t xml:space="preserve">    23. Insurance</t>
        </is>
      </c>
      <c r="B35" s="9" t="n">
        <v>6839</v>
      </c>
      <c r="C35" s="9" t="n">
        <v>7676</v>
      </c>
      <c r="D35" s="9" t="n">
        <v>8535</v>
      </c>
      <c r="E35" s="9" t="n">
        <v>9483</v>
      </c>
      <c r="F35" s="9" t="n">
        <v>10921</v>
      </c>
      <c r="G35" s="9" t="n">
        <v>13009</v>
      </c>
    </row>
    <row r="36">
      <c r="A36" s="8" t="inlineStr">
        <is>
          <t xml:space="preserve">    24. PUMPING EXPENSE</t>
        </is>
      </c>
      <c r="B36" s="9" t="n">
        <v>130314</v>
      </c>
      <c r="C36" s="9" t="n">
        <v>188321</v>
      </c>
      <c r="D36" s="9" t="n">
        <v>172225</v>
      </c>
      <c r="E36" s="9" t="n">
        <v>153847</v>
      </c>
      <c r="F36" s="9" t="n">
        <v>182479</v>
      </c>
      <c r="G36" s="9" t="n">
        <v>210976</v>
      </c>
    </row>
    <row r="37">
      <c r="A37" s="8" t="inlineStr">
        <is>
          <t xml:space="preserve">    24. REPAIR AND MAINTENANCE</t>
        </is>
      </c>
      <c r="B37" s="9" t="n">
        <v>33461</v>
      </c>
      <c r="C37" s="9" t="n">
        <v>30762</v>
      </c>
      <c r="D37" s="9" t="n">
        <v>65984</v>
      </c>
      <c r="E37" s="9" t="n">
        <v>81155</v>
      </c>
      <c r="F37" s="9" t="n">
        <v>43178</v>
      </c>
      <c r="G37" s="9" t="n">
        <v>33333</v>
      </c>
    </row>
    <row r="38">
      <c r="A38" s="8" t="inlineStr">
        <is>
          <t xml:space="preserve">    24. MANAGEMENT</t>
        </is>
      </c>
      <c r="B38" s="9" t="n">
        <v>28862</v>
      </c>
      <c r="C38" s="9" t="n">
        <v>13205</v>
      </c>
      <c r="D38" s="9" t="n">
        <v>5612</v>
      </c>
      <c r="E38" s="9" t="n">
        <v>6427</v>
      </c>
      <c r="F38" s="9" t="n">
        <v>19778</v>
      </c>
      <c r="G38" s="9" t="n">
        <v>4990</v>
      </c>
    </row>
    <row r="39">
      <c r="A39" s="8" t="inlineStr">
        <is>
          <t xml:space="preserve">    24. PURIFICATION COST</t>
        </is>
      </c>
      <c r="B39" s="9" t="n">
        <v>9768</v>
      </c>
      <c r="C39" s="9" t="n">
        <v>23508</v>
      </c>
      <c r="D39" s="9" t="n">
        <v>29088</v>
      </c>
      <c r="E39" s="9" t="n">
        <v>27594</v>
      </c>
      <c r="F39" s="9" t="n">
        <v>24187</v>
      </c>
      <c r="G39" s="9" t="n">
        <v>20467</v>
      </c>
    </row>
    <row r="40">
      <c r="A40" s="8" t="inlineStr">
        <is>
          <t xml:space="preserve">    24e. All other expenses</t>
        </is>
      </c>
      <c r="B40" s="9" t="n">
        <v>2523</v>
      </c>
      <c r="C40" s="9" t="n">
        <v>3392</v>
      </c>
      <c r="D40" s="9" t="n">
        <v>2780</v>
      </c>
      <c r="E40" s="9" t="n">
        <v>2853</v>
      </c>
      <c r="F40" s="9" t="n">
        <v>2144</v>
      </c>
      <c r="G40" s="9" t="n">
        <v>4442</v>
      </c>
    </row>
    <row r="41">
      <c r="A41" s="10" t="inlineStr">
        <is>
          <t>25. Total functional expenses</t>
        </is>
      </c>
      <c r="B41" s="11">
        <f>SUM(B7:B40)</f>
        <v/>
      </c>
      <c r="C41" s="11">
        <f>SUM(C7:C40)</f>
        <v/>
      </c>
      <c r="D41" s="11">
        <f>SUM(D7:D40)</f>
        <v/>
      </c>
      <c r="E41" s="11">
        <f>SUM(E7:E40)</f>
        <v/>
      </c>
      <c r="F41" s="11">
        <f>SUM(F7:F40)</f>
        <v/>
      </c>
      <c r="G41" s="11">
        <f>SUM(G7:G40)</f>
        <v/>
      </c>
    </row>
    <row r="43">
      <c r="A43" s="6" t="inlineStr">
        <is>
          <t>Functional column split - FY2025 (col A = B + C + D)</t>
        </is>
      </c>
      <c r="B43" s="7" t="n"/>
      <c r="C43" s="7" t="n"/>
      <c r="D43" s="7" t="n"/>
      <c r="E43" s="7" t="n"/>
      <c r="F43" s="7" t="n"/>
      <c r="G43" s="7" t="n"/>
    </row>
    <row r="44">
      <c r="A44" s="5" t="inlineStr">
        <is>
          <t>Part IX line</t>
        </is>
      </c>
      <c r="B44" s="5" t="inlineStr">
        <is>
          <t>A. Total</t>
        </is>
      </c>
      <c r="C44" s="5" t="inlineStr">
        <is>
          <t>B. Program services</t>
        </is>
      </c>
      <c r="D44" s="5" t="inlineStr">
        <is>
          <t>C. Management &amp; general</t>
        </is>
      </c>
      <c r="E44" s="5" t="inlineStr">
        <is>
          <t>D. Fundraising</t>
        </is>
      </c>
    </row>
    <row r="45">
      <c r="A45" s="18" t="inlineStr">
        <is>
          <t>1. Grants to domestic organizations and governments</t>
        </is>
      </c>
      <c r="B45" s="9" t="n">
        <v>0</v>
      </c>
      <c r="C45" s="9" t="n"/>
      <c r="D45" s="9" t="n"/>
      <c r="E45" s="9" t="n"/>
    </row>
    <row r="46">
      <c r="A46" s="18" t="inlineStr">
        <is>
          <t>2. Grants to domestic individuals</t>
        </is>
      </c>
      <c r="B46" s="9" t="n">
        <v>0</v>
      </c>
      <c r="C46" s="9" t="n"/>
      <c r="D46" s="9" t="n"/>
      <c r="E46" s="9" t="n"/>
    </row>
    <row r="47">
      <c r="A47" s="18" t="inlineStr">
        <is>
          <t>3. Grants to foreign organizations and individuals</t>
        </is>
      </c>
      <c r="B47" s="9" t="n">
        <v>0</v>
      </c>
      <c r="C47" s="9" t="n"/>
      <c r="D47" s="9" t="n"/>
      <c r="E47" s="9" t="n"/>
    </row>
    <row r="48">
      <c r="A48" s="18" t="inlineStr">
        <is>
          <t>4. Benefits paid to or for members</t>
        </is>
      </c>
      <c r="B48" s="9" t="n">
        <v>0</v>
      </c>
      <c r="C48" s="9" t="n"/>
      <c r="D48" s="9" t="n"/>
      <c r="E48" s="9" t="n"/>
    </row>
    <row r="49">
      <c r="A49" s="18" t="inlineStr">
        <is>
          <t>5. Compensation of current officers, directors, trustees</t>
        </is>
      </c>
      <c r="B49" s="9" t="n">
        <v>0</v>
      </c>
      <c r="C49" s="9" t="n"/>
      <c r="D49" s="9" t="n"/>
      <c r="E49" s="9" t="n"/>
    </row>
    <row r="50">
      <c r="A50" s="18" t="inlineStr">
        <is>
          <t>6. Compensation to disqualified persons</t>
        </is>
      </c>
      <c r="B50" s="9" t="n">
        <v>0</v>
      </c>
      <c r="C50" s="9" t="n"/>
      <c r="D50" s="9" t="n"/>
      <c r="E50" s="9" t="n"/>
    </row>
    <row r="51">
      <c r="A51" s="18" t="inlineStr">
        <is>
          <t>7. Other salaries and wages</t>
        </is>
      </c>
      <c r="B51" s="9" t="n">
        <v>0</v>
      </c>
      <c r="C51" s="9" t="n"/>
      <c r="D51" s="9" t="n"/>
      <c r="E51" s="9" t="n"/>
    </row>
    <row r="52">
      <c r="A52" s="18" t="inlineStr">
        <is>
          <t>8. Pension plan accruals and contributions</t>
        </is>
      </c>
      <c r="B52" s="9" t="n">
        <v>0</v>
      </c>
      <c r="C52" s="9" t="n"/>
      <c r="D52" s="9" t="n"/>
      <c r="E52" s="9" t="n"/>
    </row>
    <row r="53">
      <c r="A53" s="18" t="inlineStr">
        <is>
          <t>9. Other employee benefits</t>
        </is>
      </c>
      <c r="B53" s="9" t="n">
        <v>0</v>
      </c>
      <c r="C53" s="9" t="n"/>
      <c r="D53" s="9" t="n"/>
      <c r="E53" s="9" t="n"/>
    </row>
    <row r="54">
      <c r="A54" s="18" t="inlineStr">
        <is>
          <t>10. Payroll taxes</t>
        </is>
      </c>
      <c r="B54" s="9" t="n">
        <v>0</v>
      </c>
      <c r="C54" s="9" t="n"/>
      <c r="D54" s="9" t="n"/>
      <c r="E54" s="9" t="n"/>
    </row>
    <row r="55">
      <c r="A55" s="18" t="inlineStr">
        <is>
          <t>11a. Fees for services: management</t>
        </is>
      </c>
      <c r="B55" s="9" t="n">
        <v>0</v>
      </c>
      <c r="C55" s="9" t="n"/>
      <c r="D55" s="9" t="n"/>
      <c r="E55" s="9" t="n"/>
    </row>
    <row r="56">
      <c r="A56" s="18" t="inlineStr">
        <is>
          <t>11b. Fees for services: legal</t>
        </is>
      </c>
      <c r="B56" s="9" t="n">
        <v>0</v>
      </c>
      <c r="C56" s="9" t="n"/>
      <c r="D56" s="9" t="n"/>
      <c r="E56" s="9" t="n"/>
    </row>
    <row r="57">
      <c r="A57" s="18" t="inlineStr">
        <is>
          <t>11c. Fees for services: accounting</t>
        </is>
      </c>
      <c r="B57" s="9" t="n">
        <v>2374</v>
      </c>
      <c r="C57" s="9" t="n"/>
      <c r="D57" s="9" t="n"/>
      <c r="E57" s="9" t="n"/>
    </row>
    <row r="58">
      <c r="A58" s="18" t="inlineStr">
        <is>
          <t>11d. Fees for services: lobbying</t>
        </is>
      </c>
      <c r="B58" s="9" t="n">
        <v>0</v>
      </c>
      <c r="C58" s="9" t="n"/>
      <c r="D58" s="9" t="n"/>
      <c r="E58" s="9" t="n"/>
    </row>
    <row r="59">
      <c r="A59" s="18" t="inlineStr">
        <is>
          <t>11e. Fees for services: professional fundraising</t>
        </is>
      </c>
      <c r="B59" s="9" t="n">
        <v>0</v>
      </c>
      <c r="C59" s="9" t="n"/>
      <c r="D59" s="9" t="n"/>
      <c r="E59" s="9" t="n"/>
    </row>
    <row r="60">
      <c r="A60" s="18" t="inlineStr">
        <is>
          <t>11f. Fees for services: investment management</t>
        </is>
      </c>
      <c r="B60" s="9" t="n">
        <v>0</v>
      </c>
      <c r="C60" s="9" t="n"/>
      <c r="D60" s="9" t="n"/>
      <c r="E60" s="9" t="n"/>
    </row>
    <row r="61">
      <c r="A61" s="18" t="inlineStr">
        <is>
          <t>11g. Fees for services: other</t>
        </is>
      </c>
      <c r="B61" s="9" t="n">
        <v>0</v>
      </c>
      <c r="C61" s="9" t="n"/>
      <c r="D61" s="9" t="n"/>
      <c r="E61" s="9" t="n"/>
    </row>
    <row r="62">
      <c r="A62" s="18" t="inlineStr">
        <is>
          <t>12. Advertising and promotion</t>
        </is>
      </c>
      <c r="B62" s="9" t="n">
        <v>0</v>
      </c>
      <c r="C62" s="9" t="n"/>
      <c r="D62" s="9" t="n"/>
      <c r="E62" s="9" t="n"/>
    </row>
    <row r="63">
      <c r="A63" s="18" t="inlineStr">
        <is>
          <t>13. Office expenses</t>
        </is>
      </c>
      <c r="B63" s="9" t="n">
        <v>0</v>
      </c>
      <c r="C63" s="9" t="n"/>
      <c r="D63" s="9" t="n"/>
      <c r="E63" s="9" t="n"/>
    </row>
    <row r="64">
      <c r="A64" s="18" t="inlineStr">
        <is>
          <t>14. Information technology</t>
        </is>
      </c>
      <c r="B64" s="9" t="n">
        <v>0</v>
      </c>
      <c r="C64" s="9" t="n"/>
      <c r="D64" s="9" t="n"/>
      <c r="E64" s="9" t="n"/>
    </row>
    <row r="65">
      <c r="A65" s="18" t="inlineStr">
        <is>
          <t>15. Royalties</t>
        </is>
      </c>
      <c r="B65" s="9" t="n">
        <v>0</v>
      </c>
      <c r="C65" s="9" t="n"/>
      <c r="D65" s="9" t="n"/>
      <c r="E65" s="9" t="n"/>
    </row>
    <row r="66">
      <c r="A66" s="18" t="inlineStr">
        <is>
          <t>16. Occupancy</t>
        </is>
      </c>
      <c r="B66" s="9" t="n">
        <v>0</v>
      </c>
      <c r="C66" s="9" t="n"/>
      <c r="D66" s="9" t="n"/>
      <c r="E66" s="9" t="n"/>
    </row>
    <row r="67">
      <c r="A67" s="18" t="inlineStr">
        <is>
          <t>17. Travel</t>
        </is>
      </c>
      <c r="B67" s="9" t="n">
        <v>0</v>
      </c>
      <c r="C67" s="9" t="n"/>
      <c r="D67" s="9" t="n"/>
      <c r="E67" s="9" t="n"/>
    </row>
    <row r="68">
      <c r="A68" s="18" t="inlineStr">
        <is>
          <t>18. Payments of travel/entertainment for public officials</t>
        </is>
      </c>
      <c r="B68" s="9" t="n">
        <v>0</v>
      </c>
      <c r="C68" s="9" t="n"/>
      <c r="D68" s="9" t="n"/>
      <c r="E68" s="9" t="n"/>
    </row>
    <row r="69">
      <c r="A69" s="18" t="inlineStr">
        <is>
          <t>19. Conferences, conventions, and meetings</t>
        </is>
      </c>
      <c r="B69" s="9" t="n">
        <v>0</v>
      </c>
      <c r="C69" s="9" t="n"/>
      <c r="D69" s="9" t="n"/>
      <c r="E69" s="9" t="n"/>
    </row>
    <row r="70">
      <c r="A70" s="18" t="inlineStr">
        <is>
          <t>20. Interest</t>
        </is>
      </c>
      <c r="B70" s="9" t="n">
        <v>0</v>
      </c>
      <c r="C70" s="9" t="n"/>
      <c r="D70" s="9" t="n"/>
      <c r="E70" s="9" t="n"/>
    </row>
    <row r="71">
      <c r="A71" s="18" t="inlineStr">
        <is>
          <t>21. Payments to affiliates</t>
        </is>
      </c>
      <c r="B71" s="9" t="n">
        <v>0</v>
      </c>
      <c r="C71" s="9" t="n"/>
      <c r="D71" s="9" t="n"/>
      <c r="E71" s="9" t="n"/>
    </row>
    <row r="72">
      <c r="A72" s="18" t="inlineStr">
        <is>
          <t>22. Depreciation, depletion, and amortization</t>
        </is>
      </c>
      <c r="B72" s="9" t="n">
        <v>26635</v>
      </c>
      <c r="C72" s="9" t="n"/>
      <c r="D72" s="9" t="n"/>
      <c r="E72" s="9" t="n"/>
    </row>
    <row r="73">
      <c r="A73" s="18" t="inlineStr">
        <is>
          <t>23. Insurance</t>
        </is>
      </c>
      <c r="B73" s="9" t="n">
        <v>13009</v>
      </c>
      <c r="C73" s="9" t="n"/>
      <c r="D73" s="9" t="n"/>
      <c r="E73" s="9" t="n"/>
    </row>
    <row r="74">
      <c r="A74" s="10" t="inlineStr">
        <is>
          <t>25. Total (filed col A / B / C / D)</t>
        </is>
      </c>
      <c r="B74" s="11" t="n">
        <v>316226</v>
      </c>
      <c r="C74" s="11" t="n">
        <v>0</v>
      </c>
      <c r="D74" s="11" t="n">
        <v>0</v>
      </c>
      <c r="E74" s="11" t="n">
        <v>0</v>
      </c>
    </row>
    <row r="76" ht="42" customHeight="1">
      <c r="A7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6:G76"/>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Balance Sheet - Form 990 Part X (end of year, USD)</t>
        </is>
      </c>
    </row>
    <row r="3">
      <c r="A3" s="2" t="inlineStr">
        <is>
          <t>Entity ID: cawc_0013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141161</v>
      </c>
      <c r="C7" s="9" t="n">
        <v>106290</v>
      </c>
      <c r="D7" s="9" t="n">
        <v>216148</v>
      </c>
      <c r="E7" s="9" t="n">
        <v>209475</v>
      </c>
      <c r="F7" s="9" t="n">
        <v>308059</v>
      </c>
      <c r="G7" s="9" t="n">
        <v>396287</v>
      </c>
    </row>
    <row r="8">
      <c r="A8" s="8" t="inlineStr">
        <is>
          <t xml:space="preserve">    2. Savings and temporary cash investments</t>
        </is>
      </c>
      <c r="B8" s="9" t="n">
        <v>0</v>
      </c>
      <c r="C8" s="9" t="n">
        <v>0</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73810</v>
      </c>
      <c r="C10" s="9" t="n">
        <v>122629</v>
      </c>
      <c r="D10" s="9" t="n">
        <v>97354</v>
      </c>
      <c r="E10" s="9" t="n">
        <v>92864</v>
      </c>
      <c r="F10" s="9" t="n">
        <v>199505</v>
      </c>
      <c r="G10" s="9" t="n">
        <v>145168</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234464</v>
      </c>
      <c r="C16" s="9" t="n">
        <v>205982</v>
      </c>
      <c r="D16" s="9" t="n">
        <v>183743</v>
      </c>
      <c r="E16" s="9" t="n">
        <v>199315</v>
      </c>
      <c r="F16" s="9" t="n">
        <v>173382</v>
      </c>
      <c r="G16" s="9" t="n">
        <v>146747</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7494</v>
      </c>
      <c r="C21" s="9" t="n">
        <v>0</v>
      </c>
      <c r="D21" s="9" t="n">
        <v>0</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47744</v>
      </c>
      <c r="C25" s="9" t="n">
        <v>38796</v>
      </c>
      <c r="D25" s="9" t="n">
        <v>41801</v>
      </c>
      <c r="E25" s="9" t="n">
        <v>62243</v>
      </c>
      <c r="F25" s="9" t="n">
        <v>137370</v>
      </c>
      <c r="G25" s="9" t="n">
        <v>87324</v>
      </c>
    </row>
    <row r="26">
      <c r="A26" s="10" t="inlineStr">
        <is>
          <t>26. Total liabilities</t>
        </is>
      </c>
      <c r="B26" s="11">
        <f>SUM(B25:B25)</f>
        <v/>
      </c>
      <c r="C26" s="11">
        <f>SUM(C25:C25)</f>
        <v/>
      </c>
      <c r="D26" s="11">
        <f>SUM(D25:D25)</f>
        <v/>
      </c>
      <c r="E26" s="11">
        <f>SUM(E25:E25)</f>
        <v/>
      </c>
      <c r="F26" s="11">
        <f>SUM(F25:F25)</f>
        <v/>
      </c>
      <c r="G26" s="11">
        <f>SUM(G25:G25)</f>
        <v/>
      </c>
    </row>
    <row r="28">
      <c r="A28" s="6" t="inlineStr">
        <is>
          <t>Net assets / fund balances</t>
        </is>
      </c>
      <c r="B28" s="7" t="n"/>
      <c r="C28" s="7" t="n"/>
      <c r="D28" s="7" t="n"/>
      <c r="E28" s="7" t="n"/>
      <c r="F28" s="7" t="n"/>
      <c r="G28" s="7" t="n"/>
    </row>
    <row r="29">
      <c r="A29" s="8" t="inlineStr">
        <is>
          <t xml:space="preserve">    29. Capital stock or trust principal</t>
        </is>
      </c>
      <c r="B29" s="9" t="n">
        <v>5656</v>
      </c>
      <c r="C29" s="9" t="n">
        <v>5656</v>
      </c>
      <c r="D29" s="9" t="n">
        <v>5656</v>
      </c>
      <c r="E29" s="9" t="n">
        <v>5656</v>
      </c>
      <c r="F29" s="9" t="n">
        <v>5656</v>
      </c>
      <c r="G29" s="9" t="n">
        <v>5656</v>
      </c>
    </row>
    <row r="30">
      <c r="A30" s="8" t="inlineStr">
        <is>
          <t xml:space="preserve">    30. Paid-in or capital surplus</t>
        </is>
      </c>
      <c r="B30" s="9" t="n">
        <v>112947</v>
      </c>
      <c r="C30" s="9" t="n">
        <v>112947</v>
      </c>
      <c r="D30" s="9" t="n">
        <v>112947</v>
      </c>
      <c r="E30" s="9" t="n">
        <v>112947</v>
      </c>
      <c r="F30" s="9" t="n">
        <v>112947</v>
      </c>
      <c r="G30" s="9" t="n">
        <v>112947</v>
      </c>
    </row>
    <row r="31">
      <c r="A31" s="8" t="inlineStr">
        <is>
          <t xml:space="preserve">    31. Retained earnings / accumulated funds</t>
        </is>
      </c>
      <c r="B31" s="9" t="n">
        <v>290582</v>
      </c>
      <c r="C31" s="9" t="n">
        <v>277502</v>
      </c>
      <c r="D31" s="9" t="n">
        <v>336841</v>
      </c>
      <c r="E31" s="9" t="n">
        <v>320808</v>
      </c>
      <c r="F31" s="9" t="n">
        <v>424973</v>
      </c>
      <c r="G31" s="9" t="n">
        <v>482275</v>
      </c>
    </row>
    <row r="32">
      <c r="A32" s="10" t="inlineStr">
        <is>
          <t>32. Total net assets / fund balances</t>
        </is>
      </c>
      <c r="B32" s="11">
        <f>SUM(B29:B31)</f>
        <v/>
      </c>
      <c r="C32" s="11">
        <f>SUM(C29:C31)</f>
        <v/>
      </c>
      <c r="D32" s="11">
        <f>SUM(D29:D31)</f>
        <v/>
      </c>
      <c r="E32" s="11">
        <f>SUM(E29:E31)</f>
        <v/>
      </c>
      <c r="F32" s="11">
        <f>SUM(F29:F31)</f>
        <v/>
      </c>
      <c r="G32" s="11">
        <f>SUM(G29:G31)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4:G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Reconciliation of Net Assets - Form 990 Part XI (USD)</t>
        </is>
      </c>
    </row>
    <row r="3">
      <c r="A3" s="2" t="inlineStr">
        <is>
          <t>Entity ID: cawc_0013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409185</v>
      </c>
      <c r="C7" s="9" t="n">
        <v>409185</v>
      </c>
      <c r="D7" s="9" t="n">
        <v>396105</v>
      </c>
      <c r="E7" s="9" t="n">
        <v>455444</v>
      </c>
      <c r="F7" s="9" t="n">
        <v>439411</v>
      </c>
      <c r="G7" s="9" t="n">
        <v>543576</v>
      </c>
    </row>
    <row r="8">
      <c r="A8" s="8" t="inlineStr">
        <is>
          <t xml:space="preserve">    3. Revenue less expenses</t>
        </is>
      </c>
      <c r="B8" s="9" t="n">
        <v>0</v>
      </c>
      <c r="C8" s="9" t="n">
        <v>-40153</v>
      </c>
      <c r="D8" s="9" t="n">
        <v>32171</v>
      </c>
      <c r="E8" s="9" t="n">
        <v>-43106</v>
      </c>
      <c r="F8" s="9" t="n">
        <v>77092</v>
      </c>
      <c r="G8" s="9" t="n">
        <v>30229</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9" t="n">
        <v>27073</v>
      </c>
      <c r="D10" s="9" t="n">
        <v>27168</v>
      </c>
      <c r="E10" s="9" t="n">
        <v>27073</v>
      </c>
      <c r="F10" s="9" t="n">
        <v>27073</v>
      </c>
      <c r="G10" s="9" t="n">
        <v>27073</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Cash Flow Proxies - derived (USD)</t>
        </is>
      </c>
    </row>
    <row r="3">
      <c r="A3" s="2" t="inlineStr">
        <is>
          <t>Entity ID: cawc_0013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0</v>
      </c>
      <c r="C9" s="9" t="n">
        <v>-40153</v>
      </c>
      <c r="D9" s="9" t="n">
        <v>32171</v>
      </c>
      <c r="E9" s="9" t="n">
        <v>-43106</v>
      </c>
      <c r="F9" s="9" t="n">
        <v>77092</v>
      </c>
      <c r="G9" s="9" t="n">
        <v>30229</v>
      </c>
    </row>
    <row r="10">
      <c r="A10" s="8" t="inlineStr">
        <is>
          <t xml:space="preserve">    + Depreciation (reported)</t>
        </is>
      </c>
      <c r="B10" s="9" t="n">
        <v>36740</v>
      </c>
      <c r="C10" s="9" t="n">
        <v>28482</v>
      </c>
      <c r="D10" s="9" t="n">
        <v>22239</v>
      </c>
      <c r="E10" s="9" t="n">
        <v>21743</v>
      </c>
      <c r="F10" s="9" t="n">
        <v>25933</v>
      </c>
      <c r="G10" s="9" t="n">
        <v>26635</v>
      </c>
    </row>
    <row r="11">
      <c r="A11" s="8" t="inlineStr">
        <is>
          <t xml:space="preserve">    − Δ Accounts receivable</t>
        </is>
      </c>
      <c r="B11" s="9" t="n"/>
      <c r="C11" s="9" t="n">
        <v>-48819</v>
      </c>
      <c r="D11" s="9" t="n">
        <v>25275</v>
      </c>
      <c r="E11" s="9" t="n">
        <v>4490</v>
      </c>
      <c r="F11" s="9" t="n">
        <v>-106641</v>
      </c>
      <c r="G11" s="9" t="n">
        <v>54337</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v>-8948</v>
      </c>
      <c r="D14" s="9" t="n">
        <v>3005</v>
      </c>
      <c r="E14" s="9" t="n">
        <v>20442</v>
      </c>
      <c r="F14" s="9" t="n">
        <v>75127</v>
      </c>
      <c r="G14" s="9" t="n">
        <v>-50046</v>
      </c>
    </row>
    <row r="15">
      <c r="A15" s="10" t="inlineStr">
        <is>
          <t xml:space="preserve">    Operating cash flow proxy</t>
        </is>
      </c>
      <c r="B15" s="11" t="n"/>
      <c r="C15" s="11" t="n">
        <v>-69438</v>
      </c>
      <c r="D15" s="11" t="n">
        <v>82690</v>
      </c>
      <c r="E15" s="11" t="n">
        <v>3569</v>
      </c>
      <c r="F15" s="11" t="n">
        <v>71511</v>
      </c>
      <c r="G15" s="11" t="n">
        <v>61155</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-37315</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-34871</v>
      </c>
      <c r="D24" s="11" t="n">
        <v>109858</v>
      </c>
      <c r="E24" s="11" t="n">
        <v>-6673</v>
      </c>
      <c r="F24" s="11" t="n">
        <v>98584</v>
      </c>
      <c r="G24" s="11" t="n">
        <v>88228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Community Mutual Water Company</t>
        </is>
      </c>
    </row>
    <row r="2">
      <c r="A2" s="2" t="inlineStr">
        <is>
          <t>Financial Ratios</t>
        </is>
      </c>
    </row>
    <row r="3">
      <c r="A3" s="2" t="inlineStr">
        <is>
          <t>Entity ID: cawc_0013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v>
      </c>
      <c r="C7" s="12" t="n">
        <v>-0.1559006814078546</v>
      </c>
      <c r="D7" s="12" t="n">
        <v>0.09421325445866401</v>
      </c>
      <c r="E7" s="12" t="n">
        <v>-0.1644815165298086</v>
      </c>
      <c r="F7" s="12" t="n">
        <v>0.1987598777925309</v>
      </c>
      <c r="G7" s="12" t="n">
        <v>0.08725231271016438</v>
      </c>
    </row>
    <row r="8">
      <c r="A8" s="8" t="inlineStr">
        <is>
          <t xml:space="preserve">    Expense ratio (expenses / revenue)</t>
        </is>
      </c>
      <c r="B8" s="12" t="n">
        <v>1</v>
      </c>
      <c r="C8" s="12" t="n">
        <v>1.155900681407855</v>
      </c>
      <c r="D8" s="12" t="n">
        <v>0.905786745541336</v>
      </c>
      <c r="E8" s="12" t="n">
        <v>1.164481516529809</v>
      </c>
      <c r="F8" s="12" t="n">
        <v>0.8012401222074691</v>
      </c>
      <c r="G8" s="12" t="n">
        <v>0.9127476872898356</v>
      </c>
    </row>
    <row r="9">
      <c r="A9" s="8" t="inlineStr">
        <is>
          <t xml:space="preserve">    Return on assets (NI / assets)</t>
        </is>
      </c>
      <c r="B9" s="12" t="n">
        <v>0</v>
      </c>
      <c r="C9" s="12" t="n">
        <v>-0.09232675942340901</v>
      </c>
      <c r="D9" s="12" t="n">
        <v>0.06469848867258594</v>
      </c>
      <c r="E9" s="12" t="n">
        <v>-0.08592775099969302</v>
      </c>
      <c r="F9" s="12" t="n">
        <v>0.1132130888499235</v>
      </c>
      <c r="G9" s="12" t="n">
        <v>0.04392460353210249</v>
      </c>
    </row>
    <row r="10">
      <c r="A10" s="8" t="inlineStr">
        <is>
          <t xml:space="preserve">    Revenue growth (YoY)</t>
        </is>
      </c>
      <c r="B10" s="12" t="n"/>
      <c r="C10" s="12" t="n">
        <v>0.02496398468652749</v>
      </c>
      <c r="D10" s="12" t="n">
        <v>0.3258139038263672</v>
      </c>
      <c r="E10" s="12" t="n">
        <v>-0.2325182300055642</v>
      </c>
      <c r="F10" s="12" t="n">
        <v>0.4799940474373455</v>
      </c>
      <c r="G10" s="12" t="n">
        <v>-0.106763951374834</v>
      </c>
    </row>
    <row r="12">
      <c r="A12" s="6" t="inlineStr">
        <is>
          <t>Leverage &amp; solvency</t>
        </is>
      </c>
      <c r="B12" s="7" t="n"/>
      <c r="C12" s="7" t="n"/>
      <c r="D12" s="7" t="n"/>
      <c r="E12" s="7" t="n"/>
      <c r="F12" s="7" t="n"/>
      <c r="G12" s="7" t="n"/>
    </row>
    <row r="13">
      <c r="A13" s="8" t="inlineStr">
        <is>
          <t xml:space="preserve">    Debt-to-assets (liab. / assets)</t>
        </is>
      </c>
      <c r="B13" s="12" t="n">
        <v>0.1044888812047386</v>
      </c>
      <c r="C13" s="12" t="n">
        <v>0.0892065090675809</v>
      </c>
      <c r="D13" s="12" t="n">
        <v>0.08406519924785569</v>
      </c>
      <c r="E13" s="12" t="n">
        <v>0.1240755580539575</v>
      </c>
      <c r="F13" s="12" t="n">
        <v>0.2017340582072587</v>
      </c>
      <c r="G13" s="12" t="n">
        <v>0.1268871639431446</v>
      </c>
    </row>
    <row r="14">
      <c r="A14" s="8" t="inlineStr">
        <is>
          <t xml:space="preserve">    Equity ratio (net assets / assets)</t>
        </is>
      </c>
      <c r="B14" s="12" t="n">
        <v>0.8955111187952615</v>
      </c>
      <c r="C14" s="12" t="n">
        <v>0.9107934909324191</v>
      </c>
      <c r="D14" s="12" t="n">
        <v>0.9159348007521443</v>
      </c>
      <c r="E14" s="12" t="n">
        <v>0.8759244419460425</v>
      </c>
      <c r="F14" s="12" t="n">
        <v>0.7982659417927412</v>
      </c>
      <c r="G14" s="12" t="n">
        <v>0.8731128360568554</v>
      </c>
    </row>
    <row r="16">
      <c r="A16" s="6" t="inlineStr">
        <is>
          <t>Liquidity &amp; asset profile (derived here)</t>
        </is>
      </c>
      <c r="B16" s="7" t="n"/>
      <c r="C16" s="7" t="n"/>
      <c r="D16" s="7" t="n"/>
      <c r="E16" s="7" t="n"/>
      <c r="F16" s="7" t="n"/>
      <c r="G16" s="7" t="n"/>
    </row>
    <row r="17">
      <c r="A17" s="8" t="inlineStr">
        <is>
          <t xml:space="preserve">    Current ratio (current assets / AP)</t>
        </is>
      </c>
      <c r="B17" s="19" t="n">
        <v>4.50257623994638</v>
      </c>
      <c r="C17" s="19" t="n">
        <v>5.900582534281885</v>
      </c>
      <c r="D17" s="19" t="n">
        <v>7.499868424200378</v>
      </c>
      <c r="E17" s="19" t="n">
        <v>4.857397619009366</v>
      </c>
      <c r="F17" s="19" t="n">
        <v>3.694867875081896</v>
      </c>
      <c r="G17" s="19" t="n">
        <v>6.200529064174797</v>
      </c>
    </row>
    <row r="18">
      <c r="A18" s="8" t="inlineStr">
        <is>
          <t xml:space="preserve">    Cash ratio ((cash+temp inv.) / total liab.)</t>
        </is>
      </c>
      <c r="B18" s="19" t="n">
        <v>2.956622821715817</v>
      </c>
      <c r="C18" s="19" t="n">
        <v>2.739715434580885</v>
      </c>
      <c r="D18" s="19" t="n">
        <v>5.170881079400014</v>
      </c>
      <c r="E18" s="19" t="n">
        <v>3.365438683868065</v>
      </c>
      <c r="F18" s="19" t="n">
        <v>2.242549319356482</v>
      </c>
      <c r="G18" s="19" t="n">
        <v>4.538122394759745</v>
      </c>
    </row>
    <row r="19">
      <c r="A19" s="8" t="inlineStr">
        <is>
          <t xml:space="preserve">    Asset age proxy (accum. deprec. / gross PP&amp;E)</t>
        </is>
      </c>
      <c r="B19" s="12" t="n">
        <v>0.6868828508318576</v>
      </c>
      <c r="C19" s="12" t="n">
        <v>0.7249194050261349</v>
      </c>
      <c r="D19" s="12" t="n">
        <v>0.7546186862818941</v>
      </c>
      <c r="E19" s="12" t="n">
        <v>0.7464576063990149</v>
      </c>
      <c r="F19" s="12" t="n">
        <v>0.7794461666842636</v>
      </c>
      <c r="G19" s="12" t="n">
        <v>0.8133277192696798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Community Mutual Water Company</t>
        </is>
      </c>
    </row>
    <row r="2">
      <c r="A2" s="2" t="inlineStr">
        <is>
          <t>Unit economics - per-customer revenue by category (USD)</t>
        </is>
      </c>
    </row>
    <row r="3">
      <c r="A3" s="2" t="inlineStr">
        <is>
          <t>Entity ID: cawc_0013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36</v>
      </c>
      <c r="C6" s="22" t="inlineStr">
        <is>
          <t>State Water Board eAR Section 4 (CurTotalConnections), reporting year 2023</t>
        </is>
      </c>
    </row>
    <row r="7">
      <c r="A7" s="20" t="inlineStr">
        <is>
          <t>Total annual revenue (eAR Section 8b B1.8)</t>
        </is>
      </c>
      <c r="B7" s="9" t="n">
        <v>412478</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412478</v>
      </c>
      <c r="D12" s="25" t="n">
        <v>11457.72</v>
      </c>
      <c r="E12" s="26" t="n">
        <v>1</v>
      </c>
    </row>
    <row r="13">
      <c r="A13" s="8" t="inlineStr">
        <is>
          <t>Assessment revenue (990 program-service revenue not matched to eAR water-rate revenue)</t>
        </is>
      </c>
      <c r="B13" s="24" t="inlineStr">
        <is>
          <t>DERIVED</t>
        </is>
      </c>
      <c r="C13" s="9" t="n">
        <v>-150406</v>
      </c>
      <c r="D13" s="25" t="n">
        <v>-4177.94</v>
      </c>
      <c r="E13" s="26" t="n">
        <v>-0.5739</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412478</v>
      </c>
      <c r="C19" s="22" t="inlineStr">
        <is>
          <t>eAR Section 8b field B1.1 (residential water rates) + B1.2 (non-residential water rates). State Water Board eAR Section 8b, question B1.1 + B1.2 (revenue from water rates), reporting year 2023</t>
        </is>
      </c>
    </row>
    <row r="20">
      <c r="A20" s="20" t="inlineStr">
        <is>
          <t>Denominator: Total service connections</t>
        </is>
      </c>
      <c r="B20" s="21" t="n">
        <v>36</v>
      </c>
      <c r="C20" s="22" t="inlineStr">
        <is>
          <t>eAR Section 4 CurTotalConnections, reporting year 2023. State Water Board eAR Section 4 (CurTotalConnections), reporting year 2023</t>
        </is>
      </c>
    </row>
    <row r="21" ht="36" customHeight="1">
      <c r="A21" s="3" t="inlineStr">
        <is>
          <t>Per customer: water rate revenue $412,478 / 36 connections = $11,457.72 per connection</t>
        </is>
      </c>
    </row>
    <row r="22" ht="36" customHeight="1">
      <c r="A22" s="3" t="inlineStr">
        <is>
          <t>Share of revenue: water rate revenue $412,478 / total annual revenue (eAR Section 8b B1.8) $412,478 = 100.00%</t>
        </is>
      </c>
    </row>
    <row r="23" ht="66" customHeight="1">
      <c r="A23" s="3" t="inlineStr">
        <is>
          <t>Period treatment: Numerator (eAR Section 8b, the calendar year 2023)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262072</v>
      </c>
      <c r="C28" s="22" t="inlineStr">
        <is>
          <t>Form 990 Part VIII line 2 (total program-service revenue), fiscal year 2023 ending December 31, 2023</t>
        </is>
      </c>
    </row>
    <row r="29">
      <c r="A29" s="20" t="inlineStr">
        <is>
          <t>Input B: eAR water-rate revenue</t>
        </is>
      </c>
      <c r="B29" s="9" t="n">
        <v>412478</v>
      </c>
      <c r="C29" s="22" t="inlineStr">
        <is>
          <t>State Water Board eAR Section 8b, question B1.1 + B1.2 (revenue from water rates), reporting year 2023</t>
        </is>
      </c>
    </row>
    <row r="30">
      <c r="A30" s="15" t="inlineStr">
        <is>
          <t>Residual (A minus B) = assessment revenue</t>
        </is>
      </c>
      <c r="B30" s="16">
        <f>B28-B29</f>
        <v/>
      </c>
      <c r="C30" s="22" t="inlineStr">
        <is>
          <t>$262,072 (990 program-service revenue) minus $412,478 (eAR water-rate revenue) = $-150,406</t>
        </is>
      </c>
    </row>
    <row r="31" ht="66" customHeight="1">
      <c r="A31" s="3" t="inlineStr">
        <is>
          <t>Period alignment: Both inputs cover the same period: the eAR Section 8b is the calendar year 2023 and the Form 990 fiscal year 2023 ends December 31, 2023,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36</v>
      </c>
      <c r="C34" s="22" t="inlineStr">
        <is>
          <t>eAR Section 4 CurTotalConnections, reporting year 2023. State Water Board eAR Section 4 (CurTotalConnections), reporting year 2023</t>
        </is>
      </c>
    </row>
    <row r="35" ht="36" customHeight="1">
      <c r="A35" s="3" t="inlineStr">
        <is>
          <t>Per customer: residual $-150,406 / 36 connections = $-4,177.94 per connection</t>
        </is>
      </c>
    </row>
    <row r="36" ht="36" customHeight="1">
      <c r="A36" s="3" t="inlineStr">
        <is>
          <t>Share of revenue: residual $-150,406 / 990 program-service revenue $262,072 = -57.39%</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Community Mutual Water Company</t>
        </is>
      </c>
    </row>
    <row r="2">
      <c r="A2" s="2" t="inlineStr">
        <is>
          <t>Rate structure and representative bill - eAR Section 8a (RY2023)</t>
        </is>
      </c>
    </row>
    <row r="3">
      <c r="A3" s="2" t="inlineStr">
        <is>
          <t>Entity ID: cawc_0013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141" customHeight="1">
      <c r="A6" s="3" t="inlineStr">
        <is>
          <t>A filed eAR Section 8a rate schedule IS staged for this system, reporting year 2023, carrying a residential rate structure filed as "Fixed Base", a billing frequency of Q. It carries no single-family residential charges grid (no base charge and no tier prices), so a representative monthly bill is not computable as a monthly bill for this system. Nothing here is estimated to fill the gap.</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Community Mutual Water Company</t>
        </is>
      </c>
    </row>
    <row r="2">
      <c r="A2" s="2" t="inlineStr">
        <is>
          <t>eAR annual revenue and expenses - State Water Board eAR Section 8b (USD)</t>
        </is>
      </c>
    </row>
    <row r="3">
      <c r="A3" s="2" t="inlineStr">
        <is>
          <t>Entity ID: cawc_0013   |   Fiscal year ends December 31.</t>
        </is>
      </c>
    </row>
    <row r="5" ht="141" customHeight="1">
      <c r="A5" s="3" t="inlineStr">
        <is>
          <t>The water system's own annual figures from the public eAR Section 8b, on the calendar year 2023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calendar year 2023</t>
        </is>
      </c>
      <c r="C6" s="22"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412478</v>
      </c>
      <c r="C10" s="22" t="inlineStr">
        <is>
          <t>State Water Board eAR Section 8b, question B1.1 + B1.2 (revenue from water rates), reporting year 2023</t>
        </is>
      </c>
    </row>
    <row r="11">
      <c r="A11" s="20" t="inlineStr">
        <is>
          <t>Other fees and charges</t>
        </is>
      </c>
      <c r="B11" s="9" t="n">
        <v>0</v>
      </c>
      <c r="C11" s="22" t="inlineStr">
        <is>
          <t>State Water Board eAR Section 8b, question B1.3 + B1.4 (revenue from other fees), reporting year 2023</t>
        </is>
      </c>
    </row>
    <row r="12">
      <c r="A12" s="20" t="inlineStr">
        <is>
          <t>Non-customer revenue</t>
        </is>
      </c>
      <c r="B12" s="9" t="n">
        <v>0</v>
      </c>
      <c r="C12" s="22" t="inlineStr">
        <is>
          <t>State Water Board eAR Section 8b, question B1.7 (grants, interest, and other non-customer), reporting year 2023</t>
        </is>
      </c>
    </row>
    <row r="13">
      <c r="A13" s="20" t="inlineStr">
        <is>
          <t>Total annual revenue</t>
        </is>
      </c>
      <c r="B13" s="29" t="n">
        <v>412478</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256845</v>
      </c>
      <c r="C17" s="22" t="inlineStr">
        <is>
          <t>State Water Board eAR Section 8b, question B2.1 (annual O and M expense), reporting year 2023</t>
        </is>
      </c>
    </row>
    <row r="18">
      <c r="A18" s="20" t="inlineStr">
        <is>
          <t>Capital</t>
        </is>
      </c>
      <c r="B18" s="9" t="n">
        <v>0</v>
      </c>
      <c r="C18" s="22" t="inlineStr">
        <is>
          <t>State Water Board eAR Section 8b, question B2.2 (annual expenses from investing or capital), reporting year 2023</t>
        </is>
      </c>
    </row>
    <row r="19">
      <c r="A19" s="20" t="inlineStr">
        <is>
          <t>Financing</t>
        </is>
      </c>
      <c r="B19" s="9" t="n">
        <v>0</v>
      </c>
      <c r="C19" s="22" t="inlineStr">
        <is>
          <t>State Water Board eAR Section 8b, question B2.3 (annual expenses from financing), reporting year 2023</t>
        </is>
      </c>
    </row>
    <row r="20">
      <c r="A20" s="20" t="inlineStr">
        <is>
          <t>Other</t>
        </is>
      </c>
      <c r="B20" s="9" t="n">
        <v>111010</v>
      </c>
      <c r="C20" s="22" t="inlineStr">
        <is>
          <t>State Water Board eAR Section 8b, question B2.4 (total other annual expenses), reporting year 2023</t>
        </is>
      </c>
    </row>
    <row r="21">
      <c r="A21" s="20" t="inlineStr">
        <is>
          <t>Total annual expenses</t>
        </is>
      </c>
      <c r="B21" s="29" t="n">
        <v>367855</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412478</v>
      </c>
      <c r="C25" s="9" t="n">
        <v>262072</v>
      </c>
    </row>
    <row r="26">
      <c r="A26" s="15" t="inlineStr">
        <is>
          <t>Variance (eAR minus Form 990)</t>
        </is>
      </c>
      <c r="B26" s="16">
        <f>B25-C25</f>
        <v/>
      </c>
      <c r="C26" s="30" t="n"/>
    </row>
    <row r="27" ht="126" customHeight="1">
      <c r="A27" s="3" t="inlineStr">
        <is>
          <t>The eAR Section 8b total revenue (State Water Board self-report, calendar year 2023) and the Form 990 total revenue (IRS filing) are a different source and cover the same calendar year 2023. Both are carried as filed; the variance is surfaced, never reconciled.</t>
        </is>
      </c>
    </row>
    <row r="28">
      <c r="A28" s="8" t="inlineStr">
        <is>
          <t>total expenses</t>
        </is>
      </c>
      <c r="B28" s="9" t="n">
        <v>367855</v>
      </c>
      <c r="C28" s="9" t="n">
        <v>305178</v>
      </c>
    </row>
    <row r="29">
      <c r="A29" s="15" t="inlineStr">
        <is>
          <t>Variance (eAR minus Form 990)</t>
        </is>
      </c>
      <c r="B29" s="16">
        <f>B28-C28</f>
        <v/>
      </c>
      <c r="C29" s="30" t="n"/>
    </row>
    <row r="30" ht="126" customHeight="1">
      <c r="A30" s="3" t="inlineStr">
        <is>
          <t>The eAR Section 8b total expenses (State Water Board self-report, calendar year 2023) and the Form 990 total expenses (IRS filing) are a different source and cover the same calendar year 2023.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Community Mutual Water Company</t>
        </is>
      </c>
    </row>
    <row r="2">
      <c r="A2" s="2" t="inlineStr">
        <is>
          <t>Denominators and calendar alignment</t>
        </is>
      </c>
    </row>
    <row r="3">
      <c r="A3" s="2" t="inlineStr">
        <is>
          <t>Entity ID: cawc_0013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3" t="n"/>
      <c r="C7" s="22" t="inlineStr">
        <is>
          <t>State Water Board eAR Section 4</t>
        </is>
      </c>
    </row>
    <row r="8">
      <c r="A8" s="20" t="inlineStr">
        <is>
          <t>SDWIS service-connection count (different registry)</t>
        </is>
      </c>
      <c r="B8" s="21" t="n">
        <v>36</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(2021-12-31)</t>
        </is>
      </c>
      <c r="B14" s="21" t="n">
        <v>36</v>
      </c>
      <c r="C14" s="14" t="inlineStr">
        <is>
          <t>not reported</t>
        </is>
      </c>
      <c r="D14" s="21" t="n">
        <v>859.8</v>
      </c>
      <c r="E14" s="21" t="n">
        <v>1033.3</v>
      </c>
      <c r="F14" s="21" t="n">
        <v>1016.8</v>
      </c>
      <c r="G14" s="23" t="inlineStr">
        <is>
          <t>eAR annual total, calendar filer, equals fiscal year (not a monthly recast)</t>
        </is>
      </c>
    </row>
    <row r="15" ht="40" customHeight="1">
      <c r="A15" s="8" t="inlineStr">
        <is>
          <t>FY2022 (2022-12-31)</t>
        </is>
      </c>
      <c r="B15" s="21" t="n">
        <v>36</v>
      </c>
      <c r="C15" s="14" t="inlineStr">
        <is>
          <t>not reported</t>
        </is>
      </c>
      <c r="D15" s="21" t="n">
        <v>859.8</v>
      </c>
      <c r="E15" s="21" t="n">
        <v>990</v>
      </c>
      <c r="F15" s="21" t="n">
        <v>901.5</v>
      </c>
      <c r="G15" s="23" t="inlineStr">
        <is>
          <t>eAR annual total, calendar filer, equals fiscal year (not a monthly recast)</t>
        </is>
      </c>
    </row>
    <row r="16" ht="40" customHeight="1">
      <c r="A16" s="8" t="inlineStr">
        <is>
          <t>FY2023 (2023-12-31)</t>
        </is>
      </c>
      <c r="B16" s="21" t="n">
        <v>36</v>
      </c>
      <c r="C16" s="21" t="n">
        <v>65</v>
      </c>
      <c r="D16" s="21" t="n">
        <v>859.8</v>
      </c>
      <c r="E16" s="14" t="inlineStr">
        <is>
          <t>not reported</t>
        </is>
      </c>
      <c r="F16" s="14" t="inlineStr">
        <is>
          <t>not reported</t>
        </is>
      </c>
      <c r="G16" s="23" t="inlineStr">
        <is>
          <t>eAR annual total, calendar filer, equals fiscal year (not a monthly recast)</t>
        </is>
      </c>
    </row>
    <row r="17" ht="40" customHeight="1">
      <c r="A17" s="8" t="inlineStr">
        <is>
          <t>FY2024 (2024-12-31)</t>
        </is>
      </c>
      <c r="B17" s="21" t="n">
        <v>36</v>
      </c>
      <c r="C17" s="21" t="n">
        <v>65</v>
      </c>
      <c r="D17" s="21" t="n">
        <v>859.8</v>
      </c>
      <c r="E17" s="14" t="inlineStr">
        <is>
          <t>not reported</t>
        </is>
      </c>
      <c r="F17" s="14" t="inlineStr">
        <is>
          <t>not reported</t>
        </is>
      </c>
      <c r="G17" s="23" t="inlineStr">
        <is>
          <t>eAR annual total, calendar filer, equals fiscal year (not a monthly recast)</t>
        </is>
      </c>
    </row>
    <row r="18" ht="40" customHeight="1">
      <c r="A18" s="8" t="inlineStr">
        <is>
          <t>FY2025 (2025-12-31)</t>
        </is>
      </c>
      <c r="B18" s="14" t="inlineStr">
        <is>
          <t>not reported</t>
        </is>
      </c>
      <c r="C18" s="14" t="inlineStr">
        <is>
          <t>not reported</t>
        </is>
      </c>
      <c r="D18" s="21" t="n">
        <v>859.8</v>
      </c>
      <c r="E18" s="14" t="inlineStr">
        <is>
          <t>not reported</t>
        </is>
      </c>
      <c r="F18" s="14" t="inlineStr">
        <is>
          <t>not reported</t>
        </is>
      </c>
      <c r="G18" s="23" t="inlineStr">
        <is>
          <t>eAR annual total, calendar filer, equals fiscal year (not a monthly recast)</t>
        </is>
      </c>
    </row>
    <row r="20">
      <c r="A20" s="6" t="inlineStr">
        <is>
          <t>Connections by class - FY2024 (eAR Section 4)</t>
        </is>
      </c>
      <c r="B20" s="7" t="n"/>
      <c r="C20" s="7" t="n"/>
      <c r="D20" s="7" t="n"/>
      <c r="E20" s="7" t="n"/>
      <c r="F20" s="7" t="n"/>
      <c r="G20" s="7" t="n"/>
    </row>
    <row r="21">
      <c r="A21" s="20" t="inlineStr">
        <is>
          <t>Single-family residential</t>
        </is>
      </c>
      <c r="B21" s="21" t="n">
        <v>19</v>
      </c>
      <c r="C21" s="22" t="inlineStr"/>
    </row>
    <row r="22">
      <c r="A22" s="20" t="inlineStr">
        <is>
          <t>Agricultural</t>
        </is>
      </c>
      <c r="B22" s="21" t="n">
        <v>17</v>
      </c>
      <c r="C22" s="22" t="inlineStr"/>
    </row>
    <row r="23" ht="81" customHeight="1">
      <c r="A23"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3:G3"/>
    <mergeCell ref="A2:G2"/>
    <mergeCell ref="A10:G10"/>
    <mergeCell ref="A5:G5"/>
    <mergeCell ref="A23:G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Community Mutual Water Company</t>
        </is>
      </c>
    </row>
    <row r="2">
      <c r="A2" s="2" t="inlineStr">
        <is>
          <t>Governance evidence status - Ostrom's eight design principles</t>
        </is>
      </c>
    </row>
    <row r="3">
      <c r="A3" s="2" t="inlineStr">
        <is>
          <t>Entity ID: cawc_0013   |   Fiscal year ends December 31.</t>
        </is>
      </c>
    </row>
    <row r="5">
      <c r="A5" s="31"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36 service connections over a State-published service-area boundary.</t>
        </is>
      </c>
      <c r="D10" s="23" t="inlineStr">
        <is>
          <t>SDWIS Community water system; SABL service-area boundary (not verified (sabl)); connections defined.</t>
        </is>
      </c>
      <c r="E10" s="32"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32"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32"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32"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32"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32"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(501(c)(5)) and by the State Water Board as a public water system.</t>
        </is>
      </c>
      <c r="D22" s="23" t="inlineStr">
        <is>
          <t>IRS 501(c)(5) exempt filer (Form 990); SDWIS public water system.</t>
        </is>
      </c>
      <c r="E22" s="32"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0090169, first registered 01/05/1920, status as filed "Active", with a governing body named in the Statement of Information filed 6/2/2022.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PARTIAL</t>
        </is>
      </c>
      <c r="C24" s="23" t="inlineStr">
        <is>
          <t>The system draws on a shared local groundwater basin, embedding it in a larger physical water system, though its role in basin governance is not documented.</t>
        </is>
      </c>
      <c r="D24" s="23" t="inlineStr">
        <is>
          <t>SDWIS Primary Water Source Type: groundwater (shared basin).</t>
        </is>
      </c>
      <c r="E24" s="32"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Community Mutual Water Company</t>
        </is>
      </c>
    </row>
    <row r="2">
      <c r="A2" s="2" t="inlineStr">
        <is>
          <t>Operational metrics - plant per acre, density, terrain</t>
        </is>
      </c>
    </row>
    <row r="3">
      <c r="A3" s="2" t="inlineStr">
        <is>
          <t>Entity ID: cawc_0013   |   Fiscal year ends December 31.</t>
        </is>
      </c>
    </row>
    <row r="5">
      <c r="A5" s="6" t="inlineStr">
        <is>
          <t>Plant assets per acre</t>
        </is>
      </c>
      <c r="B5" s="7" t="n"/>
      <c r="C5" s="7" t="n"/>
    </row>
    <row r="6">
      <c r="A6" s="20" t="inlineStr">
        <is>
          <t>Service-area acres</t>
        </is>
      </c>
      <c r="B6" s="33" t="n">
        <v>859.8</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870.9072</v>
      </c>
      <c r="C8" s="9" t="n">
        <v>239.5697</v>
      </c>
    </row>
    <row r="9">
      <c r="A9" s="18" t="inlineStr">
        <is>
          <t>FY2022</t>
        </is>
      </c>
      <c r="B9" s="9" t="n">
        <v>870.9072</v>
      </c>
      <c r="C9" s="9" t="n">
        <v>213.7043</v>
      </c>
    </row>
    <row r="10">
      <c r="A10" s="18" t="inlineStr">
        <is>
          <t>FY2023</t>
        </is>
      </c>
      <c r="B10" s="9" t="n">
        <v>914.3068</v>
      </c>
      <c r="C10" s="9" t="n">
        <v>231.8155</v>
      </c>
    </row>
    <row r="11">
      <c r="A11" s="18" t="inlineStr">
        <is>
          <t>FY2024</t>
        </is>
      </c>
      <c r="B11" s="9" t="n">
        <v>914.3068</v>
      </c>
      <c r="C11" s="9" t="n">
        <v>201.6539</v>
      </c>
    </row>
    <row r="12">
      <c r="A12" s="18" t="inlineStr">
        <is>
          <t>FY2025</t>
        </is>
      </c>
      <c r="B12" s="9" t="n">
        <v>914.3068</v>
      </c>
      <c r="C12" s="9" t="n">
        <v>170.6757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0.04</v>
      </c>
      <c r="C19" s="22" t="inlineStr">
        <is>
          <t>36 connections / 859.8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flat valley</t>
        </is>
      </c>
      <c r="C22" s="22" t="inlineStr">
        <is>
          <t>Company context page (BLUEPRINT 5B)</t>
        </is>
      </c>
    </row>
    <row r="23" ht="81" customHeight="1">
      <c r="A23" s="3" t="inlineStr">
        <is>
          <t>A member-owned mutual water company serving about 36 service connections and roughly 65 residents in Santa Paula, Ventura County, on the Santa Clara River valley floor.</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Community Mutual Water Company</t>
        </is>
      </c>
    </row>
    <row r="2">
      <c r="A2" s="2" t="inlineStr">
        <is>
          <t>Supply and weather indicators (DWR water year)</t>
        </is>
      </c>
    </row>
    <row r="3">
      <c r="A3" s="2" t="inlineStr">
        <is>
          <t>Entity ID: cawc_0013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32" t="inlineStr">
        <is>
          <t>Critical</t>
        </is>
      </c>
      <c r="C8" s="32" t="inlineStr">
        <is>
          <t>Critical</t>
        </is>
      </c>
      <c r="D8" s="32" t="inlineStr">
        <is>
          <t>Wet</t>
        </is>
      </c>
      <c r="E8" s="32" t="inlineStr">
        <is>
          <t>Above Normal</t>
        </is>
      </c>
      <c r="F8" s="34" t="inlineStr">
        <is>
          <t>not reported</t>
        </is>
      </c>
    </row>
    <row r="9">
      <c r="A9" s="8" t="inlineStr">
        <is>
          <t>Peak drought, Ventura County</t>
        </is>
      </c>
      <c r="B9" s="32" t="inlineStr">
        <is>
          <t>D4</t>
        </is>
      </c>
      <c r="C9" s="32" t="inlineStr">
        <is>
          <t>D4</t>
        </is>
      </c>
      <c r="D9" s="32" t="inlineStr">
        <is>
          <t>D3</t>
        </is>
      </c>
      <c r="E9" s="32" t="inlineStr">
        <is>
          <t>None (no D0-D4 during the fiscal year)</t>
        </is>
      </c>
      <c r="F9" s="32" t="inlineStr">
        <is>
          <t>D3</t>
        </is>
      </c>
    </row>
    <row r="10">
      <c r="A10" s="8" t="inlineStr">
        <is>
          <t>Precip, percent of normal (8-Station Index)</t>
        </is>
      </c>
      <c r="B10" s="32" t="inlineStr">
        <is>
          <t>48</t>
        </is>
      </c>
      <c r="C10" s="32" t="inlineStr">
        <is>
          <t>86</t>
        </is>
      </c>
      <c r="D10" s="32" t="inlineStr">
        <is>
          <t>133</t>
        </is>
      </c>
      <c r="E10" s="32" t="inlineStr">
        <is>
          <t>96</t>
        </is>
      </c>
      <c r="F10" s="32" t="inlineStr">
        <is>
          <t>113</t>
        </is>
      </c>
    </row>
    <row r="11">
      <c r="A11" s="8" t="inlineStr">
        <is>
          <t>Snowpack, April 1 percent of average</t>
        </is>
      </c>
      <c r="B11" s="32" t="inlineStr">
        <is>
          <t>59%</t>
        </is>
      </c>
      <c r="C11" s="32" t="inlineStr">
        <is>
          <t>38%</t>
        </is>
      </c>
      <c r="D11" s="32" t="inlineStr">
        <is>
          <t>237%</t>
        </is>
      </c>
      <c r="E11" s="32" t="inlineStr">
        <is>
          <t>110%</t>
        </is>
      </c>
      <c r="F11" s="32" t="inlineStr">
        <is>
          <t>96%</t>
        </is>
      </c>
    </row>
    <row r="12">
      <c r="A12" s="8" t="inlineStr">
        <is>
          <t>State Water Project allocation</t>
        </is>
      </c>
      <c r="B12" s="32" t="inlineStr">
        <is>
          <t>5%</t>
        </is>
      </c>
      <c r="C12" s="32" t="inlineStr">
        <is>
          <t>5%</t>
        </is>
      </c>
      <c r="D12" s="32" t="inlineStr">
        <is>
          <t>100%</t>
        </is>
      </c>
      <c r="E12" s="32" t="inlineStr">
        <is>
          <t>40%</t>
        </is>
      </c>
      <c r="F12" s="3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Community Mutual Water Company</t>
        </is>
      </c>
    </row>
    <row r="2">
      <c r="A2" s="2" t="inlineStr">
        <is>
          <t>How this was built - forensic lineage</t>
        </is>
      </c>
    </row>
    <row r="3">
      <c r="A3" s="2" t="inlineStr">
        <is>
          <t>Entity ID: cawc_0013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$262,072 (990 program-service revenue) minus $412,478 (eAR water-rate revenue) = $-150,406.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Community Mutual Water Company</t>
        </is>
      </c>
    </row>
    <row r="2">
      <c r="A2" s="2" t="inlineStr">
        <is>
          <t>Water Operations (sourced outside the financial filings)</t>
        </is>
      </c>
    </row>
    <row r="3">
      <c r="A3" s="2" t="inlineStr">
        <is>
          <t>Entity ID: cawc_0013   |   Fiscal year ends December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32" t="n">
        <v>2024</v>
      </c>
      <c r="E8" s="8" t="inlineStr">
        <is>
          <t>high</t>
        </is>
      </c>
      <c r="F8" s="23" t="inlineStr">
        <is>
          <t>COMMUNITY MUTUAL WATER CO: State Water System Type = Community.</t>
        </is>
      </c>
    </row>
    <row r="9" ht="42" customHeight="1">
      <c r="A9" s="8" t="inlineStr">
        <is>
          <t>Source mix</t>
        </is>
      </c>
      <c r="B9" s="23" t="inlineStr">
        <is>
          <t>Primary source: local groundwater wells (SDWIS Primary Water Source Type: Groundwater). SDWIS classifies the primary supply type; it states no acre-foot volume by source.</t>
        </is>
      </c>
      <c r="C9" s="8" t="inlineStr">
        <is>
          <t>SDWIS Drinking Water Watch (State Water Board)</t>
        </is>
      </c>
      <c r="D9" s="32" t="n">
        <v>2024</v>
      </c>
      <c r="E9" s="8" t="inlineStr">
        <is>
          <t>high</t>
        </is>
      </c>
      <c r="F9" s="23" t="inlineStr">
        <is>
          <t>COMMUNITY MUTUAL WATER CO: Primary Water Source Type = Groundwater.</t>
        </is>
      </c>
    </row>
    <row r="10" ht="42" customHeight="1">
      <c r="A10" s="8" t="inlineStr">
        <is>
          <t>Service connections (total)</t>
        </is>
      </c>
      <c r="B10" s="23" t="inlineStr">
        <is>
          <t>36 connections</t>
        </is>
      </c>
      <c r="C10" s="8" t="inlineStr">
        <is>
          <t>SDWIS Drinking Water Watch (State Water Board)</t>
        </is>
      </c>
      <c r="D10" s="32" t="n">
        <v>2024</v>
      </c>
      <c r="E10" s="8" t="inlineStr">
        <is>
          <t>high</t>
        </is>
      </c>
      <c r="F10" s="23" t="inlineStr">
        <is>
          <t>COMMUNITY MUTUAL WATER CO: Total Number of Service Connections = 36.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19; Agricultural 17; Total 36.</t>
        </is>
      </c>
      <c r="C11" s="8" t="inlineStr">
        <is>
          <t>SDWIS Drinking Water Watch (State Water Board)</t>
        </is>
      </c>
      <c r="D11" s="32" t="n">
        <v>2024</v>
      </c>
      <c r="E11" s="8" t="inlineStr">
        <is>
          <t>high</t>
        </is>
      </c>
      <c r="F11" s="23" t="inlineStr">
        <is>
          <t>COMMUNITY MUTUAL WATER CO: connections by type - Residential 19; Agricultural 17; Total 36.</t>
        </is>
      </c>
    </row>
    <row r="12" ht="42" customHeight="1">
      <c r="A12" s="8" t="inlineStr">
        <is>
          <t>Population served</t>
        </is>
      </c>
      <c r="B12" s="23" t="inlineStr">
        <is>
          <t>65 residents</t>
        </is>
      </c>
      <c r="C12" s="8" t="inlineStr">
        <is>
          <t>SDWIS Drinking Water Watch (State Water Board)</t>
        </is>
      </c>
      <c r="D12" s="32" t="n">
        <v>2024</v>
      </c>
      <c r="E12" s="8" t="inlineStr">
        <is>
          <t>high</t>
        </is>
      </c>
      <c r="F12" s="23" t="inlineStr">
        <is>
          <t>COMMUNITY MUTUAL WATER CO: Total Population = 65.</t>
        </is>
      </c>
    </row>
    <row r="13" ht="42" customHeight="1">
      <c r="A13" s="8" t="inlineStr">
        <is>
          <t>Treatment and water quality</t>
        </is>
      </c>
      <c r="B13" s="23" t="inlineStr">
        <is>
          <t>Operator certification on file: Treatment or distribution operator of any grade; Distribution Operator Level 1. SDWIS states operator grades, not the treatment process detail.</t>
        </is>
      </c>
      <c r="C13" s="8" t="inlineStr">
        <is>
          <t>SDWIS Drinking Water Watch (State Water Board)</t>
        </is>
      </c>
      <c r="D13" s="32" t="n">
        <v>2024</v>
      </c>
      <c r="E13" s="8" t="inlineStr">
        <is>
          <t>high</t>
        </is>
      </c>
      <c r="F13" s="23" t="inlineStr">
        <is>
          <t>COMMUNITY MUTUAL WATER CO: Treatment Plant Class = Treatment or distribution operator of any grade;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30" t="n"/>
      <c r="D16" s="30" t="n"/>
      <c r="E16" s="30" t="n"/>
      <c r="F16" s="30" t="n"/>
    </row>
    <row r="17" ht="30" customHeight="1">
      <c r="A17" s="8" t="inlineStr">
        <is>
          <t>Customer classes served</t>
        </is>
      </c>
      <c r="B17" s="22" t="inlineStr">
        <is>
          <t>not reported - needs the State Water Board eAR or the system CCR</t>
        </is>
      </c>
      <c r="C17" s="30" t="n"/>
      <c r="D17" s="30" t="n"/>
      <c r="E17" s="30" t="n"/>
      <c r="F17" s="30"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2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Community Mutual Water Company</t>
        </is>
      </c>
    </row>
    <row r="2">
      <c r="A2" s="2" t="inlineStr">
        <is>
          <t>Sources &amp; audit - full provenance and tie-outs (kept off the statements so they read clean)</t>
        </is>
      </c>
    </row>
    <row r="3">
      <c r="A3" s="2" t="inlineStr">
        <is>
          <t>Entity ID: cawc_0013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32" t="inlineStr">
        <is>
          <t>FY2020</t>
        </is>
      </c>
      <c r="B10" s="8" t="inlineStr">
        <is>
          <t>2020-12-31</t>
        </is>
      </c>
      <c r="C10" s="8" t="inlineStr">
        <is>
          <t>990</t>
        </is>
      </c>
      <c r="D10" s="8" t="inlineStr">
        <is>
          <t>high</t>
        </is>
      </c>
      <c r="E10" s="8" t="inlineStr">
        <is>
          <t>07dafa79-c2fb-45d1-9a76-f593d1c65829</t>
        </is>
      </c>
      <c r="F10" s="8" t="inlineStr">
        <is>
          <t>202131069349300648</t>
        </is>
      </c>
      <c r="G10" s="8" t="inlineStr">
        <is>
          <t>claude-opus-5</t>
        </is>
      </c>
      <c r="H10" s="8" t="inlineStr">
        <is>
          <t>2026-09-16T21:34:13+00:00</t>
        </is>
      </c>
      <c r="I10" s="8" t="inlineStr">
        <is>
          <t>https://apps.irs.gov/pub/epostcard/990/xml/2021/2021_TEOS_XML_01A.zip#202131069349300648_public.xml</t>
        </is>
      </c>
    </row>
    <row r="11">
      <c r="A11" s="32" t="inlineStr">
        <is>
          <t>FY2021</t>
        </is>
      </c>
      <c r="B11" s="8" t="inlineStr">
        <is>
          <t>2021-12-31</t>
        </is>
      </c>
      <c r="C11" s="8" t="inlineStr">
        <is>
          <t>990</t>
        </is>
      </c>
      <c r="D11" s="8" t="inlineStr">
        <is>
          <t>high</t>
        </is>
      </c>
      <c r="E11" s="8" t="inlineStr">
        <is>
          <t>67e94601-023c-44d9-98c5-cb4277466d0d</t>
        </is>
      </c>
      <c r="F11" s="8" t="inlineStr">
        <is>
          <t>202231019349300923</t>
        </is>
      </c>
      <c r="G11" s="8" t="inlineStr">
        <is>
          <t>claude-opus-5</t>
        </is>
      </c>
      <c r="H11" s="8" t="inlineStr">
        <is>
          <t>2026-09-16T21:34:13+00:00</t>
        </is>
      </c>
      <c r="I11" s="8" t="inlineStr">
        <is>
          <t>https://apps.irs.gov/pub/epostcard/990/xml/2022/2022_TEOS_XML_01A.zip#202231019349300923_public.xml</t>
        </is>
      </c>
    </row>
    <row r="12">
      <c r="A12" s="32" t="inlineStr">
        <is>
          <t>FY2022</t>
        </is>
      </c>
      <c r="B12" s="8" t="inlineStr">
        <is>
          <t>2022-12-31</t>
        </is>
      </c>
      <c r="C12" s="8" t="inlineStr">
        <is>
          <t>990</t>
        </is>
      </c>
      <c r="D12" s="8" t="inlineStr">
        <is>
          <t>high</t>
        </is>
      </c>
      <c r="E12" s="8" t="inlineStr">
        <is>
          <t>6aa861aa-88f3-4028-9a76-2bc38c0f00c9</t>
        </is>
      </c>
      <c r="F12" s="8" t="inlineStr">
        <is>
          <t>202311439349300031</t>
        </is>
      </c>
      <c r="G12" s="8" t="inlineStr">
        <is>
          <t>claude-opus-5</t>
        </is>
      </c>
      <c r="H12" s="8" t="inlineStr">
        <is>
          <t>2026-09-16T21:34:13+00:00</t>
        </is>
      </c>
      <c r="I12" s="8" t="inlineStr">
        <is>
          <t>https://apps.irs.gov/pub/epostcard/990/xml/2023/2023_TEOS_XML_05A.zip#202311439349300031_public.xml</t>
        </is>
      </c>
    </row>
    <row r="13">
      <c r="A13" s="32" t="inlineStr">
        <is>
          <t>FY2023</t>
        </is>
      </c>
      <c r="B13" s="8" t="inlineStr">
        <is>
          <t>2023-12-31</t>
        </is>
      </c>
      <c r="C13" s="8" t="inlineStr">
        <is>
          <t>990</t>
        </is>
      </c>
      <c r="D13" s="8" t="inlineStr">
        <is>
          <t>high</t>
        </is>
      </c>
      <c r="E13" s="8" t="inlineStr">
        <is>
          <t>d4c1330f-e5e2-4708-88df-b93e15a4f64e</t>
        </is>
      </c>
      <c r="F13" s="8" t="inlineStr">
        <is>
          <t>202431029349301408</t>
        </is>
      </c>
      <c r="G13" s="8" t="inlineStr">
        <is>
          <t>claude-opus-5</t>
        </is>
      </c>
      <c r="H13" s="8" t="inlineStr">
        <is>
          <t>2026-09-16T21:34:13+00:00</t>
        </is>
      </c>
      <c r="I13" s="8" t="inlineStr">
        <is>
          <t>https://apps.irs.gov/pub/epostcard/990/xml/2024/2024_TEOS_XML_04A.zip#202431029349301408_public.xml</t>
        </is>
      </c>
    </row>
    <row r="14">
      <c r="A14" s="32" t="inlineStr">
        <is>
          <t>FY2024</t>
        </is>
      </c>
      <c r="B14" s="8" t="inlineStr">
        <is>
          <t>2024-12-31</t>
        </is>
      </c>
      <c r="C14" s="8" t="inlineStr">
        <is>
          <t>990</t>
        </is>
      </c>
      <c r="D14" s="8" t="inlineStr">
        <is>
          <t>high</t>
        </is>
      </c>
      <c r="E14" s="8" t="inlineStr">
        <is>
          <t>af718d1e-e610-4320-bfd7-22d709d0fc47</t>
        </is>
      </c>
      <c r="F14" s="8" t="inlineStr">
        <is>
          <t>202540919349301554</t>
        </is>
      </c>
      <c r="G14" s="8" t="inlineStr">
        <is>
          <t>claude-opus-5</t>
        </is>
      </c>
      <c r="H14" s="8" t="inlineStr">
        <is>
          <t>2026-09-16T21:34:13+00:00</t>
        </is>
      </c>
      <c r="I14" s="8" t="inlineStr">
        <is>
          <t>https://apps.irs.gov/pub/epostcard/990/xml/2025/2025_TEOS_XML_04A.zip#202540919349301554_public.xml</t>
        </is>
      </c>
    </row>
    <row r="15">
      <c r="A15" s="32" t="inlineStr">
        <is>
          <t>FY2025</t>
        </is>
      </c>
      <c r="B15" s="8" t="inlineStr">
        <is>
          <t>2025-12-31</t>
        </is>
      </c>
      <c r="C15" s="8" t="inlineStr">
        <is>
          <t>990</t>
        </is>
      </c>
      <c r="D15" s="8" t="inlineStr">
        <is>
          <t>high</t>
        </is>
      </c>
      <c r="E15" s="8" t="inlineStr">
        <is>
          <t>914f358e-267e-4e6b-aa7c-37a5b4530221</t>
        </is>
      </c>
      <c r="F15" s="8" t="inlineStr">
        <is>
          <t>202601289349302815</t>
        </is>
      </c>
      <c r="G15" s="8" t="inlineStr">
        <is>
          <t>claude-opus-5</t>
        </is>
      </c>
      <c r="H15" s="8" t="inlineStr">
        <is>
          <t>2026-09-16T21:34:13+00:00</t>
        </is>
      </c>
      <c r="I15" s="8" t="inlineStr">
        <is>
          <t>https://apps.irs.gov/pub/epostcard/990/xml/2026/2026_TEOS_XML_05A.zip#202601289349302815_public.xml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251282</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257555</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341470</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262072</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387865</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346455</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0</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0</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0</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0</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0</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0</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0</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0</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0</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0</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0</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0</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0</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2775</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2362</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2836</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2076</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2153</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2374</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0</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0</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0</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0</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0</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0</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0</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0</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0</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0</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0</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0</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36740</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28482</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22239</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21743</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25933</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26635</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6839</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7676</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8535</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9483</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10921</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13009</v>
      </c>
    </row>
    <row r="229">
      <c r="A229" s="8" t="inlineStr">
        <is>
          <t>Operating expenses (detail)</t>
        </is>
      </c>
      <c r="B229" s="8" t="inlineStr">
        <is>
          <t>B40</t>
        </is>
      </c>
      <c r="C229" s="8" t="inlineStr">
        <is>
          <t>24e. All other expenses</t>
        </is>
      </c>
      <c r="D229" s="8" t="inlineStr">
        <is>
          <t>24e</t>
        </is>
      </c>
      <c r="E229" s="8" t="inlineStr">
        <is>
          <t>part_ix_expenses.all_other_expenses</t>
        </is>
      </c>
      <c r="F229" s="8" t="inlineStr">
        <is>
          <t>high</t>
        </is>
      </c>
      <c r="G229" s="9" t="n">
        <v>2523</v>
      </c>
    </row>
    <row r="230">
      <c r="A230" s="8" t="inlineStr">
        <is>
          <t>Operating expenses (detail)</t>
        </is>
      </c>
      <c r="B230" s="8" t="inlineStr">
        <is>
          <t>C40</t>
        </is>
      </c>
      <c r="C230" s="8" t="inlineStr">
        <is>
          <t>24e. All other expenses</t>
        </is>
      </c>
      <c r="D230" s="8" t="inlineStr">
        <is>
          <t>24e</t>
        </is>
      </c>
      <c r="E230" s="8" t="inlineStr">
        <is>
          <t>part_ix_expenses.all_other_expenses</t>
        </is>
      </c>
      <c r="F230" s="8" t="inlineStr">
        <is>
          <t>high</t>
        </is>
      </c>
      <c r="G230" s="9" t="n">
        <v>3392</v>
      </c>
    </row>
    <row r="231">
      <c r="A231" s="8" t="inlineStr">
        <is>
          <t>Operating expenses (detail)</t>
        </is>
      </c>
      <c r="B231" s="8" t="inlineStr">
        <is>
          <t>D40</t>
        </is>
      </c>
      <c r="C231" s="8" t="inlineStr">
        <is>
          <t>24e. All other expenses</t>
        </is>
      </c>
      <c r="D231" s="8" t="inlineStr">
        <is>
          <t>24e</t>
        </is>
      </c>
      <c r="E231" s="8" t="inlineStr">
        <is>
          <t>part_ix_expenses.all_other_expenses</t>
        </is>
      </c>
      <c r="F231" s="8" t="inlineStr">
        <is>
          <t>high</t>
        </is>
      </c>
      <c r="G231" s="9" t="n">
        <v>2780</v>
      </c>
    </row>
    <row r="232">
      <c r="A232" s="8" t="inlineStr">
        <is>
          <t>Operating expenses (detail)</t>
        </is>
      </c>
      <c r="B232" s="8" t="inlineStr">
        <is>
          <t>E40</t>
        </is>
      </c>
      <c r="C232" s="8" t="inlineStr">
        <is>
          <t>24e. All other expenses</t>
        </is>
      </c>
      <c r="D232" s="8" t="inlineStr">
        <is>
          <t>24e</t>
        </is>
      </c>
      <c r="E232" s="8" t="inlineStr">
        <is>
          <t>part_ix_expenses.all_other_expenses</t>
        </is>
      </c>
      <c r="F232" s="8" t="inlineStr">
        <is>
          <t>high</t>
        </is>
      </c>
      <c r="G232" s="9" t="n">
        <v>2853</v>
      </c>
    </row>
    <row r="233">
      <c r="A233" s="8" t="inlineStr">
        <is>
          <t>Operating expenses (detail)</t>
        </is>
      </c>
      <c r="B233" s="8" t="inlineStr">
        <is>
          <t>F40</t>
        </is>
      </c>
      <c r="C233" s="8" t="inlineStr">
        <is>
          <t>24e. All other expenses</t>
        </is>
      </c>
      <c r="D233" s="8" t="inlineStr">
        <is>
          <t>24e</t>
        </is>
      </c>
      <c r="E233" s="8" t="inlineStr">
        <is>
          <t>part_ix_expenses.all_other_expenses</t>
        </is>
      </c>
      <c r="F233" s="8" t="inlineStr">
        <is>
          <t>high</t>
        </is>
      </c>
      <c r="G233" s="9" t="n">
        <v>2144</v>
      </c>
    </row>
    <row r="234">
      <c r="A234" s="8" t="inlineStr">
        <is>
          <t>Operating expenses (detail)</t>
        </is>
      </c>
      <c r="B234" s="8" t="inlineStr">
        <is>
          <t>G40</t>
        </is>
      </c>
      <c r="C234" s="8" t="inlineStr">
        <is>
          <t>24e. All other expenses</t>
        </is>
      </c>
      <c r="D234" s="8" t="inlineStr">
        <is>
          <t>24e</t>
        </is>
      </c>
      <c r="E234" s="8" t="inlineStr">
        <is>
          <t>part_ix_expenses.all_other_expenses</t>
        </is>
      </c>
      <c r="F234" s="8" t="inlineStr">
        <is>
          <t>high</t>
        </is>
      </c>
      <c r="G234" s="9" t="n">
        <v>4442</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141161</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106290</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216148</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209475</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308059</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396287</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0</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0</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0</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0</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0</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0</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73810</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122629</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97354</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92864</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199505</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145168</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0</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0</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234464</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205982</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183743</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199315</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173382</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146747</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7494</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0</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0</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0</v>
      </c>
    </row>
    <row r="325">
      <c r="A325" s="8" t="inlineStr">
        <is>
          <t>Balance sheet (detail)</t>
        </is>
      </c>
      <c r="B325" s="8" t="inlineStr">
        <is>
          <t>B25</t>
        </is>
      </c>
      <c r="C325" s="8" t="inlineStr">
        <is>
          <t>17. Accounts payable and accrued expenses</t>
        </is>
      </c>
      <c r="D325" s="8" t="inlineStr">
        <is>
          <t>17E</t>
        </is>
      </c>
      <c r="E325" s="8" t="inlineStr">
        <is>
          <t>part_x_balance_sheet.accounts_payable_eoy</t>
        </is>
      </c>
      <c r="F325" s="8" t="inlineStr">
        <is>
          <t>high</t>
        </is>
      </c>
      <c r="G325" s="9" t="n">
        <v>47744</v>
      </c>
    </row>
    <row r="326">
      <c r="A326" s="8" t="inlineStr">
        <is>
          <t>Balance sheet (detail)</t>
        </is>
      </c>
      <c r="B326" s="8" t="inlineStr">
        <is>
          <t>C25</t>
        </is>
      </c>
      <c r="C326" s="8" t="inlineStr">
        <is>
          <t>17. Accounts payable and accrued expenses</t>
        </is>
      </c>
      <c r="D326" s="8" t="inlineStr">
        <is>
          <t>17E</t>
        </is>
      </c>
      <c r="E326" s="8" t="inlineStr">
        <is>
          <t>part_x_balance_sheet.accounts_payable_eoy</t>
        </is>
      </c>
      <c r="F326" s="8" t="inlineStr">
        <is>
          <t>high</t>
        </is>
      </c>
      <c r="G326" s="9" t="n">
        <v>38796</v>
      </c>
    </row>
    <row r="327">
      <c r="A327" s="8" t="inlineStr">
        <is>
          <t>Balance sheet (detail)</t>
        </is>
      </c>
      <c r="B327" s="8" t="inlineStr">
        <is>
          <t>D25</t>
        </is>
      </c>
      <c r="C327" s="8" t="inlineStr">
        <is>
          <t>17. Accounts payable and accrued expenses</t>
        </is>
      </c>
      <c r="D327" s="8" t="inlineStr">
        <is>
          <t>17E</t>
        </is>
      </c>
      <c r="E327" s="8" t="inlineStr">
        <is>
          <t>part_x_balance_sheet.accounts_payable_eoy</t>
        </is>
      </c>
      <c r="F327" s="8" t="inlineStr">
        <is>
          <t>high</t>
        </is>
      </c>
      <c r="G327" s="9" t="n">
        <v>41801</v>
      </c>
    </row>
    <row r="328">
      <c r="A328" s="8" t="inlineStr">
        <is>
          <t>Balance sheet (detail)</t>
        </is>
      </c>
      <c r="B328" s="8" t="inlineStr">
        <is>
          <t>E25</t>
        </is>
      </c>
      <c r="C328" s="8" t="inlineStr">
        <is>
          <t>17. Accounts payable and accrued expenses</t>
        </is>
      </c>
      <c r="D328" s="8" t="inlineStr">
        <is>
          <t>17E</t>
        </is>
      </c>
      <c r="E328" s="8" t="inlineStr">
        <is>
          <t>part_x_balance_sheet.accounts_payable_eoy</t>
        </is>
      </c>
      <c r="F328" s="8" t="inlineStr">
        <is>
          <t>high</t>
        </is>
      </c>
      <c r="G328" s="9" t="n">
        <v>62243</v>
      </c>
    </row>
    <row r="329">
      <c r="A329" s="8" t="inlineStr">
        <is>
          <t>Balance sheet (detail)</t>
        </is>
      </c>
      <c r="B329" s="8" t="inlineStr">
        <is>
          <t>F25</t>
        </is>
      </c>
      <c r="C329" s="8" t="inlineStr">
        <is>
          <t>17. Accounts payable and accrued expenses</t>
        </is>
      </c>
      <c r="D329" s="8" t="inlineStr">
        <is>
          <t>17E</t>
        </is>
      </c>
      <c r="E329" s="8" t="inlineStr">
        <is>
          <t>part_x_balance_sheet.accounts_payable_eoy</t>
        </is>
      </c>
      <c r="F329" s="8" t="inlineStr">
        <is>
          <t>high</t>
        </is>
      </c>
      <c r="G329" s="9" t="n">
        <v>137370</v>
      </c>
    </row>
    <row r="330">
      <c r="A330" s="8" t="inlineStr">
        <is>
          <t>Balance sheet (detail)</t>
        </is>
      </c>
      <c r="B330" s="8" t="inlineStr">
        <is>
          <t>G25</t>
        </is>
      </c>
      <c r="C330" s="8" t="inlineStr">
        <is>
          <t>17. Accounts payable and accrued expenses</t>
        </is>
      </c>
      <c r="D330" s="8" t="inlineStr">
        <is>
          <t>17E</t>
        </is>
      </c>
      <c r="E330" s="8" t="inlineStr">
        <is>
          <t>part_x_balance_sheet.accounts_payable_eoy</t>
        </is>
      </c>
      <c r="F330" s="8" t="inlineStr">
        <is>
          <t>high</t>
        </is>
      </c>
      <c r="G330" s="9" t="n">
        <v>87324</v>
      </c>
    </row>
    <row r="331">
      <c r="A331" s="8" t="inlineStr">
        <is>
          <t>Balance sheet (detail)</t>
        </is>
      </c>
      <c r="B331" s="8" t="inlineStr">
        <is>
          <t>B29</t>
        </is>
      </c>
      <c r="C331" s="8" t="inlineStr">
        <is>
          <t>29. Capital stock or trust principal</t>
        </is>
      </c>
      <c r="D331" s="8" t="inlineStr">
        <is>
          <t>29E</t>
        </is>
      </c>
      <c r="E331" s="8" t="inlineStr">
        <is>
          <t>part_x_balance_sheet.cap_stock_eoy</t>
        </is>
      </c>
      <c r="F331" s="8" t="inlineStr">
        <is>
          <t>high</t>
        </is>
      </c>
      <c r="G331" s="9" t="n">
        <v>5656</v>
      </c>
    </row>
    <row r="332">
      <c r="A332" s="8" t="inlineStr">
        <is>
          <t>Balance sheet (detail)</t>
        </is>
      </c>
      <c r="B332" s="8" t="inlineStr">
        <is>
          <t>C29</t>
        </is>
      </c>
      <c r="C332" s="8" t="inlineStr">
        <is>
          <t>29. Capital stock or trust principal</t>
        </is>
      </c>
      <c r="D332" s="8" t="inlineStr">
        <is>
          <t>29E</t>
        </is>
      </c>
      <c r="E332" s="8" t="inlineStr">
        <is>
          <t>part_x_balance_sheet.cap_stock_eoy</t>
        </is>
      </c>
      <c r="F332" s="8" t="inlineStr">
        <is>
          <t>high</t>
        </is>
      </c>
      <c r="G332" s="9" t="n">
        <v>5656</v>
      </c>
    </row>
    <row r="333">
      <c r="A333" s="8" t="inlineStr">
        <is>
          <t>Balance sheet (detail)</t>
        </is>
      </c>
      <c r="B333" s="8" t="inlineStr">
        <is>
          <t>D29</t>
        </is>
      </c>
      <c r="C333" s="8" t="inlineStr">
        <is>
          <t>29. Capital stock or trust principal</t>
        </is>
      </c>
      <c r="D333" s="8" t="inlineStr">
        <is>
          <t>29E</t>
        </is>
      </c>
      <c r="E333" s="8" t="inlineStr">
        <is>
          <t>part_x_balance_sheet.cap_stock_eoy</t>
        </is>
      </c>
      <c r="F333" s="8" t="inlineStr">
        <is>
          <t>high</t>
        </is>
      </c>
      <c r="G333" s="9" t="n">
        <v>5656</v>
      </c>
    </row>
    <row r="334">
      <c r="A334" s="8" t="inlineStr">
        <is>
          <t>Balance sheet (detail)</t>
        </is>
      </c>
      <c r="B334" s="8" t="inlineStr">
        <is>
          <t>E29</t>
        </is>
      </c>
      <c r="C334" s="8" t="inlineStr">
        <is>
          <t>29. Capital stock or trust principal</t>
        </is>
      </c>
      <c r="D334" s="8" t="inlineStr">
        <is>
          <t>29E</t>
        </is>
      </c>
      <c r="E334" s="8" t="inlineStr">
        <is>
          <t>part_x_balance_sheet.cap_stock_eoy</t>
        </is>
      </c>
      <c r="F334" s="8" t="inlineStr">
        <is>
          <t>high</t>
        </is>
      </c>
      <c r="G334" s="9" t="n">
        <v>5656</v>
      </c>
    </row>
    <row r="335">
      <c r="A335" s="8" t="inlineStr">
        <is>
          <t>Balance sheet (detail)</t>
        </is>
      </c>
      <c r="B335" s="8" t="inlineStr">
        <is>
          <t>F29</t>
        </is>
      </c>
      <c r="C335" s="8" t="inlineStr">
        <is>
          <t>29. Capital stock or trust principal</t>
        </is>
      </c>
      <c r="D335" s="8" t="inlineStr">
        <is>
          <t>29E</t>
        </is>
      </c>
      <c r="E335" s="8" t="inlineStr">
        <is>
          <t>part_x_balance_sheet.cap_stock_eoy</t>
        </is>
      </c>
      <c r="F335" s="8" t="inlineStr">
        <is>
          <t>high</t>
        </is>
      </c>
      <c r="G335" s="9" t="n">
        <v>5656</v>
      </c>
    </row>
    <row r="336">
      <c r="A336" s="8" t="inlineStr">
        <is>
          <t>Balance sheet (detail)</t>
        </is>
      </c>
      <c r="B336" s="8" t="inlineStr">
        <is>
          <t>G29</t>
        </is>
      </c>
      <c r="C336" s="8" t="inlineStr">
        <is>
          <t>29. Capital stock or trust principal</t>
        </is>
      </c>
      <c r="D336" s="8" t="inlineStr">
        <is>
          <t>29E</t>
        </is>
      </c>
      <c r="E336" s="8" t="inlineStr">
        <is>
          <t>part_x_balance_sheet.cap_stock_eoy</t>
        </is>
      </c>
      <c r="F336" s="8" t="inlineStr">
        <is>
          <t>high</t>
        </is>
      </c>
      <c r="G336" s="9" t="n">
        <v>5656</v>
      </c>
    </row>
    <row r="337">
      <c r="A337" s="8" t="inlineStr">
        <is>
          <t>Balance sheet (detail)</t>
        </is>
      </c>
      <c r="B337" s="8" t="inlineStr">
        <is>
          <t>B30</t>
        </is>
      </c>
      <c r="C337" s="8" t="inlineStr">
        <is>
          <t>30. Paid-in or capital surplus</t>
        </is>
      </c>
      <c r="D337" s="8" t="inlineStr">
        <is>
          <t>30E</t>
        </is>
      </c>
      <c r="E337" s="8" t="inlineStr">
        <is>
          <t>part_x_balance_sheet.paid_in_capital_eoy</t>
        </is>
      </c>
      <c r="F337" s="8" t="inlineStr">
        <is>
          <t>high</t>
        </is>
      </c>
      <c r="G337" s="9" t="n">
        <v>112947</v>
      </c>
    </row>
    <row r="338">
      <c r="A338" s="8" t="inlineStr">
        <is>
          <t>Balance sheet (detail)</t>
        </is>
      </c>
      <c r="B338" s="8" t="inlineStr">
        <is>
          <t>C30</t>
        </is>
      </c>
      <c r="C338" s="8" t="inlineStr">
        <is>
          <t>30. Paid-in or capital surplus</t>
        </is>
      </c>
      <c r="D338" s="8" t="inlineStr">
        <is>
          <t>30E</t>
        </is>
      </c>
      <c r="E338" s="8" t="inlineStr">
        <is>
          <t>part_x_balance_sheet.paid_in_capital_eoy</t>
        </is>
      </c>
      <c r="F338" s="8" t="inlineStr">
        <is>
          <t>high</t>
        </is>
      </c>
      <c r="G338" s="9" t="n">
        <v>112947</v>
      </c>
    </row>
    <row r="339">
      <c r="A339" s="8" t="inlineStr">
        <is>
          <t>Balance sheet (detail)</t>
        </is>
      </c>
      <c r="B339" s="8" t="inlineStr">
        <is>
          <t>D30</t>
        </is>
      </c>
      <c r="C339" s="8" t="inlineStr">
        <is>
          <t>30. Paid-in or capital surplus</t>
        </is>
      </c>
      <c r="D339" s="8" t="inlineStr">
        <is>
          <t>30E</t>
        </is>
      </c>
      <c r="E339" s="8" t="inlineStr">
        <is>
          <t>part_x_balance_sheet.paid_in_capital_eoy</t>
        </is>
      </c>
      <c r="F339" s="8" t="inlineStr">
        <is>
          <t>high</t>
        </is>
      </c>
      <c r="G339" s="9" t="n">
        <v>112947</v>
      </c>
    </row>
    <row r="340">
      <c r="A340" s="8" t="inlineStr">
        <is>
          <t>Balance sheet (detail)</t>
        </is>
      </c>
      <c r="B340" s="8" t="inlineStr">
        <is>
          <t>E30</t>
        </is>
      </c>
      <c r="C340" s="8" t="inlineStr">
        <is>
          <t>30. Paid-in or capital surplus</t>
        </is>
      </c>
      <c r="D340" s="8" t="inlineStr">
        <is>
          <t>30E</t>
        </is>
      </c>
      <c r="E340" s="8" t="inlineStr">
        <is>
          <t>part_x_balance_sheet.paid_in_capital_eoy</t>
        </is>
      </c>
      <c r="F340" s="8" t="inlineStr">
        <is>
          <t>high</t>
        </is>
      </c>
      <c r="G340" s="9" t="n">
        <v>112947</v>
      </c>
    </row>
    <row r="341">
      <c r="A341" s="8" t="inlineStr">
        <is>
          <t>Balance sheet (detail)</t>
        </is>
      </c>
      <c r="B341" s="8" t="inlineStr">
        <is>
          <t>F30</t>
        </is>
      </c>
      <c r="C341" s="8" t="inlineStr">
        <is>
          <t>30. Paid-in or capital surplus</t>
        </is>
      </c>
      <c r="D341" s="8" t="inlineStr">
        <is>
          <t>30E</t>
        </is>
      </c>
      <c r="E341" s="8" t="inlineStr">
        <is>
          <t>part_x_balance_sheet.paid_in_capital_eoy</t>
        </is>
      </c>
      <c r="F341" s="8" t="inlineStr">
        <is>
          <t>high</t>
        </is>
      </c>
      <c r="G341" s="9" t="n">
        <v>112947</v>
      </c>
    </row>
    <row r="342">
      <c r="A342" s="8" t="inlineStr">
        <is>
          <t>Balance sheet (detail)</t>
        </is>
      </c>
      <c r="B342" s="8" t="inlineStr">
        <is>
          <t>G30</t>
        </is>
      </c>
      <c r="C342" s="8" t="inlineStr">
        <is>
          <t>30. Paid-in or capital surplus</t>
        </is>
      </c>
      <c r="D342" s="8" t="inlineStr">
        <is>
          <t>30E</t>
        </is>
      </c>
      <c r="E342" s="8" t="inlineStr">
        <is>
          <t>part_x_balance_sheet.paid_in_capital_eoy</t>
        </is>
      </c>
      <c r="F342" s="8" t="inlineStr">
        <is>
          <t>high</t>
        </is>
      </c>
      <c r="G342" s="9" t="n">
        <v>112947</v>
      </c>
    </row>
    <row r="343">
      <c r="A343" s="8" t="inlineStr">
        <is>
          <t>Balance sheet (detail)</t>
        </is>
      </c>
      <c r="B343" s="8" t="inlineStr">
        <is>
          <t>B31</t>
        </is>
      </c>
      <c r="C343" s="8" t="inlineStr">
        <is>
          <t>31. Retained earnings / accumulated funds</t>
        </is>
      </c>
      <c r="D343" s="8" t="inlineStr">
        <is>
          <t>31E</t>
        </is>
      </c>
      <c r="E343" s="8" t="inlineStr">
        <is>
          <t>part_x_balance_sheet.retained_earnings_eoy</t>
        </is>
      </c>
      <c r="F343" s="8" t="inlineStr">
        <is>
          <t>high</t>
        </is>
      </c>
      <c r="G343" s="9" t="n">
        <v>290582</v>
      </c>
    </row>
    <row r="344">
      <c r="A344" s="8" t="inlineStr">
        <is>
          <t>Balance sheet (detail)</t>
        </is>
      </c>
      <c r="B344" s="8" t="inlineStr">
        <is>
          <t>C31</t>
        </is>
      </c>
      <c r="C344" s="8" t="inlineStr">
        <is>
          <t>31. Retained earnings / accumulated funds</t>
        </is>
      </c>
      <c r="D344" s="8" t="inlineStr">
        <is>
          <t>31E</t>
        </is>
      </c>
      <c r="E344" s="8" t="inlineStr">
        <is>
          <t>part_x_balance_sheet.retained_earnings_eoy</t>
        </is>
      </c>
      <c r="F344" s="8" t="inlineStr">
        <is>
          <t>high</t>
        </is>
      </c>
      <c r="G344" s="9" t="n">
        <v>277502</v>
      </c>
    </row>
    <row r="345">
      <c r="A345" s="8" t="inlineStr">
        <is>
          <t>Balance sheet (detail)</t>
        </is>
      </c>
      <c r="B345" s="8" t="inlineStr">
        <is>
          <t>D31</t>
        </is>
      </c>
      <c r="C345" s="8" t="inlineStr">
        <is>
          <t>31. Retained earnings / accumulated funds</t>
        </is>
      </c>
      <c r="D345" s="8" t="inlineStr">
        <is>
          <t>31E</t>
        </is>
      </c>
      <c r="E345" s="8" t="inlineStr">
        <is>
          <t>part_x_balance_sheet.retained_earnings_eoy</t>
        </is>
      </c>
      <c r="F345" s="8" t="inlineStr">
        <is>
          <t>high</t>
        </is>
      </c>
      <c r="G345" s="9" t="n">
        <v>336841</v>
      </c>
    </row>
    <row r="346">
      <c r="A346" s="8" t="inlineStr">
        <is>
          <t>Balance sheet (detail)</t>
        </is>
      </c>
      <c r="B346" s="8" t="inlineStr">
        <is>
          <t>E31</t>
        </is>
      </c>
      <c r="C346" s="8" t="inlineStr">
        <is>
          <t>31. Retained earnings / accumulated funds</t>
        </is>
      </c>
      <c r="D346" s="8" t="inlineStr">
        <is>
          <t>31E</t>
        </is>
      </c>
      <c r="E346" s="8" t="inlineStr">
        <is>
          <t>part_x_balance_sheet.retained_earnings_eoy</t>
        </is>
      </c>
      <c r="F346" s="8" t="inlineStr">
        <is>
          <t>high</t>
        </is>
      </c>
      <c r="G346" s="9" t="n">
        <v>320808</v>
      </c>
    </row>
    <row r="347">
      <c r="A347" s="8" t="inlineStr">
        <is>
          <t>Balance sheet (detail)</t>
        </is>
      </c>
      <c r="B347" s="8" t="inlineStr">
        <is>
          <t>F31</t>
        </is>
      </c>
      <c r="C347" s="8" t="inlineStr">
        <is>
          <t>31. Retained earnings / accumulated funds</t>
        </is>
      </c>
      <c r="D347" s="8" t="inlineStr">
        <is>
          <t>31E</t>
        </is>
      </c>
      <c r="E347" s="8" t="inlineStr">
        <is>
          <t>part_x_balance_sheet.retained_earnings_eoy</t>
        </is>
      </c>
      <c r="F347" s="8" t="inlineStr">
        <is>
          <t>high</t>
        </is>
      </c>
      <c r="G347" s="9" t="n">
        <v>424973</v>
      </c>
    </row>
    <row r="348">
      <c r="A348" s="8" t="inlineStr">
        <is>
          <t>Balance sheet (detail)</t>
        </is>
      </c>
      <c r="B348" s="8" t="inlineStr">
        <is>
          <t>G31</t>
        </is>
      </c>
      <c r="C348" s="8" t="inlineStr">
        <is>
          <t>31. Retained earnings / accumulated funds</t>
        </is>
      </c>
      <c r="D348" s="8" t="inlineStr">
        <is>
          <t>31E</t>
        </is>
      </c>
      <c r="E348" s="8" t="inlineStr">
        <is>
          <t>part_x_balance_sheet.retained_earnings_eoy</t>
        </is>
      </c>
      <c r="F348" s="8" t="inlineStr">
        <is>
          <t>high</t>
        </is>
      </c>
      <c r="G348" s="9" t="n">
        <v>482275</v>
      </c>
    </row>
    <row r="349">
      <c r="A349" s="8" t="inlineStr">
        <is>
          <t>Net-assets reconciliation</t>
        </is>
      </c>
      <c r="B349" s="8" t="inlineStr">
        <is>
          <t>B7</t>
        </is>
      </c>
      <c r="C349" s="8" t="inlineStr">
        <is>
          <t>4. Net assets, beginning of year</t>
        </is>
      </c>
      <c r="D349" s="8" t="inlineStr">
        <is>
          <t>Part XI line 4</t>
        </is>
      </c>
      <c r="E349" s="8" t="inlineStr">
        <is>
          <t>part_xi_reconciliation.net_assets_boy</t>
        </is>
      </c>
      <c r="F349" s="8" t="inlineStr">
        <is>
          <t>high</t>
        </is>
      </c>
      <c r="G349" s="9" t="n">
        <v>409185</v>
      </c>
    </row>
    <row r="350">
      <c r="A350" s="8" t="inlineStr">
        <is>
          <t>Net-assets reconciliation</t>
        </is>
      </c>
      <c r="B350" s="8" t="inlineStr">
        <is>
          <t>C7</t>
        </is>
      </c>
      <c r="C350" s="8" t="inlineStr">
        <is>
          <t>4. Net assets, beginning of year</t>
        </is>
      </c>
      <c r="D350" s="8" t="inlineStr">
        <is>
          <t>Part XI line 4</t>
        </is>
      </c>
      <c r="E350" s="8" t="inlineStr">
        <is>
          <t>part_xi_reconciliation.net_assets_boy</t>
        </is>
      </c>
      <c r="F350" s="8" t="inlineStr">
        <is>
          <t>high</t>
        </is>
      </c>
      <c r="G350" s="9" t="n">
        <v>409185</v>
      </c>
    </row>
    <row r="351">
      <c r="A351" s="8" t="inlineStr">
        <is>
          <t>Net-assets reconciliation</t>
        </is>
      </c>
      <c r="B351" s="8" t="inlineStr">
        <is>
          <t>D7</t>
        </is>
      </c>
      <c r="C351" s="8" t="inlineStr">
        <is>
          <t>4. Net assets, beginning of year</t>
        </is>
      </c>
      <c r="D351" s="8" t="inlineStr">
        <is>
          <t>Part XI line 4</t>
        </is>
      </c>
      <c r="E351" s="8" t="inlineStr">
        <is>
          <t>part_xi_reconciliation.net_assets_boy</t>
        </is>
      </c>
      <c r="F351" s="8" t="inlineStr">
        <is>
          <t>high</t>
        </is>
      </c>
      <c r="G351" s="9" t="n">
        <v>396105</v>
      </c>
    </row>
    <row r="352">
      <c r="A352" s="8" t="inlineStr">
        <is>
          <t>Net-assets reconciliation</t>
        </is>
      </c>
      <c r="B352" s="8" t="inlineStr">
        <is>
          <t>E7</t>
        </is>
      </c>
      <c r="C352" s="8" t="inlineStr">
        <is>
          <t>4. Net assets, beginning of year</t>
        </is>
      </c>
      <c r="D352" s="8" t="inlineStr">
        <is>
          <t>Part XI line 4</t>
        </is>
      </c>
      <c r="E352" s="8" t="inlineStr">
        <is>
          <t>part_xi_reconciliation.net_assets_boy</t>
        </is>
      </c>
      <c r="F352" s="8" t="inlineStr">
        <is>
          <t>high</t>
        </is>
      </c>
      <c r="G352" s="9" t="n">
        <v>455444</v>
      </c>
    </row>
    <row r="353">
      <c r="A353" s="8" t="inlineStr">
        <is>
          <t>Net-assets reconciliation</t>
        </is>
      </c>
      <c r="B353" s="8" t="inlineStr">
        <is>
          <t>F7</t>
        </is>
      </c>
      <c r="C353" s="8" t="inlineStr">
        <is>
          <t>4. Net assets, beginning of year</t>
        </is>
      </c>
      <c r="D353" s="8" t="inlineStr">
        <is>
          <t>Part XI line 4</t>
        </is>
      </c>
      <c r="E353" s="8" t="inlineStr">
        <is>
          <t>part_xi_reconciliation.net_assets_boy</t>
        </is>
      </c>
      <c r="F353" s="8" t="inlineStr">
        <is>
          <t>high</t>
        </is>
      </c>
      <c r="G353" s="9" t="n">
        <v>439411</v>
      </c>
    </row>
    <row r="354">
      <c r="A354" s="8" t="inlineStr">
        <is>
          <t>Net-assets reconciliation</t>
        </is>
      </c>
      <c r="B354" s="8" t="inlineStr">
        <is>
          <t>G7</t>
        </is>
      </c>
      <c r="C354" s="8" t="inlineStr">
        <is>
          <t>4. Net assets, beginning of year</t>
        </is>
      </c>
      <c r="D354" s="8" t="inlineStr">
        <is>
          <t>Part XI line 4</t>
        </is>
      </c>
      <c r="E354" s="8" t="inlineStr">
        <is>
          <t>part_xi_reconciliation.net_assets_boy</t>
        </is>
      </c>
      <c r="F354" s="8" t="inlineStr">
        <is>
          <t>high</t>
        </is>
      </c>
      <c r="G354" s="9" t="n">
        <v>543576</v>
      </c>
    </row>
    <row r="355">
      <c r="A355" s="8" t="inlineStr">
        <is>
          <t>Net-assets reconciliation</t>
        </is>
      </c>
      <c r="B355" s="8" t="inlineStr">
        <is>
          <t>B8</t>
        </is>
      </c>
      <c r="C355" s="8" t="inlineStr">
        <is>
          <t>3. Revenue less expenses</t>
        </is>
      </c>
      <c r="D355" s="8" t="inlineStr">
        <is>
          <t>Part XI line 3</t>
        </is>
      </c>
      <c r="E355" s="8" t="inlineStr">
        <is>
          <t>part_xi_reconciliation.reconciliation_revenue_expenses</t>
        </is>
      </c>
      <c r="F355" s="8" t="inlineStr">
        <is>
          <t>high</t>
        </is>
      </c>
      <c r="G355" s="9" t="n">
        <v>0</v>
      </c>
    </row>
    <row r="356">
      <c r="A356" s="8" t="inlineStr">
        <is>
          <t>Net-assets reconciliation</t>
        </is>
      </c>
      <c r="B356" s="8" t="inlineStr">
        <is>
          <t>C8</t>
        </is>
      </c>
      <c r="C356" s="8" t="inlineStr">
        <is>
          <t>3. Revenue less expenses</t>
        </is>
      </c>
      <c r="D356" s="8" t="inlineStr">
        <is>
          <t>Part XI line 3</t>
        </is>
      </c>
      <c r="E356" s="8" t="inlineStr">
        <is>
          <t>part_xi_reconciliation.reconciliation_revenue_expenses</t>
        </is>
      </c>
      <c r="F356" s="8" t="inlineStr">
        <is>
          <t>high</t>
        </is>
      </c>
      <c r="G356" s="9" t="n">
        <v>-40153</v>
      </c>
    </row>
    <row r="357">
      <c r="A357" s="8" t="inlineStr">
        <is>
          <t>Net-assets reconciliation</t>
        </is>
      </c>
      <c r="B357" s="8" t="inlineStr">
        <is>
          <t>D8</t>
        </is>
      </c>
      <c r="C357" s="8" t="inlineStr">
        <is>
          <t>3. Revenue less expenses</t>
        </is>
      </c>
      <c r="D357" s="8" t="inlineStr">
        <is>
          <t>Part XI line 3</t>
        </is>
      </c>
      <c r="E357" s="8" t="inlineStr">
        <is>
          <t>part_xi_reconciliation.reconciliation_revenue_expenses</t>
        </is>
      </c>
      <c r="F357" s="8" t="inlineStr">
        <is>
          <t>high</t>
        </is>
      </c>
      <c r="G357" s="9" t="n">
        <v>32171</v>
      </c>
    </row>
    <row r="358">
      <c r="A358" s="8" t="inlineStr">
        <is>
          <t>Net-assets reconciliation</t>
        </is>
      </c>
      <c r="B358" s="8" t="inlineStr">
        <is>
          <t>E8</t>
        </is>
      </c>
      <c r="C358" s="8" t="inlineStr">
        <is>
          <t>3. Revenue less expenses</t>
        </is>
      </c>
      <c r="D358" s="8" t="inlineStr">
        <is>
          <t>Part XI line 3</t>
        </is>
      </c>
      <c r="E358" s="8" t="inlineStr">
        <is>
          <t>part_xi_reconciliation.reconciliation_revenue_expenses</t>
        </is>
      </c>
      <c r="F358" s="8" t="inlineStr">
        <is>
          <t>high</t>
        </is>
      </c>
      <c r="G358" s="9" t="n">
        <v>-43106</v>
      </c>
    </row>
    <row r="359">
      <c r="A359" s="8" t="inlineStr">
        <is>
          <t>Net-assets reconciliation</t>
        </is>
      </c>
      <c r="B359" s="8" t="inlineStr">
        <is>
          <t>F8</t>
        </is>
      </c>
      <c r="C359" s="8" t="inlineStr">
        <is>
          <t>3. Revenue less expenses</t>
        </is>
      </c>
      <c r="D359" s="8" t="inlineStr">
        <is>
          <t>Part XI line 3</t>
        </is>
      </c>
      <c r="E359" s="8" t="inlineStr">
        <is>
          <t>part_xi_reconciliation.reconciliation_revenue_expenses</t>
        </is>
      </c>
      <c r="F359" s="8" t="inlineStr">
        <is>
          <t>high</t>
        </is>
      </c>
      <c r="G359" s="9" t="n">
        <v>77092</v>
      </c>
    </row>
    <row r="360">
      <c r="A360" s="8" t="inlineStr">
        <is>
          <t>Net-assets reconciliation</t>
        </is>
      </c>
      <c r="B360" s="8" t="inlineStr">
        <is>
          <t>G8</t>
        </is>
      </c>
      <c r="C360" s="8" t="inlineStr">
        <is>
          <t>3. Revenue less expenses</t>
        </is>
      </c>
      <c r="D360" s="8" t="inlineStr">
        <is>
          <t>Part XI line 3</t>
        </is>
      </c>
      <c r="E360" s="8" t="inlineStr">
        <is>
          <t>part_xi_reconciliation.reconciliation_revenue_expenses</t>
        </is>
      </c>
      <c r="F360" s="8" t="inlineStr">
        <is>
          <t>high</t>
        </is>
      </c>
      <c r="G360" s="9" t="n">
        <v>30229</v>
      </c>
    </row>
    <row r="361">
      <c r="A361" s="8" t="inlineStr">
        <is>
          <t>Net-assets reconciliation</t>
        </is>
      </c>
      <c r="B361" s="8" t="inlineStr">
        <is>
          <t>C10</t>
        </is>
      </c>
      <c r="C361" s="8" t="inlineStr">
        <is>
          <t>9. Other changes in net assets</t>
        </is>
      </c>
      <c r="D361" s="8" t="inlineStr">
        <is>
          <t>Part XI line 9</t>
        </is>
      </c>
      <c r="E361" s="8" t="inlineStr">
        <is>
          <t>part_xi_reconciliation.other_changes_net_assets</t>
        </is>
      </c>
      <c r="F361" s="8" t="inlineStr">
        <is>
          <t>high</t>
        </is>
      </c>
      <c r="G361" s="9" t="n">
        <v>27073</v>
      </c>
    </row>
    <row r="362">
      <c r="A362" s="8" t="inlineStr">
        <is>
          <t>Net-assets reconciliation</t>
        </is>
      </c>
      <c r="B362" s="8" t="inlineStr">
        <is>
          <t>D10</t>
        </is>
      </c>
      <c r="C362" s="8" t="inlineStr">
        <is>
          <t>9. Other changes in net assets</t>
        </is>
      </c>
      <c r="D362" s="8" t="inlineStr">
        <is>
          <t>Part XI line 9</t>
        </is>
      </c>
      <c r="E362" s="8" t="inlineStr">
        <is>
          <t>part_xi_reconciliation.other_changes_net_assets</t>
        </is>
      </c>
      <c r="F362" s="8" t="inlineStr">
        <is>
          <t>high</t>
        </is>
      </c>
      <c r="G362" s="9" t="n">
        <v>27168</v>
      </c>
    </row>
    <row r="363">
      <c r="A363" s="8" t="inlineStr">
        <is>
          <t>Net-assets reconciliation</t>
        </is>
      </c>
      <c r="B363" s="8" t="inlineStr">
        <is>
          <t>E10</t>
        </is>
      </c>
      <c r="C363" s="8" t="inlineStr">
        <is>
          <t>9. Other changes in net assets</t>
        </is>
      </c>
      <c r="D363" s="8" t="inlineStr">
        <is>
          <t>Part XI line 9</t>
        </is>
      </c>
      <c r="E363" s="8" t="inlineStr">
        <is>
          <t>part_xi_reconciliation.other_changes_net_assets</t>
        </is>
      </c>
      <c r="F363" s="8" t="inlineStr">
        <is>
          <t>high</t>
        </is>
      </c>
      <c r="G363" s="9" t="n">
        <v>27073</v>
      </c>
    </row>
    <row r="364">
      <c r="A364" s="8" t="inlineStr">
        <is>
          <t>Net-assets reconciliation</t>
        </is>
      </c>
      <c r="B364" s="8" t="inlineStr">
        <is>
          <t>F10</t>
        </is>
      </c>
      <c r="C364" s="8" t="inlineStr">
        <is>
          <t>9. Other changes in net assets</t>
        </is>
      </c>
      <c r="D364" s="8" t="inlineStr">
        <is>
          <t>Part XI line 9</t>
        </is>
      </c>
      <c r="E364" s="8" t="inlineStr">
        <is>
          <t>part_xi_reconciliation.other_changes_net_assets</t>
        </is>
      </c>
      <c r="F364" s="8" t="inlineStr">
        <is>
          <t>high</t>
        </is>
      </c>
      <c r="G364" s="9" t="n">
        <v>27073</v>
      </c>
    </row>
    <row r="365">
      <c r="A365" s="8" t="inlineStr">
        <is>
          <t>Net-assets reconciliation</t>
        </is>
      </c>
      <c r="B365" s="8" t="inlineStr">
        <is>
          <t>G10</t>
        </is>
      </c>
      <c r="C365" s="8" t="inlineStr">
        <is>
          <t>9. Other changes in net assets</t>
        </is>
      </c>
      <c r="D365" s="8" t="inlineStr">
        <is>
          <t>Part XI line 9</t>
        </is>
      </c>
      <c r="E365" s="8" t="inlineStr">
        <is>
          <t>part_xi_reconciliation.other_changes_net_assets</t>
        </is>
      </c>
      <c r="F365" s="8" t="inlineStr">
        <is>
          <t>high</t>
        </is>
      </c>
      <c r="G365" s="9" t="n">
        <v>27073</v>
      </c>
    </row>
    <row r="367">
      <c r="A367" s="31" t="inlineStr">
        <is>
          <t>C. Tie-out checks (filed vs computed; any nonzero variance is flagged red)</t>
        </is>
      </c>
      <c r="B367" s="7" t="n"/>
      <c r="C367" s="7" t="n"/>
      <c r="D367" s="7" t="n"/>
      <c r="E367" s="7" t="n"/>
      <c r="F367" s="7" t="n"/>
      <c r="G367" s="7" t="n"/>
      <c r="H367" s="7" t="n"/>
      <c r="I367" s="7" t="n"/>
      <c r="J367" s="7" t="n"/>
      <c r="K367" s="7" t="n"/>
    </row>
    <row r="368">
      <c r="A368" s="5" t="inlineStr">
        <is>
          <t>Tab</t>
        </is>
      </c>
      <c r="B368" s="5" t="inlineStr">
        <is>
          <t>Check</t>
        </is>
      </c>
      <c r="C368" s="5" t="inlineStr">
        <is>
          <t>Fiscal year</t>
        </is>
      </c>
      <c r="D368" s="5" t="inlineStr">
        <is>
          <t>Filed</t>
        </is>
      </c>
      <c r="E368" s="5" t="inlineStr">
        <is>
          <t>Computed</t>
        </is>
      </c>
      <c r="F368" s="5" t="inlineStr">
        <is>
          <t>Variance (computed - filed)</t>
        </is>
      </c>
    </row>
    <row r="369">
      <c r="A369" s="18" t="inlineStr">
        <is>
          <t>Revenue (detail)</t>
        </is>
      </c>
      <c r="B369" s="18" t="inlineStr">
        <is>
          <t>12. Total revenue</t>
        </is>
      </c>
      <c r="C369" s="18" t="inlineStr">
        <is>
          <t>FY2020</t>
        </is>
      </c>
      <c r="D369" s="9" t="n">
        <v>251282</v>
      </c>
      <c r="E369" s="9">
        <f>'Revenue (detail)'!B13</f>
        <v/>
      </c>
      <c r="F369" s="9">
        <f>E369-D369</f>
        <v/>
      </c>
    </row>
    <row r="370">
      <c r="A370" s="18" t="inlineStr">
        <is>
          <t>Revenue (detail)</t>
        </is>
      </c>
      <c r="B370" s="18" t="inlineStr">
        <is>
          <t>12. Total revenue</t>
        </is>
      </c>
      <c r="C370" s="18" t="inlineStr">
        <is>
          <t>FY2021</t>
        </is>
      </c>
      <c r="D370" s="9" t="n">
        <v>257555</v>
      </c>
      <c r="E370" s="9">
        <f>'Revenue (detail)'!C13</f>
        <v/>
      </c>
      <c r="F370" s="9">
        <f>E370-D370</f>
        <v/>
      </c>
    </row>
    <row r="371">
      <c r="A371" s="18" t="inlineStr">
        <is>
          <t>Revenue (detail)</t>
        </is>
      </c>
      <c r="B371" s="18" t="inlineStr">
        <is>
          <t>12. Total revenue</t>
        </is>
      </c>
      <c r="C371" s="18" t="inlineStr">
        <is>
          <t>FY2022</t>
        </is>
      </c>
      <c r="D371" s="9" t="n">
        <v>341470</v>
      </c>
      <c r="E371" s="9">
        <f>'Revenue (detail)'!D13</f>
        <v/>
      </c>
      <c r="F371" s="9">
        <f>E371-D371</f>
        <v/>
      </c>
    </row>
    <row r="372">
      <c r="A372" s="18" t="inlineStr">
        <is>
          <t>Revenue (detail)</t>
        </is>
      </c>
      <c r="B372" s="18" t="inlineStr">
        <is>
          <t>12. Total revenue</t>
        </is>
      </c>
      <c r="C372" s="18" t="inlineStr">
        <is>
          <t>FY2023</t>
        </is>
      </c>
      <c r="D372" s="9" t="n">
        <v>262072</v>
      </c>
      <c r="E372" s="9">
        <f>'Revenue (detail)'!E13</f>
        <v/>
      </c>
      <c r="F372" s="9">
        <f>E372-D372</f>
        <v/>
      </c>
    </row>
    <row r="373">
      <c r="A373" s="18" t="inlineStr">
        <is>
          <t>Revenue (detail)</t>
        </is>
      </c>
      <c r="B373" s="18" t="inlineStr">
        <is>
          <t>12. Total revenue</t>
        </is>
      </c>
      <c r="C373" s="18" t="inlineStr">
        <is>
          <t>FY2024</t>
        </is>
      </c>
      <c r="D373" s="9" t="n">
        <v>387865</v>
      </c>
      <c r="E373" s="9">
        <f>'Revenue (detail)'!F13</f>
        <v/>
      </c>
      <c r="F373" s="9">
        <f>E373-D373</f>
        <v/>
      </c>
    </row>
    <row r="374">
      <c r="A374" s="18" t="inlineStr">
        <is>
          <t>Revenue (detail)</t>
        </is>
      </c>
      <c r="B374" s="18" t="inlineStr">
        <is>
          <t>12. Total revenue</t>
        </is>
      </c>
      <c r="C374" s="18" t="inlineStr">
        <is>
          <t>FY2025</t>
        </is>
      </c>
      <c r="D374" s="9" t="n">
        <v>346455</v>
      </c>
      <c r="E374" s="9">
        <f>'Revenue (detail)'!G13</f>
        <v/>
      </c>
      <c r="F374" s="9">
        <f>E374-D374</f>
        <v/>
      </c>
    </row>
    <row r="375">
      <c r="A375" s="18" t="inlineStr">
        <is>
          <t>Revenue (detail)</t>
        </is>
      </c>
      <c r="B375" s="18" t="inlineStr">
        <is>
          <t>2g program service revenue = sum of lines 2a-2f (FY2025)</t>
        </is>
      </c>
      <c r="C375" s="18" t="inlineStr">
        <is>
          <t>FY2025</t>
        </is>
      </c>
      <c r="D375" s="9" t="n">
        <v>346455</v>
      </c>
      <c r="E375" s="9">
        <f>SUM('Revenue (detail)'!C17:C17)</f>
        <v/>
      </c>
      <c r="F375" s="9">
        <f>E375-D375</f>
        <v/>
      </c>
    </row>
    <row r="376">
      <c r="A376" s="18" t="inlineStr">
        <is>
          <t>Operating expenses (detail)</t>
        </is>
      </c>
      <c r="B376" s="18" t="inlineStr">
        <is>
          <t>25. Total functional expenses</t>
        </is>
      </c>
      <c r="C376" s="18" t="inlineStr">
        <is>
          <t>FY2020</t>
        </is>
      </c>
      <c r="D376" s="9" t="n">
        <v>251282</v>
      </c>
      <c r="E376" s="9">
        <f>'Operating expenses (detail)'!B41</f>
        <v/>
      </c>
      <c r="F376" s="9">
        <f>E376-D376</f>
        <v/>
      </c>
    </row>
    <row r="377">
      <c r="A377" s="18" t="inlineStr">
        <is>
          <t>Operating expenses (detail)</t>
        </is>
      </c>
      <c r="B377" s="18" t="inlineStr">
        <is>
          <t>25. Total functional expenses</t>
        </is>
      </c>
      <c r="C377" s="18" t="inlineStr">
        <is>
          <t>FY2021</t>
        </is>
      </c>
      <c r="D377" s="9" t="n">
        <v>297708</v>
      </c>
      <c r="E377" s="9">
        <f>'Operating expenses (detail)'!C41</f>
        <v/>
      </c>
      <c r="F377" s="9">
        <f>E377-D377</f>
        <v/>
      </c>
    </row>
    <row r="378">
      <c r="A378" s="18" t="inlineStr">
        <is>
          <t>Operating expenses (detail)</t>
        </is>
      </c>
      <c r="B378" s="18" t="inlineStr">
        <is>
          <t>25. Total functional expenses</t>
        </is>
      </c>
      <c r="C378" s="18" t="inlineStr">
        <is>
          <t>FY2022</t>
        </is>
      </c>
      <c r="D378" s="9" t="n">
        <v>309299</v>
      </c>
      <c r="E378" s="9">
        <f>'Operating expenses (detail)'!D41</f>
        <v/>
      </c>
      <c r="F378" s="9">
        <f>E378-D378</f>
        <v/>
      </c>
    </row>
    <row r="379">
      <c r="A379" s="18" t="inlineStr">
        <is>
          <t>Operating expenses (detail)</t>
        </is>
      </c>
      <c r="B379" s="18" t="inlineStr">
        <is>
          <t>25. Total functional expenses</t>
        </is>
      </c>
      <c r="C379" s="18" t="inlineStr">
        <is>
          <t>FY2023</t>
        </is>
      </c>
      <c r="D379" s="9" t="n">
        <v>305178</v>
      </c>
      <c r="E379" s="9">
        <f>'Operating expenses (detail)'!E41</f>
        <v/>
      </c>
      <c r="F379" s="9">
        <f>E379-D379</f>
        <v/>
      </c>
    </row>
    <row r="380">
      <c r="A380" s="18" t="inlineStr">
        <is>
          <t>Operating expenses (detail)</t>
        </is>
      </c>
      <c r="B380" s="18" t="inlineStr">
        <is>
          <t>25. Total functional expenses</t>
        </is>
      </c>
      <c r="C380" s="18" t="inlineStr">
        <is>
          <t>FY2024</t>
        </is>
      </c>
      <c r="D380" s="9" t="n">
        <v>310773</v>
      </c>
      <c r="E380" s="9">
        <f>'Operating expenses (detail)'!F41</f>
        <v/>
      </c>
      <c r="F380" s="9">
        <f>E380-D380</f>
        <v/>
      </c>
    </row>
    <row r="381">
      <c r="A381" s="18" t="inlineStr">
        <is>
          <t>Operating expenses (detail)</t>
        </is>
      </c>
      <c r="B381" s="18" t="inlineStr">
        <is>
          <t>25. Total functional expenses</t>
        </is>
      </c>
      <c r="C381" s="18" t="inlineStr">
        <is>
          <t>FY2025</t>
        </is>
      </c>
      <c r="D381" s="9" t="n">
        <v>316226</v>
      </c>
      <c r="E381" s="9">
        <f>'Operating expenses (detail)'!G41</f>
        <v/>
      </c>
      <c r="F381" s="9">
        <f>E381-D381</f>
        <v/>
      </c>
    </row>
    <row r="382">
      <c r="A382" s="18" t="inlineStr">
        <is>
          <t>Operating expenses (detail)</t>
        </is>
      </c>
      <c r="B382" s="18" t="inlineStr">
        <is>
          <t>Part IX column split: col A = B + C + D (FY2025)</t>
        </is>
      </c>
      <c r="C382" s="18" t="inlineStr">
        <is>
          <t>FY2025</t>
        </is>
      </c>
      <c r="D382" s="9">
        <f>'Operating expenses (detail)'!B74</f>
        <v/>
      </c>
      <c r="E382" s="9">
        <f>'Operating expenses (detail)'!C74+'Operating expenses (detail)'!D74+'Operating expenses (detail)'!E74</f>
        <v/>
      </c>
      <c r="F382" s="9">
        <f>E382-D382</f>
        <v/>
      </c>
    </row>
    <row r="383">
      <c r="A383" s="18" t="inlineStr">
        <is>
          <t>Balance sheet (detail)</t>
        </is>
      </c>
      <c r="B383" s="18" t="inlineStr">
        <is>
          <t>16. Total assets</t>
        </is>
      </c>
      <c r="C383" s="18" t="inlineStr">
        <is>
          <t>FY2020</t>
        </is>
      </c>
      <c r="D383" s="9" t="n">
        <v>456929</v>
      </c>
      <c r="E383" s="9">
        <f>'Balance sheet (detail)'!B22</f>
        <v/>
      </c>
      <c r="F383" s="9">
        <f>E383-D383</f>
        <v/>
      </c>
    </row>
    <row r="384">
      <c r="A384" s="18" t="inlineStr">
        <is>
          <t>Balance sheet (detail)</t>
        </is>
      </c>
      <c r="B384" s="18" t="inlineStr">
        <is>
          <t>16. Total assets</t>
        </is>
      </c>
      <c r="C384" s="18" t="inlineStr">
        <is>
          <t>FY2021</t>
        </is>
      </c>
      <c r="D384" s="9" t="n">
        <v>434901</v>
      </c>
      <c r="E384" s="9">
        <f>'Balance sheet (detail)'!C22</f>
        <v/>
      </c>
      <c r="F384" s="9">
        <f>E384-D384</f>
        <v/>
      </c>
    </row>
    <row r="385">
      <c r="A385" s="18" t="inlineStr">
        <is>
          <t>Balance sheet (detail)</t>
        </is>
      </c>
      <c r="B385" s="18" t="inlineStr">
        <is>
          <t>16. Total assets</t>
        </is>
      </c>
      <c r="C385" s="18" t="inlineStr">
        <is>
          <t>FY2022</t>
        </is>
      </c>
      <c r="D385" s="9" t="n">
        <v>497245</v>
      </c>
      <c r="E385" s="9">
        <f>'Balance sheet (detail)'!D22</f>
        <v/>
      </c>
      <c r="F385" s="9">
        <f>E385-D385</f>
        <v/>
      </c>
    </row>
    <row r="386">
      <c r="A386" s="18" t="inlineStr">
        <is>
          <t>Balance sheet (detail)</t>
        </is>
      </c>
      <c r="B386" s="18" t="inlineStr">
        <is>
          <t>16. Total assets</t>
        </is>
      </c>
      <c r="C386" s="18" t="inlineStr">
        <is>
          <t>FY2023</t>
        </is>
      </c>
      <c r="D386" s="9" t="n">
        <v>501654</v>
      </c>
      <c r="E386" s="9">
        <f>'Balance sheet (detail)'!E22</f>
        <v/>
      </c>
      <c r="F386" s="9">
        <f>E386-D386</f>
        <v/>
      </c>
    </row>
    <row r="387">
      <c r="A387" s="18" t="inlineStr">
        <is>
          <t>Balance sheet (detail)</t>
        </is>
      </c>
      <c r="B387" s="18" t="inlineStr">
        <is>
          <t>16. Total assets</t>
        </is>
      </c>
      <c r="C387" s="18" t="inlineStr">
        <is>
          <t>FY2024</t>
        </is>
      </c>
      <c r="D387" s="9" t="n">
        <v>680946</v>
      </c>
      <c r="E387" s="9">
        <f>'Balance sheet (detail)'!F22</f>
        <v/>
      </c>
      <c r="F387" s="9">
        <f>E387-D387</f>
        <v/>
      </c>
    </row>
    <row r="388">
      <c r="A388" s="18" t="inlineStr">
        <is>
          <t>Balance sheet (detail)</t>
        </is>
      </c>
      <c r="B388" s="18" t="inlineStr">
        <is>
          <t>16. Total assets</t>
        </is>
      </c>
      <c r="C388" s="18" t="inlineStr">
        <is>
          <t>FY2025</t>
        </is>
      </c>
      <c r="D388" s="9" t="n">
        <v>688202</v>
      </c>
      <c r="E388" s="9">
        <f>'Balance sheet (detail)'!G22</f>
        <v/>
      </c>
      <c r="F388" s="9">
        <f>E388-D388</f>
        <v/>
      </c>
    </row>
    <row r="389">
      <c r="A389" s="18" t="inlineStr">
        <is>
          <t>Balance sheet (detail)</t>
        </is>
      </c>
      <c r="B389" s="18" t="inlineStr">
        <is>
          <t>26. Total liabilities</t>
        </is>
      </c>
      <c r="C389" s="18" t="inlineStr">
        <is>
          <t>FY2020</t>
        </is>
      </c>
      <c r="D389" s="9" t="n">
        <v>47744</v>
      </c>
      <c r="E389" s="9">
        <f>'Balance sheet (detail)'!B26</f>
        <v/>
      </c>
      <c r="F389" s="9">
        <f>E389-D389</f>
        <v/>
      </c>
    </row>
    <row r="390">
      <c r="A390" s="18" t="inlineStr">
        <is>
          <t>Balance sheet (detail)</t>
        </is>
      </c>
      <c r="B390" s="18" t="inlineStr">
        <is>
          <t>26. Total liabilities</t>
        </is>
      </c>
      <c r="C390" s="18" t="inlineStr">
        <is>
          <t>FY2021</t>
        </is>
      </c>
      <c r="D390" s="9" t="n">
        <v>38796</v>
      </c>
      <c r="E390" s="9">
        <f>'Balance sheet (detail)'!C26</f>
        <v/>
      </c>
      <c r="F390" s="9">
        <f>E390-D390</f>
        <v/>
      </c>
    </row>
    <row r="391">
      <c r="A391" s="18" t="inlineStr">
        <is>
          <t>Balance sheet (detail)</t>
        </is>
      </c>
      <c r="B391" s="18" t="inlineStr">
        <is>
          <t>26. Total liabilities</t>
        </is>
      </c>
      <c r="C391" s="18" t="inlineStr">
        <is>
          <t>FY2022</t>
        </is>
      </c>
      <c r="D391" s="9" t="n">
        <v>41801</v>
      </c>
      <c r="E391" s="9">
        <f>'Balance sheet (detail)'!D26</f>
        <v/>
      </c>
      <c r="F391" s="9">
        <f>E391-D391</f>
        <v/>
      </c>
    </row>
    <row r="392">
      <c r="A392" s="18" t="inlineStr">
        <is>
          <t>Balance sheet (detail)</t>
        </is>
      </c>
      <c r="B392" s="18" t="inlineStr">
        <is>
          <t>26. Total liabilities</t>
        </is>
      </c>
      <c r="C392" s="18" t="inlineStr">
        <is>
          <t>FY2023</t>
        </is>
      </c>
      <c r="D392" s="9" t="n">
        <v>62243</v>
      </c>
      <c r="E392" s="9">
        <f>'Balance sheet (detail)'!E26</f>
        <v/>
      </c>
      <c r="F392" s="9">
        <f>E392-D392</f>
        <v/>
      </c>
    </row>
    <row r="393">
      <c r="A393" s="18" t="inlineStr">
        <is>
          <t>Balance sheet (detail)</t>
        </is>
      </c>
      <c r="B393" s="18" t="inlineStr">
        <is>
          <t>26. Total liabilities</t>
        </is>
      </c>
      <c r="C393" s="18" t="inlineStr">
        <is>
          <t>FY2024</t>
        </is>
      </c>
      <c r="D393" s="9" t="n">
        <v>137370</v>
      </c>
      <c r="E393" s="9">
        <f>'Balance sheet (detail)'!F26</f>
        <v/>
      </c>
      <c r="F393" s="9">
        <f>E393-D393</f>
        <v/>
      </c>
    </row>
    <row r="394">
      <c r="A394" s="18" t="inlineStr">
        <is>
          <t>Balance sheet (detail)</t>
        </is>
      </c>
      <c r="B394" s="18" t="inlineStr">
        <is>
          <t>26. Total liabilities</t>
        </is>
      </c>
      <c r="C394" s="18" t="inlineStr">
        <is>
          <t>FY2025</t>
        </is>
      </c>
      <c r="D394" s="9" t="n">
        <v>87324</v>
      </c>
      <c r="E394" s="9">
        <f>'Balance sheet (detail)'!G26</f>
        <v/>
      </c>
      <c r="F394" s="9">
        <f>E394-D394</f>
        <v/>
      </c>
    </row>
    <row r="395">
      <c r="A395" s="18" t="inlineStr">
        <is>
          <t>Balance sheet (detail)</t>
        </is>
      </c>
      <c r="B395" s="18" t="inlineStr">
        <is>
          <t>32. Total net assets / fund balances</t>
        </is>
      </c>
      <c r="C395" s="18" t="inlineStr">
        <is>
          <t>FY2020</t>
        </is>
      </c>
      <c r="D395" s="9" t="n">
        <v>409185</v>
      </c>
      <c r="E395" s="9">
        <f>'Balance sheet (detail)'!B32</f>
        <v/>
      </c>
      <c r="F395" s="9">
        <f>E395-D395</f>
        <v/>
      </c>
    </row>
    <row r="396">
      <c r="A396" s="18" t="inlineStr">
        <is>
          <t>Balance sheet (detail)</t>
        </is>
      </c>
      <c r="B396" s="18" t="inlineStr">
        <is>
          <t>32. Total net assets / fund balances</t>
        </is>
      </c>
      <c r="C396" s="18" t="inlineStr">
        <is>
          <t>FY2021</t>
        </is>
      </c>
      <c r="D396" s="9" t="n">
        <v>396105</v>
      </c>
      <c r="E396" s="9">
        <f>'Balance sheet (detail)'!C32</f>
        <v/>
      </c>
      <c r="F396" s="9">
        <f>E396-D396</f>
        <v/>
      </c>
    </row>
    <row r="397">
      <c r="A397" s="18" t="inlineStr">
        <is>
          <t>Balance sheet (detail)</t>
        </is>
      </c>
      <c r="B397" s="18" t="inlineStr">
        <is>
          <t>32. Total net assets / fund balances</t>
        </is>
      </c>
      <c r="C397" s="18" t="inlineStr">
        <is>
          <t>FY2022</t>
        </is>
      </c>
      <c r="D397" s="9" t="n">
        <v>455444</v>
      </c>
      <c r="E397" s="9">
        <f>'Balance sheet (detail)'!D32</f>
        <v/>
      </c>
      <c r="F397" s="9">
        <f>E397-D397</f>
        <v/>
      </c>
    </row>
    <row r="398">
      <c r="A398" s="18" t="inlineStr">
        <is>
          <t>Balance sheet (detail)</t>
        </is>
      </c>
      <c r="B398" s="18" t="inlineStr">
        <is>
          <t>32. Total net assets / fund balances</t>
        </is>
      </c>
      <c r="C398" s="18" t="inlineStr">
        <is>
          <t>FY2023</t>
        </is>
      </c>
      <c r="D398" s="9" t="n">
        <v>439411</v>
      </c>
      <c r="E398" s="9">
        <f>'Balance sheet (detail)'!E32</f>
        <v/>
      </c>
      <c r="F398" s="9">
        <f>E398-D398</f>
        <v/>
      </c>
    </row>
    <row r="399">
      <c r="A399" s="18" t="inlineStr">
        <is>
          <t>Balance sheet (detail)</t>
        </is>
      </c>
      <c r="B399" s="18" t="inlineStr">
        <is>
          <t>32. Total net assets / fund balances</t>
        </is>
      </c>
      <c r="C399" s="18" t="inlineStr">
        <is>
          <t>FY2024</t>
        </is>
      </c>
      <c r="D399" s="9" t="n">
        <v>543576</v>
      </c>
      <c r="E399" s="9">
        <f>'Balance sheet (detail)'!F32</f>
        <v/>
      </c>
      <c r="F399" s="9">
        <f>E399-D399</f>
        <v/>
      </c>
    </row>
    <row r="400">
      <c r="A400" s="18" t="inlineStr">
        <is>
          <t>Balance sheet (detail)</t>
        </is>
      </c>
      <c r="B400" s="18" t="inlineStr">
        <is>
          <t>32. Total net assets / fund balances</t>
        </is>
      </c>
      <c r="C400" s="18" t="inlineStr">
        <is>
          <t>FY2025</t>
        </is>
      </c>
      <c r="D400" s="9" t="n">
        <v>600878</v>
      </c>
      <c r="E400" s="9">
        <f>'Balance sheet (detail)'!G32</f>
        <v/>
      </c>
      <c r="F400" s="9">
        <f>E400-D400</f>
        <v/>
      </c>
    </row>
    <row r="401">
      <c r="A401" s="18" t="inlineStr">
        <is>
          <t>Balance sheet (detail)</t>
        </is>
      </c>
      <c r="B401" s="18" t="inlineStr">
        <is>
          <t>Balance sheet identity: line 16 = line 26 + line 32 (EOY)</t>
        </is>
      </c>
      <c r="C401" s="18" t="inlineStr">
        <is>
          <t>FY2020</t>
        </is>
      </c>
      <c r="D401" s="9">
        <f>'Balance sheet (detail)'!B22</f>
        <v/>
      </c>
      <c r="E401" s="9">
        <f>SUM('Balance sheet (detail)'!B26,'Balance sheet (detail)'!B32)</f>
        <v/>
      </c>
      <c r="F401" s="9">
        <f>E401-D401</f>
        <v/>
      </c>
    </row>
    <row r="402">
      <c r="A402" s="18" t="inlineStr">
        <is>
          <t>Balance sheet (detail)</t>
        </is>
      </c>
      <c r="B402" s="18" t="inlineStr">
        <is>
          <t>Balance sheet identity: line 16 = line 26 + line 32 (EOY)</t>
        </is>
      </c>
      <c r="C402" s="18" t="inlineStr">
        <is>
          <t>FY2021</t>
        </is>
      </c>
      <c r="D402" s="9">
        <f>'Balance sheet (detail)'!C22</f>
        <v/>
      </c>
      <c r="E402" s="9">
        <f>SUM('Balance sheet (detail)'!C26,'Balance sheet (detail)'!C32)</f>
        <v/>
      </c>
      <c r="F402" s="9">
        <f>E402-D402</f>
        <v/>
      </c>
    </row>
    <row r="403">
      <c r="A403" s="18" t="inlineStr">
        <is>
          <t>Balance sheet (detail)</t>
        </is>
      </c>
      <c r="B403" s="18" t="inlineStr">
        <is>
          <t>Balance sheet identity: line 16 = line 26 + line 32 (EOY)</t>
        </is>
      </c>
      <c r="C403" s="18" t="inlineStr">
        <is>
          <t>FY2022</t>
        </is>
      </c>
      <c r="D403" s="9">
        <f>'Balance sheet (detail)'!D22</f>
        <v/>
      </c>
      <c r="E403" s="9">
        <f>SUM('Balance sheet (detail)'!D26,'Balance sheet (detail)'!D32)</f>
        <v/>
      </c>
      <c r="F403" s="9">
        <f>E403-D403</f>
        <v/>
      </c>
    </row>
    <row r="404">
      <c r="A404" s="18" t="inlineStr">
        <is>
          <t>Balance sheet (detail)</t>
        </is>
      </c>
      <c r="B404" s="18" t="inlineStr">
        <is>
          <t>Balance sheet identity: line 16 = line 26 + line 32 (EOY)</t>
        </is>
      </c>
      <c r="C404" s="18" t="inlineStr">
        <is>
          <t>FY2023</t>
        </is>
      </c>
      <c r="D404" s="9">
        <f>'Balance sheet (detail)'!E22</f>
        <v/>
      </c>
      <c r="E404" s="9">
        <f>SUM('Balance sheet (detail)'!E26,'Balance sheet (detail)'!E32)</f>
        <v/>
      </c>
      <c r="F404" s="9">
        <f>E404-D404</f>
        <v/>
      </c>
    </row>
    <row r="405">
      <c r="A405" s="18" t="inlineStr">
        <is>
          <t>Balance sheet (detail)</t>
        </is>
      </c>
      <c r="B405" s="18" t="inlineStr">
        <is>
          <t>Balance sheet identity: line 16 = line 26 + line 32 (EOY)</t>
        </is>
      </c>
      <c r="C405" s="18" t="inlineStr">
        <is>
          <t>FY2024</t>
        </is>
      </c>
      <c r="D405" s="9">
        <f>'Balance sheet (detail)'!F22</f>
        <v/>
      </c>
      <c r="E405" s="9">
        <f>SUM('Balance sheet (detail)'!F26,'Balance sheet (detail)'!F32)</f>
        <v/>
      </c>
      <c r="F405" s="9">
        <f>E405-D405</f>
        <v/>
      </c>
    </row>
    <row r="406">
      <c r="A406" s="18" t="inlineStr">
        <is>
          <t>Balance sheet (detail)</t>
        </is>
      </c>
      <c r="B406" s="18" t="inlineStr">
        <is>
          <t>Balance sheet identity: line 16 = line 26 + line 32 (EOY)</t>
        </is>
      </c>
      <c r="C406" s="18" t="inlineStr">
        <is>
          <t>FY2025</t>
        </is>
      </c>
      <c r="D406" s="9">
        <f>'Balance sheet (detail)'!G22</f>
        <v/>
      </c>
      <c r="E406" s="9">
        <f>SUM('Balance sheet (detail)'!G26,'Balance sheet (detail)'!G32)</f>
        <v/>
      </c>
      <c r="F406" s="9">
        <f>E406-D406</f>
        <v/>
      </c>
    </row>
    <row r="407">
      <c r="A407" s="18" t="inlineStr">
        <is>
          <t>Net-assets reconciliation</t>
        </is>
      </c>
      <c r="B407" s="18" t="inlineStr">
        <is>
          <t>10. Net assets, end of year</t>
        </is>
      </c>
      <c r="C407" s="18" t="inlineStr">
        <is>
          <t>FY2020</t>
        </is>
      </c>
      <c r="D407" s="9" t="n">
        <v>409185</v>
      </c>
      <c r="E407" s="9">
        <f>'Net-assets reconciliation'!B11</f>
        <v/>
      </c>
      <c r="F407" s="9">
        <f>E407-D407</f>
        <v/>
      </c>
    </row>
    <row r="408">
      <c r="A408" s="18" t="inlineStr">
        <is>
          <t>Net-assets reconciliation</t>
        </is>
      </c>
      <c r="B408" s="18" t="inlineStr">
        <is>
          <t>10. Net assets, end of year</t>
        </is>
      </c>
      <c r="C408" s="18" t="inlineStr">
        <is>
          <t>FY2021</t>
        </is>
      </c>
      <c r="D408" s="9" t="n">
        <v>396105</v>
      </c>
      <c r="E408" s="9">
        <f>'Net-assets reconciliation'!C11</f>
        <v/>
      </c>
      <c r="F408" s="9">
        <f>E408-D408</f>
        <v/>
      </c>
    </row>
    <row r="409">
      <c r="A409" s="18" t="inlineStr">
        <is>
          <t>Net-assets reconciliation</t>
        </is>
      </c>
      <c r="B409" s="18" t="inlineStr">
        <is>
          <t>10. Net assets, end of year</t>
        </is>
      </c>
      <c r="C409" s="18" t="inlineStr">
        <is>
          <t>FY2022</t>
        </is>
      </c>
      <c r="D409" s="9" t="n">
        <v>455444</v>
      </c>
      <c r="E409" s="9">
        <f>'Net-assets reconciliation'!D11</f>
        <v/>
      </c>
      <c r="F409" s="9">
        <f>E409-D409</f>
        <v/>
      </c>
    </row>
    <row r="410">
      <c r="A410" s="18" t="inlineStr">
        <is>
          <t>Net-assets reconciliation</t>
        </is>
      </c>
      <c r="B410" s="18" t="inlineStr">
        <is>
          <t>10. Net assets, end of year</t>
        </is>
      </c>
      <c r="C410" s="18" t="inlineStr">
        <is>
          <t>FY2023</t>
        </is>
      </c>
      <c r="D410" s="9" t="n">
        <v>439411</v>
      </c>
      <c r="E410" s="9">
        <f>'Net-assets reconciliation'!E11</f>
        <v/>
      </c>
      <c r="F410" s="9">
        <f>E410-D410</f>
        <v/>
      </c>
    </row>
    <row r="411">
      <c r="A411" s="18" t="inlineStr">
        <is>
          <t>Net-assets reconciliation</t>
        </is>
      </c>
      <c r="B411" s="18" t="inlineStr">
        <is>
          <t>10. Net assets, end of year</t>
        </is>
      </c>
      <c r="C411" s="18" t="inlineStr">
        <is>
          <t>FY2024</t>
        </is>
      </c>
      <c r="D411" s="9" t="n">
        <v>543576</v>
      </c>
      <c r="E411" s="9">
        <f>'Net-assets reconciliation'!F11</f>
        <v/>
      </c>
      <c r="F411" s="9">
        <f>E411-D411</f>
        <v/>
      </c>
    </row>
    <row r="412">
      <c r="A412" s="18" t="inlineStr">
        <is>
          <t>Net-assets reconciliation</t>
        </is>
      </c>
      <c r="B412" s="18" t="inlineStr">
        <is>
          <t>10. Net assets, end of year</t>
        </is>
      </c>
      <c r="C412" s="18" t="inlineStr">
        <is>
          <t>FY2025</t>
        </is>
      </c>
      <c r="D412" s="9" t="n">
        <v>600878</v>
      </c>
      <c r="E412" s="9">
        <f>'Net-assets reconciliation'!G11</f>
        <v/>
      </c>
      <c r="F412" s="9">
        <f>E412-D412</f>
        <v/>
      </c>
    </row>
    <row r="414">
      <c r="A414" s="31" t="inlineStr">
        <is>
          <t>D. Preparer / auditor trail (one row per fiscal year, as filed)</t>
        </is>
      </c>
      <c r="B414" s="7" t="n"/>
      <c r="C414" s="7" t="n"/>
      <c r="D414" s="7" t="n"/>
      <c r="E414" s="7" t="n"/>
      <c r="F414" s="7" t="n"/>
      <c r="G414" s="7" t="n"/>
      <c r="H414" s="7" t="n"/>
      <c r="I414" s="7" t="n"/>
      <c r="J414" s="7" t="n"/>
      <c r="K414" s="7" t="n"/>
    </row>
    <row r="415">
      <c r="A415" s="5" t="inlineStr">
        <is>
          <t>Fiscal year</t>
        </is>
      </c>
      <c r="B415" s="5" t="inlineStr">
        <is>
          <t>Paid preparer</t>
        </is>
      </c>
      <c r="C415" s="5" t="inlineStr">
        <is>
          <t>Preparer firm</t>
        </is>
      </c>
      <c r="D415" s="5" t="inlineStr">
        <is>
          <t>Independent auditor</t>
        </is>
      </c>
      <c r="E415" s="5" t="inlineStr">
        <is>
          <t>Citation</t>
        </is>
      </c>
    </row>
    <row r="416" ht="42" customHeight="1">
      <c r="A416" s="32" t="inlineStr">
        <is>
          <t>FY2020</t>
        </is>
      </c>
      <c r="B416" s="8" t="inlineStr">
        <is>
          <t>Sharon Iler Roberts</t>
        </is>
      </c>
      <c r="C416" s="8" t="inlineStr">
        <is>
          <t>SOARES SANDALL BERNACCHI AND PETROVICH LLP</t>
        </is>
      </c>
      <c r="D416" s="35" t="inlineStr">
        <is>
          <t>not reported</t>
        </is>
      </c>
      <c r="E416" s="23" t="inlineStr">
        <is>
          <t>Form 990 Return Header, Paid Preparer block (return_header.preparer_person_name / preparer_firm_name); auditor: Part XII line 2 reports audited financial statements but does not name the firm.</t>
        </is>
      </c>
    </row>
    <row r="417" ht="42" customHeight="1">
      <c r="A417" s="32" t="inlineStr">
        <is>
          <t>FY2021</t>
        </is>
      </c>
      <c r="B417" s="8" t="inlineStr">
        <is>
          <t>Rajju Bajracharya</t>
        </is>
      </c>
      <c r="C417" s="8" t="inlineStr">
        <is>
          <t>SOARES SANDALL BERNACCHI AND PETROVICH LLP</t>
        </is>
      </c>
      <c r="D417" s="35" t="inlineStr">
        <is>
          <t>not reported</t>
        </is>
      </c>
      <c r="E417" s="23" t="inlineStr">
        <is>
          <t>Form 990 Return Header, Paid Preparer block (return_header.preparer_person_name / preparer_firm_name); auditor: Part XII line 2 reports audited financial statements but does not name the firm.</t>
        </is>
      </c>
    </row>
    <row r="418" ht="42" customHeight="1">
      <c r="A418" s="32" t="inlineStr">
        <is>
          <t>FY2022</t>
        </is>
      </c>
      <c r="B418" s="8" t="inlineStr">
        <is>
          <t>Rajju Bajracharya</t>
        </is>
      </c>
      <c r="C418" s="8" t="inlineStr">
        <is>
          <t>SOARES SANDALL BERNACCHI PETROVICH</t>
        </is>
      </c>
      <c r="D418" s="35" t="inlineStr">
        <is>
          <t>not reported</t>
        </is>
      </c>
      <c r="E418" s="23" t="inlineStr">
        <is>
          <t>Form 990 Return Header, Paid Preparer block (return_header.preparer_person_name / preparer_firm_name); auditor: Part XII line 2 reports audited financial statements but does not name the firm.</t>
        </is>
      </c>
    </row>
    <row r="419" ht="42" customHeight="1">
      <c r="A419" s="32" t="inlineStr">
        <is>
          <t>FY2023</t>
        </is>
      </c>
      <c r="B419" s="8" t="inlineStr">
        <is>
          <t>Rajju Bajracharya</t>
        </is>
      </c>
      <c r="C419" s="8" t="inlineStr">
        <is>
          <t>SOARES SANDALL BERNACCHI PETROVICH</t>
        </is>
      </c>
      <c r="D419" s="35" t="inlineStr">
        <is>
          <t>not reported</t>
        </is>
      </c>
      <c r="E419" s="23" t="inlineStr">
        <is>
          <t>Form 990 Return Header, Paid Preparer block (return_header.preparer_person_name / preparer_firm_name); auditor: Part XII line 2 reports audited financial statements but does not name the firm.</t>
        </is>
      </c>
    </row>
    <row r="420" ht="42" customHeight="1">
      <c r="A420" s="32" t="inlineStr">
        <is>
          <t>FY2024</t>
        </is>
      </c>
      <c r="B420" s="8" t="inlineStr">
        <is>
          <t>Rajju Bajracharya</t>
        </is>
      </c>
      <c r="C420" s="8" t="inlineStr">
        <is>
          <t>SOARES SANDALL BERNACCHI PETROVICH</t>
        </is>
      </c>
      <c r="D420" s="35" t="inlineStr">
        <is>
          <t>not reported</t>
        </is>
      </c>
      <c r="E420" s="23" t="inlineStr">
        <is>
          <t>Form 990 Return Header, Paid Preparer block (return_header.preparer_person_name / preparer_firm_name); auditor: Part XII line 2 reports audited financial statements but does not name the firm.</t>
        </is>
      </c>
    </row>
    <row r="421" ht="42" customHeight="1">
      <c r="A421" s="32" t="inlineStr">
        <is>
          <t>FY2025</t>
        </is>
      </c>
      <c r="B421" s="8" t="inlineStr">
        <is>
          <t>Rajju Bajracharya</t>
        </is>
      </c>
      <c r="C421" s="8" t="inlineStr">
        <is>
          <t>SOARES SANDALL BERNACCHI PETROVICH</t>
        </is>
      </c>
      <c r="D421" s="35" t="inlineStr">
        <is>
          <t>not reported</t>
        </is>
      </c>
      <c r="E421" s="23" t="inlineStr">
        <is>
          <t>Form 990 Return Header, Paid Preparer block (return_header.preparer_person_name / preparer_firm_name); auditor: Part XII line 2 reports audited financial statements but does not name the firm.</t>
        </is>
      </c>
    </row>
    <row r="423" ht="42" customHeight="1">
      <c r="A42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423:K423"/>
    <mergeCell ref="A2:K2"/>
    <mergeCell ref="A5:K5"/>
    <mergeCell ref="A1:K1"/>
  </mergeCells>
  <conditionalFormatting sqref="F369:F412">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