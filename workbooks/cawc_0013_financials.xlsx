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Water Operations" sheetId="20" state="visible" r:id="rId20"/>
    <sheet name="Sources &amp; audit" sheetId="21" state="visible" r:id="rId21"/>
    <sheet name="Provenance" sheetId="22" state="visible" r:id="rId22"/>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
    <numFmt numFmtId="167"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7" fontId="6" fillId="0" borderId="1" applyAlignment="1" pivotButton="0" quotePrefix="0" xfId="0">
      <alignment horizontal="right"/>
    </xf>
    <xf numFmtId="0" fontId="8" fillId="0" borderId="1" applyAlignment="1" pivotButton="0" quotePrefix="0" xfId="0">
      <alignment horizontal="center"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Community Mutual Water Company</t>
        </is>
      </c>
    </row>
    <row r="2">
      <c r="A2" s="2" t="inlineStr">
        <is>
          <t>Financial Summary - multi-year overview (USD)</t>
        </is>
      </c>
    </row>
    <row r="3">
      <c r="A3" s="2" t="inlineStr">
        <is>
          <t>Entity ID: cawc_0013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251282</v>
      </c>
      <c r="C10" s="9" t="n">
        <v>257555</v>
      </c>
      <c r="D10" s="9" t="n">
        <v>341470</v>
      </c>
      <c r="E10" s="9" t="n">
        <v>262072</v>
      </c>
      <c r="F10" s="9" t="n">
        <v>387865</v>
      </c>
      <c r="G10" s="9" t="n">
        <v>346455</v>
      </c>
    </row>
    <row r="11">
      <c r="A11" s="8" t="inlineStr">
        <is>
          <t xml:space="preserve">    Total expenses</t>
        </is>
      </c>
      <c r="B11" s="9" t="n">
        <v>251282</v>
      </c>
      <c r="C11" s="9" t="n">
        <v>297708</v>
      </c>
      <c r="D11" s="9" t="n">
        <v>309299</v>
      </c>
      <c r="E11" s="9" t="n">
        <v>305178</v>
      </c>
      <c r="F11" s="9" t="n">
        <v>310773</v>
      </c>
      <c r="G11" s="9" t="n">
        <v>316226</v>
      </c>
    </row>
    <row r="12">
      <c r="A12" s="10" t="inlineStr">
        <is>
          <t xml:space="preserve">    Net income</t>
        </is>
      </c>
      <c r="B12" s="11" t="n">
        <v>0</v>
      </c>
      <c r="C12" s="11" t="n">
        <v>-40153</v>
      </c>
      <c r="D12" s="11" t="n">
        <v>32171</v>
      </c>
      <c r="E12" s="11" t="n">
        <v>-43106</v>
      </c>
      <c r="F12" s="11" t="n">
        <v>77092</v>
      </c>
      <c r="G12" s="11" t="n">
        <v>30229</v>
      </c>
    </row>
    <row r="14">
      <c r="A14" s="6" t="inlineStr">
        <is>
          <t>Financial position (USD, end of year)</t>
        </is>
      </c>
      <c r="B14" s="7" t="n"/>
      <c r="C14" s="7" t="n"/>
      <c r="D14" s="7" t="n"/>
      <c r="E14" s="7" t="n"/>
      <c r="F14" s="7" t="n"/>
      <c r="G14" s="7" t="n"/>
    </row>
    <row r="15">
      <c r="A15" s="8" t="inlineStr">
        <is>
          <t xml:space="preserve">    Total assets</t>
        </is>
      </c>
      <c r="B15" s="9" t="n">
        <v>456929</v>
      </c>
      <c r="C15" s="9" t="n">
        <v>434901</v>
      </c>
      <c r="D15" s="9" t="n">
        <v>497245</v>
      </c>
      <c r="E15" s="9" t="n">
        <v>501654</v>
      </c>
      <c r="F15" s="9" t="n">
        <v>680946</v>
      </c>
      <c r="G15" s="9" t="n">
        <v>688202</v>
      </c>
    </row>
    <row r="16">
      <c r="A16" s="8" t="inlineStr">
        <is>
          <t xml:space="preserve">    Total liabilities</t>
        </is>
      </c>
      <c r="B16" s="9" t="n">
        <v>47744</v>
      </c>
      <c r="C16" s="9" t="n">
        <v>38796</v>
      </c>
      <c r="D16" s="9" t="n">
        <v>41801</v>
      </c>
      <c r="E16" s="9" t="n">
        <v>62243</v>
      </c>
      <c r="F16" s="9" t="n">
        <v>137370</v>
      </c>
      <c r="G16" s="9" t="n">
        <v>87324</v>
      </c>
    </row>
    <row r="17">
      <c r="A17" s="10" t="inlineStr">
        <is>
          <t xml:space="preserve">    Net assets</t>
        </is>
      </c>
      <c r="B17" s="11" t="n">
        <v>409185</v>
      </c>
      <c r="C17" s="11" t="n">
        <v>396105</v>
      </c>
      <c r="D17" s="11" t="n">
        <v>455444</v>
      </c>
      <c r="E17" s="11" t="n">
        <v>439411</v>
      </c>
      <c r="F17" s="11" t="n">
        <v>543576</v>
      </c>
      <c r="G17" s="11" t="n">
        <v>600878</v>
      </c>
    </row>
    <row r="19">
      <c r="A19" s="6" t="inlineStr">
        <is>
          <t>Headline ratios</t>
        </is>
      </c>
      <c r="B19" s="7" t="n"/>
      <c r="C19" s="7" t="n"/>
      <c r="D19" s="7" t="n"/>
      <c r="E19" s="7" t="n"/>
      <c r="F19" s="7" t="n"/>
      <c r="G19" s="7" t="n"/>
    </row>
    <row r="20">
      <c r="A20" s="8" t="inlineStr">
        <is>
          <t xml:space="preserve">    Operating margin</t>
        </is>
      </c>
      <c r="B20" s="12" t="n">
        <v>0</v>
      </c>
      <c r="C20" s="12" t="n">
        <v>-0.1559006814078546</v>
      </c>
      <c r="D20" s="12" t="n">
        <v>0.09421325445866401</v>
      </c>
      <c r="E20" s="12" t="n">
        <v>-0.1644815165298086</v>
      </c>
      <c r="F20" s="12" t="n">
        <v>0.1987598777925309</v>
      </c>
      <c r="G20" s="12" t="n">
        <v>0.08725231271016438</v>
      </c>
    </row>
    <row r="21">
      <c r="A21" s="8" t="inlineStr">
        <is>
          <t xml:space="preserve">    Revenue growth (YoY)</t>
        </is>
      </c>
      <c r="B21" s="12" t="n"/>
      <c r="C21" s="12" t="n">
        <v>0.02496398468652749</v>
      </c>
      <c r="D21" s="12" t="n">
        <v>0.3258139038263672</v>
      </c>
      <c r="E21" s="12" t="n">
        <v>-0.2325182300055642</v>
      </c>
      <c r="F21" s="12" t="n">
        <v>0.4799940474373455</v>
      </c>
      <c r="G21" s="12" t="n">
        <v>-0.106763951374834</v>
      </c>
    </row>
    <row r="22">
      <c r="A22" s="8" t="inlineStr">
        <is>
          <t xml:space="preserve">    Return on assets</t>
        </is>
      </c>
      <c r="B22" s="12" t="n">
        <v>0</v>
      </c>
      <c r="C22" s="12" t="n">
        <v>-0.09232675942340901</v>
      </c>
      <c r="D22" s="12" t="n">
        <v>0.06469848867258594</v>
      </c>
      <c r="E22" s="12" t="n">
        <v>-0.08592775099969302</v>
      </c>
      <c r="F22" s="12" t="n">
        <v>0.1132130888499235</v>
      </c>
      <c r="G22" s="12" t="n">
        <v>0.04392460353210249</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Community Mutual Water Company</t>
        </is>
      </c>
    </row>
    <row r="2">
      <c r="A2" s="2" t="inlineStr">
        <is>
          <t>Financial Statements - income statement, balance sheet, cash flow, member income test (USD)</t>
        </is>
      </c>
    </row>
    <row r="3">
      <c r="A3" s="2" t="inlineStr">
        <is>
          <t>Entity ID: cawc_0013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251282</v>
      </c>
      <c r="C8" s="9" t="n">
        <v>257555</v>
      </c>
      <c r="D8" s="9" t="n">
        <v>341470</v>
      </c>
      <c r="E8" s="9" t="n">
        <v>262072</v>
      </c>
      <c r="F8" s="9" t="n">
        <v>387865</v>
      </c>
      <c r="G8" s="9" t="n">
        <v>346455</v>
      </c>
    </row>
    <row r="9">
      <c r="A9" s="8" t="inlineStr">
        <is>
          <t xml:space="preserve">    Investment income</t>
        </is>
      </c>
      <c r="B9" s="9" t="n">
        <v>0</v>
      </c>
      <c r="C9" s="9" t="n">
        <v>0</v>
      </c>
      <c r="D9" s="9" t="n">
        <v>0</v>
      </c>
      <c r="E9" s="9" t="n">
        <v>0</v>
      </c>
      <c r="F9" s="9" t="n">
        <v>0</v>
      </c>
      <c r="G9" s="9" t="n">
        <v>0</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251282</v>
      </c>
      <c r="C14" s="11" t="n">
        <v>257555</v>
      </c>
      <c r="D14" s="11" t="n">
        <v>341470</v>
      </c>
      <c r="E14" s="11" t="n">
        <v>262072</v>
      </c>
      <c r="F14" s="11" t="n">
        <v>387865</v>
      </c>
      <c r="G14" s="11" t="n">
        <v>346455</v>
      </c>
    </row>
    <row r="16">
      <c r="A16" s="6" t="inlineStr">
        <is>
          <t>Expenses</t>
        </is>
      </c>
      <c r="B16" s="7" t="n"/>
      <c r="C16" s="7" t="n"/>
      <c r="D16" s="7" t="n"/>
      <c r="E16" s="7" t="n"/>
      <c r="F16" s="7" t="n"/>
      <c r="G16" s="7" t="n"/>
    </row>
    <row r="17">
      <c r="A17" s="8" t="inlineStr">
        <is>
          <t xml:space="preserve">    Depreciation</t>
        </is>
      </c>
      <c r="B17" s="9" t="n">
        <v>36740</v>
      </c>
      <c r="C17" s="9" t="n">
        <v>28482</v>
      </c>
      <c r="D17" s="9" t="n">
        <v>22239</v>
      </c>
      <c r="E17" s="9" t="n">
        <v>21743</v>
      </c>
      <c r="F17" s="9" t="n">
        <v>25933</v>
      </c>
      <c r="G17" s="9" t="n">
        <v>26635</v>
      </c>
    </row>
    <row r="18">
      <c r="A18" s="8" t="inlineStr">
        <is>
          <t xml:space="preserve">    Interest expense</t>
        </is>
      </c>
      <c r="B18" s="9" t="n">
        <v>0</v>
      </c>
      <c r="C18" s="9" t="n">
        <v>0</v>
      </c>
      <c r="D18" s="9" t="n">
        <v>0</v>
      </c>
      <c r="E18" s="9" t="n">
        <v>0</v>
      </c>
      <c r="F18" s="9" t="n">
        <v>0</v>
      </c>
      <c r="G18" s="9" t="n">
        <v>0</v>
      </c>
    </row>
    <row r="19">
      <c r="A19" s="10" t="inlineStr">
        <is>
          <t>Total expenses</t>
        </is>
      </c>
      <c r="B19" s="11" t="n">
        <v>251282</v>
      </c>
      <c r="C19" s="11" t="n">
        <v>297708</v>
      </c>
      <c r="D19" s="11" t="n">
        <v>309299</v>
      </c>
      <c r="E19" s="11" t="n">
        <v>305178</v>
      </c>
      <c r="F19" s="11" t="n">
        <v>310773</v>
      </c>
      <c r="G19" s="11" t="n">
        <v>316226</v>
      </c>
    </row>
    <row r="21">
      <c r="A21" s="10" t="inlineStr">
        <is>
          <t>Net income</t>
        </is>
      </c>
      <c r="B21" s="11" t="n">
        <v>0</v>
      </c>
      <c r="C21" s="11" t="n">
        <v>-40153</v>
      </c>
      <c r="D21" s="11" t="n">
        <v>32171</v>
      </c>
      <c r="E21" s="11" t="n">
        <v>-43106</v>
      </c>
      <c r="F21" s="11" t="n">
        <v>77092</v>
      </c>
      <c r="G21" s="11" t="n">
        <v>30229</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141161</v>
      </c>
      <c r="C27" s="9" t="n">
        <v>106290</v>
      </c>
      <c r="D27" s="9" t="n">
        <v>216148</v>
      </c>
      <c r="E27" s="9" t="n">
        <v>209475</v>
      </c>
      <c r="F27" s="9" t="n">
        <v>308059</v>
      </c>
      <c r="G27" s="9" t="n">
        <v>396287</v>
      </c>
    </row>
    <row r="28">
      <c r="A28" s="8" t="inlineStr">
        <is>
          <t xml:space="preserve">    Savings &amp; temporary investments</t>
        </is>
      </c>
      <c r="B28" s="9" t="n">
        <v>0</v>
      </c>
      <c r="C28" s="9" t="n">
        <v>0</v>
      </c>
      <c r="D28" s="9" t="n">
        <v>0</v>
      </c>
      <c r="E28" s="9" t="n">
        <v>0</v>
      </c>
      <c r="F28" s="9" t="n">
        <v>0</v>
      </c>
      <c r="G28" s="9" t="n">
        <v>0</v>
      </c>
    </row>
    <row r="29">
      <c r="A29" s="8" t="inlineStr">
        <is>
          <t xml:space="preserve">    Accounts receivable</t>
        </is>
      </c>
      <c r="B29" s="9" t="n">
        <v>73810</v>
      </c>
      <c r="C29" s="9" t="n">
        <v>122629</v>
      </c>
      <c r="D29" s="9" t="n">
        <v>97354</v>
      </c>
      <c r="E29" s="9" t="n">
        <v>92864</v>
      </c>
      <c r="F29" s="9" t="n">
        <v>199505</v>
      </c>
      <c r="G29" s="9" t="n">
        <v>145168</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748806</v>
      </c>
      <c r="C32" s="9" t="n">
        <v>748806</v>
      </c>
      <c r="D32" s="9" t="n">
        <v>748806</v>
      </c>
      <c r="E32" s="9" t="n">
        <v>786121</v>
      </c>
      <c r="F32" s="9" t="n">
        <v>786121</v>
      </c>
      <c r="G32" s="9" t="n">
        <v>786121</v>
      </c>
    </row>
    <row r="33">
      <c r="A33" s="8" t="inlineStr">
        <is>
          <t xml:space="preserve">    Less: accumulated depreciation</t>
        </is>
      </c>
      <c r="B33" s="9" t="n">
        <v>-514342</v>
      </c>
      <c r="C33" s="9" t="n">
        <v>-542824</v>
      </c>
      <c r="D33" s="9" t="n">
        <v>-565063</v>
      </c>
      <c r="E33" s="9" t="n">
        <v>-586806</v>
      </c>
      <c r="F33" s="9" t="n">
        <v>-612739</v>
      </c>
      <c r="G33" s="9" t="n">
        <v>-639374</v>
      </c>
    </row>
    <row r="34">
      <c r="A34" s="10" t="inlineStr">
        <is>
          <t xml:space="preserve">    Net property, plant &amp; equipment</t>
        </is>
      </c>
      <c r="B34" s="11" t="n">
        <v>234464</v>
      </c>
      <c r="C34" s="11" t="n">
        <v>205982</v>
      </c>
      <c r="D34" s="11" t="n">
        <v>183743</v>
      </c>
      <c r="E34" s="11" t="n">
        <v>199315</v>
      </c>
      <c r="F34" s="11" t="n">
        <v>173382</v>
      </c>
      <c r="G34" s="11" t="n">
        <v>146747</v>
      </c>
    </row>
    <row r="35">
      <c r="A35" s="10" t="inlineStr">
        <is>
          <t>Total assets</t>
        </is>
      </c>
      <c r="B35" s="11" t="n">
        <v>456929</v>
      </c>
      <c r="C35" s="11" t="n">
        <v>434901</v>
      </c>
      <c r="D35" s="11" t="n">
        <v>497245</v>
      </c>
      <c r="E35" s="11" t="n">
        <v>501654</v>
      </c>
      <c r="F35" s="11" t="n">
        <v>680946</v>
      </c>
      <c r="G35" s="11" t="n">
        <v>688202</v>
      </c>
    </row>
    <row r="37">
      <c r="A37" s="6" t="inlineStr">
        <is>
          <t>Liabilities</t>
        </is>
      </c>
      <c r="B37" s="7" t="n"/>
      <c r="C37" s="7" t="n"/>
      <c r="D37" s="7" t="n"/>
      <c r="E37" s="7" t="n"/>
      <c r="F37" s="7" t="n"/>
      <c r="G37" s="7" t="n"/>
    </row>
    <row r="38">
      <c r="A38" s="8" t="inlineStr">
        <is>
          <t xml:space="preserve">    Accounts payable</t>
        </is>
      </c>
      <c r="B38" s="9" t="n">
        <v>47744</v>
      </c>
      <c r="C38" s="9" t="n">
        <v>38796</v>
      </c>
      <c r="D38" s="9" t="n">
        <v>41801</v>
      </c>
      <c r="E38" s="9" t="n">
        <v>62243</v>
      </c>
      <c r="F38" s="9" t="n">
        <v>137370</v>
      </c>
      <c r="G38" s="9" t="n">
        <v>87324</v>
      </c>
    </row>
    <row r="39">
      <c r="A39" s="8" t="inlineStr">
        <is>
          <t xml:space="preserve">    Mortgages &amp; notes payable</t>
        </is>
      </c>
      <c r="B39" s="9" t="n"/>
      <c r="C39" s="9" t="n"/>
      <c r="D39" s="9" t="n"/>
      <c r="E39" s="9" t="n"/>
      <c r="F39" s="9" t="n"/>
      <c r="G39" s="9" t="n"/>
    </row>
    <row r="40">
      <c r="A40" s="10" t="inlineStr">
        <is>
          <t>Total liabilities</t>
        </is>
      </c>
      <c r="B40" s="11" t="n">
        <v>47744</v>
      </c>
      <c r="C40" s="11" t="n">
        <v>38796</v>
      </c>
      <c r="D40" s="11" t="n">
        <v>41801</v>
      </c>
      <c r="E40" s="11" t="n">
        <v>62243</v>
      </c>
      <c r="F40" s="11" t="n">
        <v>137370</v>
      </c>
      <c r="G40" s="11" t="n">
        <v>87324</v>
      </c>
    </row>
    <row r="42">
      <c r="A42" s="6" t="inlineStr">
        <is>
          <t>Net Assets / Equity</t>
        </is>
      </c>
      <c r="B42" s="7" t="n"/>
      <c r="C42" s="7" t="n"/>
      <c r="D42" s="7" t="n"/>
      <c r="E42" s="7" t="n"/>
      <c r="F42" s="7" t="n"/>
      <c r="G42" s="7" t="n"/>
    </row>
    <row r="43">
      <c r="A43" s="8" t="inlineStr">
        <is>
          <t xml:space="preserve">    Capital stock</t>
        </is>
      </c>
      <c r="B43" s="9" t="n">
        <v>5656</v>
      </c>
      <c r="C43" s="9" t="n">
        <v>5656</v>
      </c>
      <c r="D43" s="9" t="n">
        <v>5656</v>
      </c>
      <c r="E43" s="9" t="n">
        <v>5656</v>
      </c>
      <c r="F43" s="9" t="n">
        <v>5656</v>
      </c>
      <c r="G43" s="9" t="n">
        <v>5656</v>
      </c>
    </row>
    <row r="44">
      <c r="A44" s="8" t="inlineStr">
        <is>
          <t xml:space="preserve">    Paid-in capital</t>
        </is>
      </c>
      <c r="B44" s="9" t="n">
        <v>112947</v>
      </c>
      <c r="C44" s="9" t="n">
        <v>112947</v>
      </c>
      <c r="D44" s="9" t="n">
        <v>112947</v>
      </c>
      <c r="E44" s="9" t="n">
        <v>112947</v>
      </c>
      <c r="F44" s="9" t="n">
        <v>112947</v>
      </c>
      <c r="G44" s="9" t="n">
        <v>112947</v>
      </c>
    </row>
    <row r="45">
      <c r="A45" s="8" t="inlineStr">
        <is>
          <t xml:space="preserve">    Retained earnings</t>
        </is>
      </c>
      <c r="B45" s="9" t="n">
        <v>290582</v>
      </c>
      <c r="C45" s="9" t="n">
        <v>277502</v>
      </c>
      <c r="D45" s="9" t="n">
        <v>336841</v>
      </c>
      <c r="E45" s="9" t="n">
        <v>320808</v>
      </c>
      <c r="F45" s="9" t="n">
        <v>424973</v>
      </c>
      <c r="G45" s="9" t="n">
        <v>482275</v>
      </c>
    </row>
    <row r="46">
      <c r="A46" s="10" t="inlineStr">
        <is>
          <t>Net assets</t>
        </is>
      </c>
      <c r="B46" s="11" t="n">
        <v>409185</v>
      </c>
      <c r="C46" s="11" t="n">
        <v>396105</v>
      </c>
      <c r="D46" s="11" t="n">
        <v>455444</v>
      </c>
      <c r="E46" s="11" t="n">
        <v>439411</v>
      </c>
      <c r="F46" s="11" t="n">
        <v>543576</v>
      </c>
      <c r="G46" s="11" t="n">
        <v>600878</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0</v>
      </c>
      <c r="C52" s="9" t="n">
        <v>-40153</v>
      </c>
      <c r="D52" s="9" t="n">
        <v>32171</v>
      </c>
      <c r="E52" s="9" t="n">
        <v>-43106</v>
      </c>
      <c r="F52" s="9" t="n">
        <v>77092</v>
      </c>
      <c r="G52" s="9" t="n">
        <v>30229</v>
      </c>
    </row>
    <row r="53">
      <c r="A53" s="8" t="inlineStr">
        <is>
          <t xml:space="preserve">    + Depreciation (reported)</t>
        </is>
      </c>
      <c r="B53" s="9" t="n">
        <v>36740</v>
      </c>
      <c r="C53" s="9" t="n">
        <v>28482</v>
      </c>
      <c r="D53" s="9" t="n">
        <v>22239</v>
      </c>
      <c r="E53" s="9" t="n">
        <v>21743</v>
      </c>
      <c r="F53" s="9" t="n">
        <v>25933</v>
      </c>
      <c r="G53" s="9" t="n">
        <v>26635</v>
      </c>
    </row>
    <row r="54">
      <c r="A54" s="8" t="inlineStr">
        <is>
          <t xml:space="preserve">    − Δ Accounts receivable</t>
        </is>
      </c>
      <c r="B54" s="9" t="n"/>
      <c r="C54" s="9" t="n">
        <v>-48819</v>
      </c>
      <c r="D54" s="9" t="n">
        <v>25275</v>
      </c>
      <c r="E54" s="9" t="n">
        <v>4490</v>
      </c>
      <c r="F54" s="9" t="n">
        <v>-106641</v>
      </c>
      <c r="G54" s="9" t="n">
        <v>54337</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v>-8948</v>
      </c>
      <c r="D57" s="9" t="n">
        <v>3005</v>
      </c>
      <c r="E57" s="9" t="n">
        <v>20442</v>
      </c>
      <c r="F57" s="9" t="n">
        <v>75127</v>
      </c>
      <c r="G57" s="9" t="n">
        <v>-50046</v>
      </c>
    </row>
    <row r="58">
      <c r="A58" s="10" t="inlineStr">
        <is>
          <t xml:space="preserve">    Operating cash flow proxy</t>
        </is>
      </c>
      <c r="B58" s="11" t="n"/>
      <c r="C58" s="11" t="n">
        <v>-69438</v>
      </c>
      <c r="D58" s="11" t="n">
        <v>82690</v>
      </c>
      <c r="E58" s="11" t="n">
        <v>3569</v>
      </c>
      <c r="F58" s="11" t="n">
        <v>71511</v>
      </c>
      <c r="G58" s="11" t="n">
        <v>61155</v>
      </c>
    </row>
    <row r="60">
      <c r="A60" s="6" t="inlineStr">
        <is>
          <t>Investing</t>
        </is>
      </c>
      <c r="B60" s="7" t="n"/>
      <c r="C60" s="7" t="n"/>
      <c r="D60" s="7" t="n"/>
      <c r="E60" s="7" t="n"/>
      <c r="F60" s="7" t="n"/>
      <c r="G60" s="7" t="n"/>
    </row>
    <row r="61">
      <c r="A61" s="8" t="inlineStr">
        <is>
          <t xml:space="preserve">    − Δ PP&amp;E gross (capex proxy)</t>
        </is>
      </c>
      <c r="B61" s="9" t="n"/>
      <c r="C61" s="9" t="n">
        <v>0</v>
      </c>
      <c r="D61" s="9" t="n">
        <v>0</v>
      </c>
      <c r="E61" s="9" t="n">
        <v>-37315</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-34871</v>
      </c>
      <c r="D67" s="11" t="n">
        <v>109858</v>
      </c>
      <c r="E67" s="11" t="n">
        <v>-6673</v>
      </c>
      <c r="F67" s="11" t="n">
        <v>98584</v>
      </c>
      <c r="G67" s="11" t="n">
        <v>88228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Community Mutual Water Company</t>
        </is>
      </c>
    </row>
    <row r="2">
      <c r="A2" s="2" t="inlineStr">
        <is>
          <t>Balance Sheet - as reported (USD, end of year)</t>
        </is>
      </c>
    </row>
    <row r="3">
      <c r="A3" s="2" t="inlineStr">
        <is>
          <t>Entity ID: cawc_0013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141161</v>
      </c>
      <c r="C7" s="9" t="n">
        <v>106290</v>
      </c>
      <c r="D7" s="9" t="n">
        <v>216148</v>
      </c>
      <c r="E7" s="9" t="n">
        <v>209475</v>
      </c>
      <c r="F7" s="9" t="n">
        <v>308059</v>
      </c>
      <c r="G7" s="9" t="n">
        <v>396287</v>
      </c>
    </row>
    <row r="8">
      <c r="A8" s="8" t="inlineStr">
        <is>
          <t xml:space="preserve">    Savings &amp; temporary investments</t>
        </is>
      </c>
      <c r="B8" s="9" t="n">
        <v>0</v>
      </c>
      <c r="C8" s="9" t="n">
        <v>0</v>
      </c>
      <c r="D8" s="9" t="n">
        <v>0</v>
      </c>
      <c r="E8" s="9" t="n">
        <v>0</v>
      </c>
      <c r="F8" s="9" t="n">
        <v>0</v>
      </c>
      <c r="G8" s="9" t="n">
        <v>0</v>
      </c>
    </row>
    <row r="9">
      <c r="A9" s="8" t="inlineStr">
        <is>
          <t xml:space="preserve">    Accounts receivable</t>
        </is>
      </c>
      <c r="B9" s="9" t="n">
        <v>73810</v>
      </c>
      <c r="C9" s="9" t="n">
        <v>122629</v>
      </c>
      <c r="D9" s="9" t="n">
        <v>97354</v>
      </c>
      <c r="E9" s="9" t="n">
        <v>92864</v>
      </c>
      <c r="F9" s="9" t="n">
        <v>199505</v>
      </c>
      <c r="G9" s="9" t="n">
        <v>145168</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748806</v>
      </c>
      <c r="C12" s="9" t="n">
        <v>748806</v>
      </c>
      <c r="D12" s="9" t="n">
        <v>748806</v>
      </c>
      <c r="E12" s="9" t="n">
        <v>786121</v>
      </c>
      <c r="F12" s="9" t="n">
        <v>786121</v>
      </c>
      <c r="G12" s="9" t="n">
        <v>786121</v>
      </c>
    </row>
    <row r="13">
      <c r="A13" s="8" t="inlineStr">
        <is>
          <t xml:space="preserve">    Less: accumulated depreciation</t>
        </is>
      </c>
      <c r="B13" s="9" t="n">
        <v>-514342</v>
      </c>
      <c r="C13" s="9" t="n">
        <v>-542824</v>
      </c>
      <c r="D13" s="9" t="n">
        <v>-565063</v>
      </c>
      <c r="E13" s="9" t="n">
        <v>-586806</v>
      </c>
      <c r="F13" s="9" t="n">
        <v>-612739</v>
      </c>
      <c r="G13" s="9" t="n">
        <v>-639374</v>
      </c>
    </row>
    <row r="14">
      <c r="A14" s="10" t="inlineStr">
        <is>
          <t xml:space="preserve">    Net property, plant &amp; equipment</t>
        </is>
      </c>
      <c r="B14" s="11" t="n">
        <v>234464</v>
      </c>
      <c r="C14" s="11" t="n">
        <v>205982</v>
      </c>
      <c r="D14" s="11" t="n">
        <v>183743</v>
      </c>
      <c r="E14" s="11" t="n">
        <v>199315</v>
      </c>
      <c r="F14" s="11" t="n">
        <v>173382</v>
      </c>
      <c r="G14" s="11" t="n">
        <v>146747</v>
      </c>
    </row>
    <row r="15">
      <c r="A15" s="10" t="inlineStr">
        <is>
          <t>Total assets</t>
        </is>
      </c>
      <c r="B15" s="11" t="n">
        <v>456929</v>
      </c>
      <c r="C15" s="11" t="n">
        <v>434901</v>
      </c>
      <c r="D15" s="11" t="n">
        <v>497245</v>
      </c>
      <c r="E15" s="11" t="n">
        <v>501654</v>
      </c>
      <c r="F15" s="11" t="n">
        <v>680946</v>
      </c>
      <c r="G15" s="11" t="n">
        <v>688202</v>
      </c>
    </row>
    <row r="17">
      <c r="A17" s="6" t="inlineStr">
        <is>
          <t>Liabilities</t>
        </is>
      </c>
      <c r="B17" s="7" t="n"/>
      <c r="C17" s="7" t="n"/>
      <c r="D17" s="7" t="n"/>
      <c r="E17" s="7" t="n"/>
      <c r="F17" s="7" t="n"/>
      <c r="G17" s="7" t="n"/>
    </row>
    <row r="18">
      <c r="A18" s="8" t="inlineStr">
        <is>
          <t xml:space="preserve">    Accounts payable</t>
        </is>
      </c>
      <c r="B18" s="9" t="n">
        <v>47744</v>
      </c>
      <c r="C18" s="9" t="n">
        <v>38796</v>
      </c>
      <c r="D18" s="9" t="n">
        <v>41801</v>
      </c>
      <c r="E18" s="9" t="n">
        <v>62243</v>
      </c>
      <c r="F18" s="9" t="n">
        <v>137370</v>
      </c>
      <c r="G18" s="9" t="n">
        <v>87324</v>
      </c>
    </row>
    <row r="19">
      <c r="A19" s="8" t="inlineStr">
        <is>
          <t xml:space="preserve">    Mortgages &amp; notes payable</t>
        </is>
      </c>
      <c r="B19" s="9" t="n"/>
      <c r="C19" s="9" t="n"/>
      <c r="D19" s="9" t="n"/>
      <c r="E19" s="9" t="n"/>
      <c r="F19" s="9" t="n"/>
      <c r="G19" s="9" t="n"/>
    </row>
    <row r="20">
      <c r="A20" s="10" t="inlineStr">
        <is>
          <t>Total liabilities</t>
        </is>
      </c>
      <c r="B20" s="11" t="n">
        <v>47744</v>
      </c>
      <c r="C20" s="11" t="n">
        <v>38796</v>
      </c>
      <c r="D20" s="11" t="n">
        <v>41801</v>
      </c>
      <c r="E20" s="11" t="n">
        <v>62243</v>
      </c>
      <c r="F20" s="11" t="n">
        <v>137370</v>
      </c>
      <c r="G20" s="11" t="n">
        <v>87324</v>
      </c>
    </row>
    <row r="22">
      <c r="A22" s="6" t="inlineStr">
        <is>
          <t>Net Assets / Equity</t>
        </is>
      </c>
      <c r="B22" s="7" t="n"/>
      <c r="C22" s="7" t="n"/>
      <c r="D22" s="7" t="n"/>
      <c r="E22" s="7" t="n"/>
      <c r="F22" s="7" t="n"/>
      <c r="G22" s="7" t="n"/>
    </row>
    <row r="23">
      <c r="A23" s="8" t="inlineStr">
        <is>
          <t xml:space="preserve">    Capital stock</t>
        </is>
      </c>
      <c r="B23" s="9" t="n">
        <v>5656</v>
      </c>
      <c r="C23" s="9" t="n">
        <v>5656</v>
      </c>
      <c r="D23" s="9" t="n">
        <v>5656</v>
      </c>
      <c r="E23" s="9" t="n">
        <v>5656</v>
      </c>
      <c r="F23" s="9" t="n">
        <v>5656</v>
      </c>
      <c r="G23" s="9" t="n">
        <v>5656</v>
      </c>
    </row>
    <row r="24">
      <c r="A24" s="8" t="inlineStr">
        <is>
          <t xml:space="preserve">    Paid-in capital</t>
        </is>
      </c>
      <c r="B24" s="9" t="n">
        <v>112947</v>
      </c>
      <c r="C24" s="9" t="n">
        <v>112947</v>
      </c>
      <c r="D24" s="9" t="n">
        <v>112947</v>
      </c>
      <c r="E24" s="9" t="n">
        <v>112947</v>
      </c>
      <c r="F24" s="9" t="n">
        <v>112947</v>
      </c>
      <c r="G24" s="9" t="n">
        <v>112947</v>
      </c>
    </row>
    <row r="25">
      <c r="A25" s="8" t="inlineStr">
        <is>
          <t xml:space="preserve">    Retained earnings</t>
        </is>
      </c>
      <c r="B25" s="9" t="n">
        <v>290582</v>
      </c>
      <c r="C25" s="9" t="n">
        <v>277502</v>
      </c>
      <c r="D25" s="9" t="n">
        <v>336841</v>
      </c>
      <c r="E25" s="9" t="n">
        <v>320808</v>
      </c>
      <c r="F25" s="9" t="n">
        <v>424973</v>
      </c>
      <c r="G25" s="9" t="n">
        <v>482275</v>
      </c>
    </row>
    <row r="26">
      <c r="A26" s="10" t="inlineStr">
        <is>
          <t>Net assets</t>
        </is>
      </c>
      <c r="B26" s="11" t="n">
        <v>409185</v>
      </c>
      <c r="C26" s="11" t="n">
        <v>396105</v>
      </c>
      <c r="D26" s="11" t="n">
        <v>455444</v>
      </c>
      <c r="E26" s="11" t="n">
        <v>439411</v>
      </c>
      <c r="F26" s="11" t="n">
        <v>543576</v>
      </c>
      <c r="G26" s="11" t="n">
        <v>600878</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Community Mutual Water Company</t>
        </is>
      </c>
    </row>
    <row r="2">
      <c r="A2" s="2" t="inlineStr">
        <is>
          <t>Officers, Directors &amp; Contractors - Form 990 Part VII (FY2025; USD)</t>
        </is>
      </c>
    </row>
    <row r="3">
      <c r="A3" s="2" t="inlineStr">
        <is>
          <t>Entity ID: cawc_0013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DEANN HOBSON</t>
        </is>
      </c>
      <c r="B7" s="8" t="inlineStr">
        <is>
          <t>Director</t>
        </is>
      </c>
      <c r="C7" s="9" t="n">
        <v>0</v>
      </c>
      <c r="D7" s="9" t="n">
        <v>0</v>
      </c>
      <c r="E7" s="9" t="n">
        <v>0</v>
      </c>
      <c r="F7" s="9" t="n">
        <v>0</v>
      </c>
    </row>
    <row r="8">
      <c r="A8" s="8" t="inlineStr">
        <is>
          <t>JIM HEIGHTON</t>
        </is>
      </c>
      <c r="B8" s="8" t="inlineStr">
        <is>
          <t>Vice President</t>
        </is>
      </c>
      <c r="C8" s="9" t="n">
        <v>0</v>
      </c>
      <c r="D8" s="9" t="n">
        <v>0</v>
      </c>
      <c r="E8" s="9" t="n">
        <v>0</v>
      </c>
      <c r="F8" s="9" t="n">
        <v>0</v>
      </c>
    </row>
    <row r="9">
      <c r="A9" s="8" t="inlineStr">
        <is>
          <t>PAUL BARNARD</t>
        </is>
      </c>
      <c r="B9" s="8" t="inlineStr">
        <is>
          <t>Director</t>
        </is>
      </c>
      <c r="C9" s="9" t="n">
        <v>0</v>
      </c>
      <c r="D9" s="9" t="n">
        <v>0</v>
      </c>
      <c r="E9" s="9" t="n">
        <v>0</v>
      </c>
      <c r="F9" s="9" t="n">
        <v>0</v>
      </c>
    </row>
    <row r="10">
      <c r="A10" s="8" t="inlineStr">
        <is>
          <t>GUY COLE</t>
        </is>
      </c>
      <c r="B10" s="8" t="inlineStr">
        <is>
          <t>President</t>
        </is>
      </c>
      <c r="C10" s="9" t="n">
        <v>0</v>
      </c>
      <c r="D10" s="9" t="n">
        <v>0</v>
      </c>
      <c r="E10" s="9" t="n">
        <v>0</v>
      </c>
      <c r="F10" s="9" t="n">
        <v>0</v>
      </c>
    </row>
    <row r="11">
      <c r="A11" s="8" t="inlineStr">
        <is>
          <t>AMBER MCCALISTER</t>
        </is>
      </c>
      <c r="B11" s="8" t="inlineStr">
        <is>
          <t>Secretary</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Community Mutual Water Company</t>
        </is>
      </c>
    </row>
    <row r="2">
      <c r="A2" s="2" t="inlineStr">
        <is>
          <t>Revenue - Form 990 Part VIII (USD)</t>
        </is>
      </c>
    </row>
    <row r="3">
      <c r="A3" s="2" t="inlineStr">
        <is>
          <t>Entity ID: cawc_0013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251282</v>
      </c>
      <c r="C8" s="9" t="n">
        <v>257555</v>
      </c>
      <c r="D8" s="9" t="n">
        <v>341470</v>
      </c>
      <c r="E8" s="9" t="n">
        <v>262072</v>
      </c>
      <c r="F8" s="9" t="n">
        <v>387865</v>
      </c>
      <c r="G8" s="9" t="n">
        <v>346455</v>
      </c>
    </row>
    <row r="9">
      <c r="A9" s="8" t="inlineStr">
        <is>
          <t xml:space="preserve">    3. Investment income</t>
        </is>
      </c>
      <c r="B9" s="9" t="n">
        <v>0</v>
      </c>
      <c r="C9" s="9" t="n">
        <v>0</v>
      </c>
      <c r="D9" s="9" t="n">
        <v>0</v>
      </c>
      <c r="E9" s="9" t="n">
        <v>0</v>
      </c>
      <c r="F9" s="9" t="n">
        <v>0</v>
      </c>
      <c r="G9" s="9" t="n">
        <v>0</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Fees &amp; Contracts Gov Agencies</t>
        </is>
      </c>
      <c r="B17" s="8" t="n"/>
      <c r="C17" s="9" t="n">
        <v>346455</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Community Mutual Water Company</t>
        </is>
      </c>
    </row>
    <row r="2">
      <c r="A2" s="2" t="inlineStr">
        <is>
          <t>Statement of Functional Expenses - Form 990 Part IX (USD)</t>
        </is>
      </c>
    </row>
    <row r="3">
      <c r="A3" s="2" t="inlineStr">
        <is>
          <t>Entity ID: cawc_0013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0</v>
      </c>
      <c r="E13" s="9" t="n">
        <v>0</v>
      </c>
      <c r="F13" s="9" t="n">
        <v>0</v>
      </c>
      <c r="G13" s="9" t="n">
        <v>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0</v>
      </c>
      <c r="C16" s="9" t="n">
        <v>0</v>
      </c>
      <c r="D16" s="9" t="n">
        <v>0</v>
      </c>
      <c r="E16" s="9" t="n">
        <v>0</v>
      </c>
      <c r="F16" s="9" t="n">
        <v>0</v>
      </c>
      <c r="G16" s="9" t="n">
        <v>0</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0</v>
      </c>
      <c r="D18" s="9" t="n">
        <v>0</v>
      </c>
      <c r="E18" s="9" t="n">
        <v>0</v>
      </c>
      <c r="F18" s="9" t="n">
        <v>0</v>
      </c>
      <c r="G18" s="9" t="n">
        <v>0</v>
      </c>
    </row>
    <row r="19">
      <c r="A19" s="8" t="inlineStr">
        <is>
          <t xml:space="preserve">    11c. Fees for services: accounting</t>
        </is>
      </c>
      <c r="B19" s="9" t="n">
        <v>2775</v>
      </c>
      <c r="C19" s="9" t="n">
        <v>2362</v>
      </c>
      <c r="D19" s="9" t="n">
        <v>2836</v>
      </c>
      <c r="E19" s="9" t="n">
        <v>2076</v>
      </c>
      <c r="F19" s="9" t="n">
        <v>2153</v>
      </c>
      <c r="G19" s="9" t="n">
        <v>2374</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0</v>
      </c>
      <c r="C25" s="9" t="n">
        <v>0</v>
      </c>
      <c r="D25" s="9" t="n">
        <v>0</v>
      </c>
      <c r="E25" s="9" t="n">
        <v>0</v>
      </c>
      <c r="F25" s="9" t="n">
        <v>0</v>
      </c>
      <c r="G25" s="9" t="n">
        <v>0</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36740</v>
      </c>
      <c r="C34" s="9" t="n">
        <v>28482</v>
      </c>
      <c r="D34" s="9" t="n">
        <v>22239</v>
      </c>
      <c r="E34" s="9" t="n">
        <v>21743</v>
      </c>
      <c r="F34" s="9" t="n">
        <v>25933</v>
      </c>
      <c r="G34" s="9" t="n">
        <v>26635</v>
      </c>
    </row>
    <row r="35">
      <c r="A35" s="8" t="inlineStr">
        <is>
          <t xml:space="preserve">    23. Insurance</t>
        </is>
      </c>
      <c r="B35" s="9" t="n">
        <v>6839</v>
      </c>
      <c r="C35" s="9" t="n">
        <v>7676</v>
      </c>
      <c r="D35" s="9" t="n">
        <v>8535</v>
      </c>
      <c r="E35" s="9" t="n">
        <v>9483</v>
      </c>
      <c r="F35" s="9" t="n">
        <v>10921</v>
      </c>
      <c r="G35" s="9" t="n">
        <v>13009</v>
      </c>
    </row>
    <row r="36">
      <c r="A36" s="8" t="inlineStr">
        <is>
          <t xml:space="preserve">    24. PUMPING EXPENSE</t>
        </is>
      </c>
      <c r="B36" s="9" t="n">
        <v>130314</v>
      </c>
      <c r="C36" s="9" t="n">
        <v>188321</v>
      </c>
      <c r="D36" s="9" t="n">
        <v>172225</v>
      </c>
      <c r="E36" s="9" t="n">
        <v>153847</v>
      </c>
      <c r="F36" s="9" t="n">
        <v>182479</v>
      </c>
      <c r="G36" s="9" t="n">
        <v>210976</v>
      </c>
    </row>
    <row r="37">
      <c r="A37" s="8" t="inlineStr">
        <is>
          <t xml:space="preserve">    24. REPAIR AND MAINTENANCE</t>
        </is>
      </c>
      <c r="B37" s="9" t="n">
        <v>33461</v>
      </c>
      <c r="C37" s="9" t="n">
        <v>30762</v>
      </c>
      <c r="D37" s="9" t="n">
        <v>65984</v>
      </c>
      <c r="E37" s="9" t="n">
        <v>81155</v>
      </c>
      <c r="F37" s="9" t="n">
        <v>43178</v>
      </c>
      <c r="G37" s="9" t="n">
        <v>33333</v>
      </c>
    </row>
    <row r="38">
      <c r="A38" s="8" t="inlineStr">
        <is>
          <t xml:space="preserve">    24. MANAGEMENT</t>
        </is>
      </c>
      <c r="B38" s="9" t="n">
        <v>28862</v>
      </c>
      <c r="C38" s="9" t="n">
        <v>13205</v>
      </c>
      <c r="D38" s="9" t="n">
        <v>5612</v>
      </c>
      <c r="E38" s="9" t="n">
        <v>6427</v>
      </c>
      <c r="F38" s="9" t="n">
        <v>19778</v>
      </c>
      <c r="G38" s="9" t="n">
        <v>4990</v>
      </c>
    </row>
    <row r="39">
      <c r="A39" s="8" t="inlineStr">
        <is>
          <t xml:space="preserve">    24. PURIFICATION COST</t>
        </is>
      </c>
      <c r="B39" s="9" t="n">
        <v>9768</v>
      </c>
      <c r="C39" s="9" t="n">
        <v>23508</v>
      </c>
      <c r="D39" s="9" t="n">
        <v>29088</v>
      </c>
      <c r="E39" s="9" t="n">
        <v>27594</v>
      </c>
      <c r="F39" s="9" t="n">
        <v>24187</v>
      </c>
      <c r="G39" s="9" t="n">
        <v>20467</v>
      </c>
    </row>
    <row r="40">
      <c r="A40" s="8" t="inlineStr">
        <is>
          <t xml:space="preserve">    24e. All other expenses</t>
        </is>
      </c>
      <c r="B40" s="9" t="n">
        <v>2523</v>
      </c>
      <c r="C40" s="9" t="n">
        <v>3392</v>
      </c>
      <c r="D40" s="9" t="n">
        <v>2780</v>
      </c>
      <c r="E40" s="9" t="n">
        <v>2853</v>
      </c>
      <c r="F40" s="9" t="n">
        <v>2144</v>
      </c>
      <c r="G40" s="9" t="n">
        <v>4442</v>
      </c>
    </row>
    <row r="41">
      <c r="A41" s="10" t="inlineStr">
        <is>
          <t>25. Total functional expenses</t>
        </is>
      </c>
      <c r="B41" s="11">
        <f>SUM(B7:B40)</f>
        <v/>
      </c>
      <c r="C41" s="11">
        <f>SUM(C7:C40)</f>
        <v/>
      </c>
      <c r="D41" s="11">
        <f>SUM(D7:D40)</f>
        <v/>
      </c>
      <c r="E41" s="11">
        <f>SUM(E7:E40)</f>
        <v/>
      </c>
      <c r="F41" s="11">
        <f>SUM(F7:F40)</f>
        <v/>
      </c>
      <c r="G41" s="11">
        <f>SUM(G7:G40)</f>
        <v/>
      </c>
    </row>
    <row r="43">
      <c r="A43" s="6" t="inlineStr">
        <is>
          <t>Functional column split - FY2025 (col A = B + C + D)</t>
        </is>
      </c>
      <c r="B43" s="7" t="n"/>
      <c r="C43" s="7" t="n"/>
      <c r="D43" s="7" t="n"/>
      <c r="E43" s="7" t="n"/>
      <c r="F43" s="7" t="n"/>
      <c r="G43" s="7" t="n"/>
    </row>
    <row r="44">
      <c r="A44" s="5" t="inlineStr">
        <is>
          <t>Part IX line</t>
        </is>
      </c>
      <c r="B44" s="5" t="inlineStr">
        <is>
          <t>A. Total</t>
        </is>
      </c>
      <c r="C44" s="5" t="inlineStr">
        <is>
          <t>B. Program services</t>
        </is>
      </c>
      <c r="D44" s="5" t="inlineStr">
        <is>
          <t>C. Management &amp; general</t>
        </is>
      </c>
      <c r="E44" s="5" t="inlineStr">
        <is>
          <t>D. Fundraising</t>
        </is>
      </c>
    </row>
    <row r="45">
      <c r="A45" s="18" t="inlineStr">
        <is>
          <t>1. Grants to domestic organizations and governments</t>
        </is>
      </c>
      <c r="B45" s="9" t="n">
        <v>0</v>
      </c>
      <c r="C45" s="9" t="n"/>
      <c r="D45" s="9" t="n"/>
      <c r="E45" s="9" t="n"/>
    </row>
    <row r="46">
      <c r="A46" s="18" t="inlineStr">
        <is>
          <t>2. Grants to domestic individuals</t>
        </is>
      </c>
      <c r="B46" s="9" t="n">
        <v>0</v>
      </c>
      <c r="C46" s="9" t="n"/>
      <c r="D46" s="9" t="n"/>
      <c r="E46" s="9" t="n"/>
    </row>
    <row r="47">
      <c r="A47" s="18" t="inlineStr">
        <is>
          <t>3. Grants to foreign organizations and individuals</t>
        </is>
      </c>
      <c r="B47" s="9" t="n">
        <v>0</v>
      </c>
      <c r="C47" s="9" t="n"/>
      <c r="D47" s="9" t="n"/>
      <c r="E47" s="9" t="n"/>
    </row>
    <row r="48">
      <c r="A48" s="18" t="inlineStr">
        <is>
          <t>4. Benefits paid to or for members</t>
        </is>
      </c>
      <c r="B48" s="9" t="n">
        <v>0</v>
      </c>
      <c r="C48" s="9" t="n"/>
      <c r="D48" s="9" t="n"/>
      <c r="E48" s="9" t="n"/>
    </row>
    <row r="49">
      <c r="A49" s="18" t="inlineStr">
        <is>
          <t>5. Compensation of current officers, directors, trustees</t>
        </is>
      </c>
      <c r="B49" s="9" t="n">
        <v>0</v>
      </c>
      <c r="C49" s="9" t="n"/>
      <c r="D49" s="9" t="n"/>
      <c r="E49" s="9" t="n"/>
    </row>
    <row r="50">
      <c r="A50" s="18" t="inlineStr">
        <is>
          <t>6. Compensation to disqualified persons</t>
        </is>
      </c>
      <c r="B50" s="9" t="n">
        <v>0</v>
      </c>
      <c r="C50" s="9" t="n"/>
      <c r="D50" s="9" t="n"/>
      <c r="E50" s="9" t="n"/>
    </row>
    <row r="51">
      <c r="A51" s="18" t="inlineStr">
        <is>
          <t>7. Other salaries and wages</t>
        </is>
      </c>
      <c r="B51" s="9" t="n">
        <v>0</v>
      </c>
      <c r="C51" s="9" t="n"/>
      <c r="D51" s="9" t="n"/>
      <c r="E51" s="9" t="n"/>
    </row>
    <row r="52">
      <c r="A52" s="18" t="inlineStr">
        <is>
          <t>8. Pension plan accruals and contributions</t>
        </is>
      </c>
      <c r="B52" s="9" t="n">
        <v>0</v>
      </c>
      <c r="C52" s="9" t="n"/>
      <c r="D52" s="9" t="n"/>
      <c r="E52" s="9" t="n"/>
    </row>
    <row r="53">
      <c r="A53" s="18" t="inlineStr">
        <is>
          <t>9. Other employee benefits</t>
        </is>
      </c>
      <c r="B53" s="9" t="n">
        <v>0</v>
      </c>
      <c r="C53" s="9" t="n"/>
      <c r="D53" s="9" t="n"/>
      <c r="E53" s="9" t="n"/>
    </row>
    <row r="54">
      <c r="A54" s="18" t="inlineStr">
        <is>
          <t>10. Payroll taxes</t>
        </is>
      </c>
      <c r="B54" s="9" t="n">
        <v>0</v>
      </c>
      <c r="C54" s="9" t="n"/>
      <c r="D54" s="9" t="n"/>
      <c r="E54" s="9" t="n"/>
    </row>
    <row r="55">
      <c r="A55" s="18" t="inlineStr">
        <is>
          <t>11a. Fees for services: management</t>
        </is>
      </c>
      <c r="B55" s="9" t="n">
        <v>0</v>
      </c>
      <c r="C55" s="9" t="n"/>
      <c r="D55" s="9" t="n"/>
      <c r="E55" s="9" t="n"/>
    </row>
    <row r="56">
      <c r="A56" s="18" t="inlineStr">
        <is>
          <t>11b. Fees for services: legal</t>
        </is>
      </c>
      <c r="B56" s="9" t="n">
        <v>0</v>
      </c>
      <c r="C56" s="9" t="n"/>
      <c r="D56" s="9" t="n"/>
      <c r="E56" s="9" t="n"/>
    </row>
    <row r="57">
      <c r="A57" s="18" t="inlineStr">
        <is>
          <t>11c. Fees for services: accounting</t>
        </is>
      </c>
      <c r="B57" s="9" t="n">
        <v>2374</v>
      </c>
      <c r="C57" s="9" t="n"/>
      <c r="D57" s="9" t="n"/>
      <c r="E57" s="9" t="n"/>
    </row>
    <row r="58">
      <c r="A58" s="18" t="inlineStr">
        <is>
          <t>11d. Fees for services: lobbying</t>
        </is>
      </c>
      <c r="B58" s="9" t="n">
        <v>0</v>
      </c>
      <c r="C58" s="9" t="n"/>
      <c r="D58" s="9" t="n"/>
      <c r="E58" s="9" t="n"/>
    </row>
    <row r="59">
      <c r="A59" s="18" t="inlineStr">
        <is>
          <t>11e. Fees for services: professional fundraising</t>
        </is>
      </c>
      <c r="B59" s="9" t="n">
        <v>0</v>
      </c>
      <c r="C59" s="9" t="n"/>
      <c r="D59" s="9" t="n"/>
      <c r="E59" s="9" t="n"/>
    </row>
    <row r="60">
      <c r="A60" s="18" t="inlineStr">
        <is>
          <t>11f. Fees for services: investment management</t>
        </is>
      </c>
      <c r="B60" s="9" t="n">
        <v>0</v>
      </c>
      <c r="C60" s="9" t="n"/>
      <c r="D60" s="9" t="n"/>
      <c r="E60" s="9" t="n"/>
    </row>
    <row r="61">
      <c r="A61" s="18" t="inlineStr">
        <is>
          <t>11g. Fees for services: other</t>
        </is>
      </c>
      <c r="B61" s="9" t="n">
        <v>0</v>
      </c>
      <c r="C61" s="9" t="n"/>
      <c r="D61" s="9" t="n"/>
      <c r="E61" s="9" t="n"/>
    </row>
    <row r="62">
      <c r="A62" s="18" t="inlineStr">
        <is>
          <t>12. Advertising and promotion</t>
        </is>
      </c>
      <c r="B62" s="9" t="n">
        <v>0</v>
      </c>
      <c r="C62" s="9" t="n"/>
      <c r="D62" s="9" t="n"/>
      <c r="E62" s="9" t="n"/>
    </row>
    <row r="63">
      <c r="A63" s="18" t="inlineStr">
        <is>
          <t>13. Office expenses</t>
        </is>
      </c>
      <c r="B63" s="9" t="n">
        <v>0</v>
      </c>
      <c r="C63" s="9" t="n"/>
      <c r="D63" s="9" t="n"/>
      <c r="E63" s="9" t="n"/>
    </row>
    <row r="64">
      <c r="A64" s="18" t="inlineStr">
        <is>
          <t>14. Information technology</t>
        </is>
      </c>
      <c r="B64" s="9" t="n">
        <v>0</v>
      </c>
      <c r="C64" s="9" t="n"/>
      <c r="D64" s="9" t="n"/>
      <c r="E64" s="9" t="n"/>
    </row>
    <row r="65">
      <c r="A65" s="18" t="inlineStr">
        <is>
          <t>15. Royalties</t>
        </is>
      </c>
      <c r="B65" s="9" t="n">
        <v>0</v>
      </c>
      <c r="C65" s="9" t="n"/>
      <c r="D65" s="9" t="n"/>
      <c r="E65" s="9" t="n"/>
    </row>
    <row r="66">
      <c r="A66" s="18" t="inlineStr">
        <is>
          <t>16. Occupancy</t>
        </is>
      </c>
      <c r="B66" s="9" t="n">
        <v>0</v>
      </c>
      <c r="C66" s="9" t="n"/>
      <c r="D66" s="9" t="n"/>
      <c r="E66" s="9" t="n"/>
    </row>
    <row r="67">
      <c r="A67" s="18" t="inlineStr">
        <is>
          <t>17. Travel</t>
        </is>
      </c>
      <c r="B67" s="9" t="n">
        <v>0</v>
      </c>
      <c r="C67" s="9" t="n"/>
      <c r="D67" s="9" t="n"/>
      <c r="E67" s="9" t="n"/>
    </row>
    <row r="68">
      <c r="A68" s="18" t="inlineStr">
        <is>
          <t>18. Payments of travel/entertainment for public officials</t>
        </is>
      </c>
      <c r="B68" s="9" t="n">
        <v>0</v>
      </c>
      <c r="C68" s="9" t="n"/>
      <c r="D68" s="9" t="n"/>
      <c r="E68" s="9" t="n"/>
    </row>
    <row r="69">
      <c r="A69" s="18" t="inlineStr">
        <is>
          <t>19. Conferences, conventions, and meetings</t>
        </is>
      </c>
      <c r="B69" s="9" t="n">
        <v>0</v>
      </c>
      <c r="C69" s="9" t="n"/>
      <c r="D69" s="9" t="n"/>
      <c r="E69" s="9" t="n"/>
    </row>
    <row r="70">
      <c r="A70" s="18" t="inlineStr">
        <is>
          <t>20. Interest</t>
        </is>
      </c>
      <c r="B70" s="9" t="n">
        <v>0</v>
      </c>
      <c r="C70" s="9" t="n"/>
      <c r="D70" s="9" t="n"/>
      <c r="E70" s="9" t="n"/>
    </row>
    <row r="71">
      <c r="A71" s="18" t="inlineStr">
        <is>
          <t>21. Payments to affiliates</t>
        </is>
      </c>
      <c r="B71" s="9" t="n">
        <v>0</v>
      </c>
      <c r="C71" s="9" t="n"/>
      <c r="D71" s="9" t="n"/>
      <c r="E71" s="9" t="n"/>
    </row>
    <row r="72">
      <c r="A72" s="18" t="inlineStr">
        <is>
          <t>22. Depreciation, depletion, and amortization</t>
        </is>
      </c>
      <c r="B72" s="9" t="n">
        <v>26635</v>
      </c>
      <c r="C72" s="9" t="n"/>
      <c r="D72" s="9" t="n"/>
      <c r="E72" s="9" t="n"/>
    </row>
    <row r="73">
      <c r="A73" s="18" t="inlineStr">
        <is>
          <t>23. Insurance</t>
        </is>
      </c>
      <c r="B73" s="9" t="n">
        <v>13009</v>
      </c>
      <c r="C73" s="9" t="n"/>
      <c r="D73" s="9" t="n"/>
      <c r="E73" s="9" t="n"/>
    </row>
    <row r="74">
      <c r="A74" s="10" t="inlineStr">
        <is>
          <t>25. Total (filed col A / B / C / D)</t>
        </is>
      </c>
      <c r="B74" s="11" t="n">
        <v>316226</v>
      </c>
      <c r="C74" s="11" t="n">
        <v>0</v>
      </c>
      <c r="D74" s="11" t="n">
        <v>0</v>
      </c>
      <c r="E74" s="11" t="n">
        <v>0</v>
      </c>
    </row>
    <row r="76" ht="42" customHeight="1">
      <c r="A76"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6:G76"/>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Community Mutual Water Company</t>
        </is>
      </c>
    </row>
    <row r="2">
      <c r="A2" s="2" t="inlineStr">
        <is>
          <t>Balance Sheet - Form 990 Part X (end of year, USD)</t>
        </is>
      </c>
    </row>
    <row r="3">
      <c r="A3" s="2" t="inlineStr">
        <is>
          <t>Entity ID: cawc_0013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141161</v>
      </c>
      <c r="C7" s="9" t="n">
        <v>106290</v>
      </c>
      <c r="D7" s="9" t="n">
        <v>216148</v>
      </c>
      <c r="E7" s="9" t="n">
        <v>209475</v>
      </c>
      <c r="F7" s="9" t="n">
        <v>308059</v>
      </c>
      <c r="G7" s="9" t="n">
        <v>396287</v>
      </c>
    </row>
    <row r="8">
      <c r="A8" s="8" t="inlineStr">
        <is>
          <t xml:space="preserve">    2. Savings and temporary cash investments</t>
        </is>
      </c>
      <c r="B8" s="9" t="n">
        <v>0</v>
      </c>
      <c r="C8" s="9" t="n">
        <v>0</v>
      </c>
      <c r="D8" s="9" t="n">
        <v>0</v>
      </c>
      <c r="E8" s="9" t="n">
        <v>0</v>
      </c>
      <c r="F8" s="9" t="n">
        <v>0</v>
      </c>
      <c r="G8" s="9" t="n">
        <v>0</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73810</v>
      </c>
      <c r="C10" s="9" t="n">
        <v>122629</v>
      </c>
      <c r="D10" s="9" t="n">
        <v>97354</v>
      </c>
      <c r="E10" s="9" t="n">
        <v>92864</v>
      </c>
      <c r="F10" s="9" t="n">
        <v>199505</v>
      </c>
      <c r="G10" s="9" t="n">
        <v>145168</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234464</v>
      </c>
      <c r="C16" s="9" t="n">
        <v>205982</v>
      </c>
      <c r="D16" s="9" t="n">
        <v>183743</v>
      </c>
      <c r="E16" s="9" t="n">
        <v>199315</v>
      </c>
      <c r="F16" s="9" t="n">
        <v>173382</v>
      </c>
      <c r="G16" s="9" t="n">
        <v>146747</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7494</v>
      </c>
      <c r="C21" s="9" t="n">
        <v>0</v>
      </c>
      <c r="D21" s="9" t="n">
        <v>0</v>
      </c>
      <c r="E21" s="9" t="n">
        <v>0</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47744</v>
      </c>
      <c r="C25" s="9" t="n">
        <v>38796</v>
      </c>
      <c r="D25" s="9" t="n">
        <v>41801</v>
      </c>
      <c r="E25" s="9" t="n">
        <v>62243</v>
      </c>
      <c r="F25" s="9" t="n">
        <v>137370</v>
      </c>
      <c r="G25" s="9" t="n">
        <v>87324</v>
      </c>
    </row>
    <row r="26">
      <c r="A26" s="10" t="inlineStr">
        <is>
          <t>26. Total liabilities</t>
        </is>
      </c>
      <c r="B26" s="11">
        <f>SUM(B25:B25)</f>
        <v/>
      </c>
      <c r="C26" s="11">
        <f>SUM(C25:C25)</f>
        <v/>
      </c>
      <c r="D26" s="11">
        <f>SUM(D25:D25)</f>
        <v/>
      </c>
      <c r="E26" s="11">
        <f>SUM(E25:E25)</f>
        <v/>
      </c>
      <c r="F26" s="11">
        <f>SUM(F25:F25)</f>
        <v/>
      </c>
      <c r="G26" s="11">
        <f>SUM(G25:G25)</f>
        <v/>
      </c>
    </row>
    <row r="28">
      <c r="A28" s="6" t="inlineStr">
        <is>
          <t>Net assets / fund balances</t>
        </is>
      </c>
      <c r="B28" s="7" t="n"/>
      <c r="C28" s="7" t="n"/>
      <c r="D28" s="7" t="n"/>
      <c r="E28" s="7" t="n"/>
      <c r="F28" s="7" t="n"/>
      <c r="G28" s="7" t="n"/>
    </row>
    <row r="29">
      <c r="A29" s="8" t="inlineStr">
        <is>
          <t xml:space="preserve">    29. Capital stock or trust principal</t>
        </is>
      </c>
      <c r="B29" s="9" t="n">
        <v>5656</v>
      </c>
      <c r="C29" s="9" t="n">
        <v>5656</v>
      </c>
      <c r="D29" s="9" t="n">
        <v>5656</v>
      </c>
      <c r="E29" s="9" t="n">
        <v>5656</v>
      </c>
      <c r="F29" s="9" t="n">
        <v>5656</v>
      </c>
      <c r="G29" s="9" t="n">
        <v>5656</v>
      </c>
    </row>
    <row r="30">
      <c r="A30" s="8" t="inlineStr">
        <is>
          <t xml:space="preserve">    30. Paid-in or capital surplus</t>
        </is>
      </c>
      <c r="B30" s="9" t="n">
        <v>112947</v>
      </c>
      <c r="C30" s="9" t="n">
        <v>112947</v>
      </c>
      <c r="D30" s="9" t="n">
        <v>112947</v>
      </c>
      <c r="E30" s="9" t="n">
        <v>112947</v>
      </c>
      <c r="F30" s="9" t="n">
        <v>112947</v>
      </c>
      <c r="G30" s="9" t="n">
        <v>112947</v>
      </c>
    </row>
    <row r="31">
      <c r="A31" s="8" t="inlineStr">
        <is>
          <t xml:space="preserve">    31. Retained earnings / accumulated funds</t>
        </is>
      </c>
      <c r="B31" s="9" t="n">
        <v>290582</v>
      </c>
      <c r="C31" s="9" t="n">
        <v>277502</v>
      </c>
      <c r="D31" s="9" t="n">
        <v>336841</v>
      </c>
      <c r="E31" s="9" t="n">
        <v>320808</v>
      </c>
      <c r="F31" s="9" t="n">
        <v>424973</v>
      </c>
      <c r="G31" s="9" t="n">
        <v>482275</v>
      </c>
    </row>
    <row r="32">
      <c r="A32" s="10" t="inlineStr">
        <is>
          <t>32. Total net assets / fund balances</t>
        </is>
      </c>
      <c r="B32" s="11">
        <f>SUM(B29:B31)</f>
        <v/>
      </c>
      <c r="C32" s="11">
        <f>SUM(C29:C31)</f>
        <v/>
      </c>
      <c r="D32" s="11">
        <f>SUM(D29:D31)</f>
        <v/>
      </c>
      <c r="E32" s="11">
        <f>SUM(E29:E31)</f>
        <v/>
      </c>
      <c r="F32" s="11">
        <f>SUM(F29:F31)</f>
        <v/>
      </c>
      <c r="G32" s="11">
        <f>SUM(G29:G31)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4:G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Community Mutual Water Company</t>
        </is>
      </c>
    </row>
    <row r="2">
      <c r="A2" s="2" t="inlineStr">
        <is>
          <t>Reconciliation of Net Assets - Form 990 Part XI (USD)</t>
        </is>
      </c>
    </row>
    <row r="3">
      <c r="A3" s="2" t="inlineStr">
        <is>
          <t>Entity ID: cawc_0013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409185</v>
      </c>
      <c r="C7" s="9" t="n">
        <v>409185</v>
      </c>
      <c r="D7" s="9" t="n">
        <v>396105</v>
      </c>
      <c r="E7" s="9" t="n">
        <v>455444</v>
      </c>
      <c r="F7" s="9" t="n">
        <v>439411</v>
      </c>
      <c r="G7" s="9" t="n">
        <v>543576</v>
      </c>
    </row>
    <row r="8">
      <c r="A8" s="8" t="inlineStr">
        <is>
          <t xml:space="preserve">    3. Revenue less expenses</t>
        </is>
      </c>
      <c r="B8" s="9" t="n">
        <v>0</v>
      </c>
      <c r="C8" s="9" t="n">
        <v>-40153</v>
      </c>
      <c r="D8" s="9" t="n">
        <v>32171</v>
      </c>
      <c r="E8" s="9" t="n">
        <v>-43106</v>
      </c>
      <c r="F8" s="9" t="n">
        <v>77092</v>
      </c>
      <c r="G8" s="9" t="n">
        <v>30229</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9" t="n">
        <v>27073</v>
      </c>
      <c r="D10" s="9" t="n">
        <v>27168</v>
      </c>
      <c r="E10" s="9" t="n">
        <v>27073</v>
      </c>
      <c r="F10" s="9" t="n">
        <v>27073</v>
      </c>
      <c r="G10" s="9" t="n">
        <v>27073</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Community Mutual Water Company</t>
        </is>
      </c>
    </row>
    <row r="2">
      <c r="A2" s="2" t="inlineStr">
        <is>
          <t>Cash Flow Proxies - derived (USD)</t>
        </is>
      </c>
    </row>
    <row r="3">
      <c r="A3" s="2" t="inlineStr">
        <is>
          <t>Entity ID: cawc_0013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0</v>
      </c>
      <c r="C9" s="9" t="n">
        <v>-40153</v>
      </c>
      <c r="D9" s="9" t="n">
        <v>32171</v>
      </c>
      <c r="E9" s="9" t="n">
        <v>-43106</v>
      </c>
      <c r="F9" s="9" t="n">
        <v>77092</v>
      </c>
      <c r="G9" s="9" t="n">
        <v>30229</v>
      </c>
    </row>
    <row r="10">
      <c r="A10" s="8" t="inlineStr">
        <is>
          <t xml:space="preserve">    + Depreciation (reported)</t>
        </is>
      </c>
      <c r="B10" s="9" t="n">
        <v>36740</v>
      </c>
      <c r="C10" s="9" t="n">
        <v>28482</v>
      </c>
      <c r="D10" s="9" t="n">
        <v>22239</v>
      </c>
      <c r="E10" s="9" t="n">
        <v>21743</v>
      </c>
      <c r="F10" s="9" t="n">
        <v>25933</v>
      </c>
      <c r="G10" s="9" t="n">
        <v>26635</v>
      </c>
    </row>
    <row r="11">
      <c r="A11" s="8" t="inlineStr">
        <is>
          <t xml:space="preserve">    − Δ Accounts receivable</t>
        </is>
      </c>
      <c r="B11" s="9" t="n"/>
      <c r="C11" s="9" t="n">
        <v>-48819</v>
      </c>
      <c r="D11" s="9" t="n">
        <v>25275</v>
      </c>
      <c r="E11" s="9" t="n">
        <v>4490</v>
      </c>
      <c r="F11" s="9" t="n">
        <v>-106641</v>
      </c>
      <c r="G11" s="9" t="n">
        <v>54337</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v>-8948</v>
      </c>
      <c r="D14" s="9" t="n">
        <v>3005</v>
      </c>
      <c r="E14" s="9" t="n">
        <v>20442</v>
      </c>
      <c r="F14" s="9" t="n">
        <v>75127</v>
      </c>
      <c r="G14" s="9" t="n">
        <v>-50046</v>
      </c>
    </row>
    <row r="15">
      <c r="A15" s="10" t="inlineStr">
        <is>
          <t xml:space="preserve">    Operating cash flow proxy</t>
        </is>
      </c>
      <c r="B15" s="11" t="n"/>
      <c r="C15" s="11" t="n">
        <v>-69438</v>
      </c>
      <c r="D15" s="11" t="n">
        <v>82690</v>
      </c>
      <c r="E15" s="11" t="n">
        <v>3569</v>
      </c>
      <c r="F15" s="11" t="n">
        <v>71511</v>
      </c>
      <c r="G15" s="11" t="n">
        <v>61155</v>
      </c>
    </row>
    <row r="17">
      <c r="A17" s="6" t="inlineStr">
        <is>
          <t>Investing</t>
        </is>
      </c>
      <c r="B17" s="7" t="n"/>
      <c r="C17" s="7" t="n"/>
      <c r="D17" s="7" t="n"/>
      <c r="E17" s="7" t="n"/>
      <c r="F17" s="7" t="n"/>
      <c r="G17" s="7" t="n"/>
    </row>
    <row r="18">
      <c r="A18" s="8" t="inlineStr">
        <is>
          <t xml:space="preserve">    − Δ PP&amp;E gross (capex proxy)</t>
        </is>
      </c>
      <c r="B18" s="9" t="n"/>
      <c r="C18" s="9" t="n">
        <v>0</v>
      </c>
      <c r="D18" s="9" t="n">
        <v>0</v>
      </c>
      <c r="E18" s="9" t="n">
        <v>-37315</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-34871</v>
      </c>
      <c r="D24" s="11" t="n">
        <v>109858</v>
      </c>
      <c r="E24" s="11" t="n">
        <v>-6673</v>
      </c>
      <c r="F24" s="11" t="n">
        <v>98584</v>
      </c>
      <c r="G24" s="11" t="n">
        <v>88228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Community Mutual Water Company</t>
        </is>
      </c>
    </row>
    <row r="2">
      <c r="A2" s="2" t="inlineStr">
        <is>
          <t>Financial Ratios</t>
        </is>
      </c>
    </row>
    <row r="3">
      <c r="A3" s="2" t="inlineStr">
        <is>
          <t>Entity ID: cawc_0013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v>
      </c>
      <c r="C7" s="12" t="n">
        <v>-0.1559006814078546</v>
      </c>
      <c r="D7" s="12" t="n">
        <v>0.09421325445866401</v>
      </c>
      <c r="E7" s="12" t="n">
        <v>-0.1644815165298086</v>
      </c>
      <c r="F7" s="12" t="n">
        <v>0.1987598777925309</v>
      </c>
      <c r="G7" s="12" t="n">
        <v>0.08725231271016438</v>
      </c>
    </row>
    <row r="8">
      <c r="A8" s="8" t="inlineStr">
        <is>
          <t xml:space="preserve">    Expense ratio (expenses / revenue)</t>
        </is>
      </c>
      <c r="B8" s="12" t="n">
        <v>1</v>
      </c>
      <c r="C8" s="12" t="n">
        <v>1.155900681407855</v>
      </c>
      <c r="D8" s="12" t="n">
        <v>0.905786745541336</v>
      </c>
      <c r="E8" s="12" t="n">
        <v>1.164481516529809</v>
      </c>
      <c r="F8" s="12" t="n">
        <v>0.8012401222074691</v>
      </c>
      <c r="G8" s="12" t="n">
        <v>0.9127476872898356</v>
      </c>
    </row>
    <row r="9">
      <c r="A9" s="8" t="inlineStr">
        <is>
          <t xml:space="preserve">    Return on assets (NI / assets)</t>
        </is>
      </c>
      <c r="B9" s="12" t="n">
        <v>0</v>
      </c>
      <c r="C9" s="12" t="n">
        <v>-0.09232675942340901</v>
      </c>
      <c r="D9" s="12" t="n">
        <v>0.06469848867258594</v>
      </c>
      <c r="E9" s="12" t="n">
        <v>-0.08592775099969302</v>
      </c>
      <c r="F9" s="12" t="n">
        <v>0.1132130888499235</v>
      </c>
      <c r="G9" s="12" t="n">
        <v>0.04392460353210249</v>
      </c>
    </row>
    <row r="10">
      <c r="A10" s="8" t="inlineStr">
        <is>
          <t xml:space="preserve">    Revenue growth (YoY)</t>
        </is>
      </c>
      <c r="B10" s="12" t="n"/>
      <c r="C10" s="12" t="n">
        <v>0.02496398468652749</v>
      </c>
      <c r="D10" s="12" t="n">
        <v>0.3258139038263672</v>
      </c>
      <c r="E10" s="12" t="n">
        <v>-0.2325182300055642</v>
      </c>
      <c r="F10" s="12" t="n">
        <v>0.4799940474373455</v>
      </c>
      <c r="G10" s="12" t="n">
        <v>-0.106763951374834</v>
      </c>
    </row>
    <row r="12">
      <c r="A12" s="6" t="inlineStr">
        <is>
          <t>Leverage &amp; solvency</t>
        </is>
      </c>
      <c r="B12" s="7" t="n"/>
      <c r="C12" s="7" t="n"/>
      <c r="D12" s="7" t="n"/>
      <c r="E12" s="7" t="n"/>
      <c r="F12" s="7" t="n"/>
      <c r="G12" s="7" t="n"/>
    </row>
    <row r="13">
      <c r="A13" s="8" t="inlineStr">
        <is>
          <t xml:space="preserve">    Debt-to-assets (liab. / assets)</t>
        </is>
      </c>
      <c r="B13" s="12" t="n">
        <v>0.1044888812047386</v>
      </c>
      <c r="C13" s="12" t="n">
        <v>0.0892065090675809</v>
      </c>
      <c r="D13" s="12" t="n">
        <v>0.08406519924785569</v>
      </c>
      <c r="E13" s="12" t="n">
        <v>0.1240755580539575</v>
      </c>
      <c r="F13" s="12" t="n">
        <v>0.2017340582072587</v>
      </c>
      <c r="G13" s="12" t="n">
        <v>0.1268871639431446</v>
      </c>
    </row>
    <row r="14">
      <c r="A14" s="8" t="inlineStr">
        <is>
          <t xml:space="preserve">    Equity ratio (net assets / assets)</t>
        </is>
      </c>
      <c r="B14" s="12" t="n">
        <v>0.8955111187952615</v>
      </c>
      <c r="C14" s="12" t="n">
        <v>0.9107934909324191</v>
      </c>
      <c r="D14" s="12" t="n">
        <v>0.9159348007521443</v>
      </c>
      <c r="E14" s="12" t="n">
        <v>0.8759244419460425</v>
      </c>
      <c r="F14" s="12" t="n">
        <v>0.7982659417927412</v>
      </c>
      <c r="G14" s="12" t="n">
        <v>0.8731128360568554</v>
      </c>
    </row>
    <row r="16">
      <c r="A16" s="6" t="inlineStr">
        <is>
          <t>Liquidity &amp; asset profile (derived here)</t>
        </is>
      </c>
      <c r="B16" s="7" t="n"/>
      <c r="C16" s="7" t="n"/>
      <c r="D16" s="7" t="n"/>
      <c r="E16" s="7" t="n"/>
      <c r="F16" s="7" t="n"/>
      <c r="G16" s="7" t="n"/>
    </row>
    <row r="17">
      <c r="A17" s="8" t="inlineStr">
        <is>
          <t xml:space="preserve">    Current ratio (current assets / AP)</t>
        </is>
      </c>
      <c r="B17" s="19" t="n">
        <v>4.50257623994638</v>
      </c>
      <c r="C17" s="19" t="n">
        <v>5.900582534281885</v>
      </c>
      <c r="D17" s="19" t="n">
        <v>7.499868424200378</v>
      </c>
      <c r="E17" s="19" t="n">
        <v>4.857397619009366</v>
      </c>
      <c r="F17" s="19" t="n">
        <v>3.694867875081896</v>
      </c>
      <c r="G17" s="19" t="n">
        <v>6.200529064174797</v>
      </c>
    </row>
    <row r="18">
      <c r="A18" s="8" t="inlineStr">
        <is>
          <t xml:space="preserve">    Cash ratio ((cash+temp inv.) / total liab.)</t>
        </is>
      </c>
      <c r="B18" s="19" t="n">
        <v>2.956622821715817</v>
      </c>
      <c r="C18" s="19" t="n">
        <v>2.739715434580885</v>
      </c>
      <c r="D18" s="19" t="n">
        <v>5.170881079400014</v>
      </c>
      <c r="E18" s="19" t="n">
        <v>3.365438683868065</v>
      </c>
      <c r="F18" s="19" t="n">
        <v>2.242549319356482</v>
      </c>
      <c r="G18" s="19" t="n">
        <v>4.538122394759745</v>
      </c>
    </row>
    <row r="19">
      <c r="A19" s="8" t="inlineStr">
        <is>
          <t xml:space="preserve">    Asset age proxy (accum. deprec. / gross PP&amp;E)</t>
        </is>
      </c>
      <c r="B19" s="12" t="n">
        <v>0.6868828508318576</v>
      </c>
      <c r="C19" s="12" t="n">
        <v>0.7249194050261349</v>
      </c>
      <c r="D19" s="12" t="n">
        <v>0.7546186862818941</v>
      </c>
      <c r="E19" s="12" t="n">
        <v>0.7464576063990149</v>
      </c>
      <c r="F19" s="12" t="n">
        <v>0.7794461666842636</v>
      </c>
      <c r="G19" s="12" t="n">
        <v>0.8133277192696798</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Community Mutual Water Company</t>
        </is>
      </c>
    </row>
    <row r="2">
      <c r="A2" s="2" t="inlineStr">
        <is>
          <t>Unit economics - per-customer revenue by category (USD)</t>
        </is>
      </c>
    </row>
    <row r="3">
      <c r="A3" s="2" t="inlineStr">
        <is>
          <t>Entity ID: cawc_0013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v>36</v>
      </c>
      <c r="C6" s="22" t="inlineStr">
        <is>
          <t>State Water Board eAR Section 4 (CurTotalConnections), reporting year 2023</t>
        </is>
      </c>
    </row>
    <row r="7">
      <c r="A7" s="20" t="inlineStr">
        <is>
          <t>Total annual revenue (eAR Section 8b B1.8)</t>
        </is>
      </c>
      <c r="B7" s="9" t="n">
        <v>412478</v>
      </c>
      <c r="C7" s="22" t="inlineStr">
        <is>
          <t>State Water Board eAR Section 8b, question B1.8 (total annual revenue), reporting year 2023</t>
        </is>
      </c>
    </row>
    <row r="8">
      <c r="A8" s="20" t="inlineStr">
        <is>
          <t>Primary source</t>
        </is>
      </c>
      <c r="B8" s="23" t="inlineStr"/>
      <c r="C8" s="22"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DIRECT</t>
        </is>
      </c>
      <c r="C12" s="9" t="n">
        <v>412478</v>
      </c>
      <c r="D12" s="25" t="n">
        <v>11457.72</v>
      </c>
      <c r="E12" s="26" t="n">
        <v>1</v>
      </c>
    </row>
    <row r="13">
      <c r="A13" s="8" t="inlineStr">
        <is>
          <t>Assessment revenue (990 program-service revenue not matched to eAR water-rate revenue)</t>
        </is>
      </c>
      <c r="B13" s="24" t="inlineStr">
        <is>
          <t>DERIVED</t>
        </is>
      </c>
      <c r="C13" s="9" t="n">
        <v>-150406</v>
      </c>
      <c r="D13" s="25" t="n">
        <v>-4177.94</v>
      </c>
      <c r="E13" s="26" t="n">
        <v>-0.5739</v>
      </c>
    </row>
    <row r="14">
      <c r="A14" s="8" t="inlineStr">
        <is>
          <t>Meter revenue</t>
        </is>
      </c>
      <c r="B14" s="24" t="inlineStr">
        <is>
          <t>not reported</t>
        </is>
      </c>
      <c r="C14" s="27" t="inlineStr">
        <is>
          <t>not reported</t>
        </is>
      </c>
      <c r="D14" s="27" t="inlineStr">
        <is>
          <t>not reported</t>
        </is>
      </c>
      <c r="E14" s="27" t="inlineStr">
        <is>
          <t>not reported</t>
        </is>
      </c>
    </row>
    <row r="15">
      <c r="A15" s="8" t="inlineStr">
        <is>
          <t>Overage or tiered penalty revenue</t>
        </is>
      </c>
      <c r="B15" s="24" t="inlineStr">
        <is>
          <t>not reported</t>
        </is>
      </c>
      <c r="C15" s="27" t="inlineStr">
        <is>
          <t>not reported</t>
        </is>
      </c>
      <c r="D15" s="27" t="inlineStr">
        <is>
          <t>not reported</t>
        </is>
      </c>
      <c r="E15" s="27"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0" t="inlineStr">
        <is>
          <t>Numerator: Water rate revenue</t>
        </is>
      </c>
      <c r="B19" s="9" t="n">
        <v>412478</v>
      </c>
      <c r="C19" s="22" t="inlineStr">
        <is>
          <t>eAR Section 8b field B1.1 (residential water rates) + B1.2 (non-residential water rates). State Water Board eAR Section 8b, question B1.1 + B1.2 (revenue from water rates), reporting year 2023</t>
        </is>
      </c>
    </row>
    <row r="20">
      <c r="A20" s="20" t="inlineStr">
        <is>
          <t>Denominator: Total service connections</t>
        </is>
      </c>
      <c r="B20" s="21" t="n">
        <v>36</v>
      </c>
      <c r="C20" s="22" t="inlineStr">
        <is>
          <t>eAR Section 4 CurTotalConnections, reporting year 2023. State Water Board eAR Section 4 (CurTotalConnections), reporting year 2023</t>
        </is>
      </c>
    </row>
    <row r="21" ht="36" customHeight="1">
      <c r="A21" s="3" t="inlineStr">
        <is>
          <t>Per customer: water rate revenue $412,478 / 36 connections = $11,457.72 per connection</t>
        </is>
      </c>
    </row>
    <row r="22" ht="36" customHeight="1">
      <c r="A22" s="3" t="inlineStr">
        <is>
          <t>Share of revenue: water rate revenue $412,478 / total annual revenue (eAR Section 8b B1.8) $412,478 = 100.00%</t>
        </is>
      </c>
    </row>
    <row r="23" ht="66" customHeight="1">
      <c r="A23" s="3" t="inlineStr">
        <is>
          <t>Period treatment: Numerator (eAR Section 8b, the calendar year 2023)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0" t="inlineStr">
        <is>
          <t>Input A: Form 990 program-service revenue</t>
        </is>
      </c>
      <c r="B28" s="9" t="n">
        <v>262072</v>
      </c>
      <c r="C28" s="22" t="inlineStr">
        <is>
          <t>Form 990 Part VIII line 2 (total program-service revenue), fiscal year 2023 ending December 31, 2023</t>
        </is>
      </c>
    </row>
    <row r="29">
      <c r="A29" s="20" t="inlineStr">
        <is>
          <t>Input B: eAR water-rate revenue</t>
        </is>
      </c>
      <c r="B29" s="9" t="n">
        <v>412478</v>
      </c>
      <c r="C29" s="22" t="inlineStr">
        <is>
          <t>State Water Board eAR Section 8b, question B1.1 + B1.2 (revenue from water rates), reporting year 2023</t>
        </is>
      </c>
    </row>
    <row r="30">
      <c r="A30" s="15" t="inlineStr">
        <is>
          <t>Residual (A minus B) = assessment revenue</t>
        </is>
      </c>
      <c r="B30" s="16">
        <f>B28-B29</f>
        <v/>
      </c>
      <c r="C30" s="22" t="inlineStr">
        <is>
          <t>$262,072 (990 program-service revenue) minus $412,478 (eAR water-rate revenue) = $-150,406</t>
        </is>
      </c>
    </row>
    <row r="31" ht="66" customHeight="1">
      <c r="A31" s="3" t="inlineStr">
        <is>
          <t>Period alignment: Both inputs cover the same period: the eAR Section 8b is the calendar year 2023 and the Form 990 fiscal year 2023 ends December 31, 2023,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0" t="inlineStr">
        <is>
          <t>Denominator: Total service connections</t>
        </is>
      </c>
      <c r="B34" s="21" t="n">
        <v>36</v>
      </c>
      <c r="C34" s="22" t="inlineStr">
        <is>
          <t>eAR Section 4 CurTotalConnections, reporting year 2023. State Water Board eAR Section 4 (CurTotalConnections), reporting year 2023</t>
        </is>
      </c>
    </row>
    <row r="35" ht="36" customHeight="1">
      <c r="A35" s="3" t="inlineStr">
        <is>
          <t>Per customer: residual $-150,406 / 36 connections = $-4,177.94 per connection</t>
        </is>
      </c>
    </row>
    <row r="36" ht="36" customHeight="1">
      <c r="A36" s="3" t="inlineStr">
        <is>
          <t>Share of revenue: residual $-150,406 / 990 program-service revenue $262,072 = -57.39%</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Community Mutual Water Company</t>
        </is>
      </c>
    </row>
    <row r="2">
      <c r="A2" s="2" t="inlineStr">
        <is>
          <t>Rate structure and representative bill - eAR Section 8a (RY2023)</t>
        </is>
      </c>
    </row>
    <row r="3">
      <c r="A3" s="2" t="inlineStr">
        <is>
          <t>Entity ID: cawc_0013   |   Fiscal year ends December 31.</t>
        </is>
      </c>
    </row>
    <row r="5" ht="81" customHeight="1">
      <c r="A5" s="28" t="inlineStr">
        <is>
          <t>This block is a rate-schedule illustration at defined usage levels. It is NOT billed revenue and not a claim about any real customer's usage. The revenue side of unit economics is the separate Unit Economics block.</t>
        </is>
      </c>
    </row>
    <row r="6" ht="141" customHeight="1">
      <c r="A6" s="3" t="inlineStr">
        <is>
          <t>A filed eAR Section 8a rate schedule IS staged for this system, reporting year 2023, carrying a residential rate structure filed as "Fixed Base", a billing frequency of Q. It carries no single-family residential charges grid (no base charge and no tier prices), so a representative monthly bill is not computable as a monthly bill for this system. Nothing here is estimated to fill the gap.</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Community Mutual Water Company</t>
        </is>
      </c>
    </row>
    <row r="2">
      <c r="A2" s="2" t="inlineStr">
        <is>
          <t>eAR annual revenue and expenses - State Water Board eAR Section 8b (USD)</t>
        </is>
      </c>
    </row>
    <row r="3">
      <c r="A3" s="2" t="inlineStr">
        <is>
          <t>Entity ID: cawc_0013   |   Fiscal year ends December 31.</t>
        </is>
      </c>
    </row>
    <row r="5" ht="141" customHeight="1">
      <c r="A5" s="3" t="inlineStr">
        <is>
          <t>The water system's own annual figures from the public eAR Section 8b, on the calendar year 2023 the filer self-reported (B0.1/B0.2). Shown beside the period-aligned Form 990 with the variance flagged: a different source (a State Water Board self-report vs an IRS filing). Preserved as filed, never reconciled.</t>
        </is>
      </c>
    </row>
    <row r="6">
      <c r="A6" s="20" t="inlineStr">
        <is>
          <t>Reporting period basis (self-reported)</t>
        </is>
      </c>
      <c r="B6" s="23" t="inlineStr">
        <is>
          <t>calendar year 2023</t>
        </is>
      </c>
      <c r="C6" s="22"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0" t="inlineStr">
        <is>
          <t>Water rate revenue</t>
        </is>
      </c>
      <c r="B10" s="9" t="n">
        <v>412478</v>
      </c>
      <c r="C10" s="22" t="inlineStr">
        <is>
          <t>State Water Board eAR Section 8b, question B1.1 + B1.2 (revenue from water rates), reporting year 2023</t>
        </is>
      </c>
    </row>
    <row r="11">
      <c r="A11" s="20" t="inlineStr">
        <is>
          <t>Other fees and charges</t>
        </is>
      </c>
      <c r="B11" s="9" t="n">
        <v>0</v>
      </c>
      <c r="C11" s="22" t="inlineStr">
        <is>
          <t>State Water Board eAR Section 8b, question B1.3 + B1.4 (revenue from other fees), reporting year 2023</t>
        </is>
      </c>
    </row>
    <row r="12">
      <c r="A12" s="20" t="inlineStr">
        <is>
          <t>Non-customer revenue</t>
        </is>
      </c>
      <c r="B12" s="9" t="n">
        <v>0</v>
      </c>
      <c r="C12" s="22" t="inlineStr">
        <is>
          <t>State Water Board eAR Section 8b, question B1.7 (grants, interest, and other non-customer), reporting year 2023</t>
        </is>
      </c>
    </row>
    <row r="13">
      <c r="A13" s="20" t="inlineStr">
        <is>
          <t>Total annual revenue</t>
        </is>
      </c>
      <c r="B13" s="29" t="n">
        <v>412478</v>
      </c>
      <c r="C13" s="22"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20" t="inlineStr">
        <is>
          <t>Operations and maintenance</t>
        </is>
      </c>
      <c r="B17" s="9" t="n">
        <v>256845</v>
      </c>
      <c r="C17" s="22" t="inlineStr">
        <is>
          <t>State Water Board eAR Section 8b, question B2.1 (annual O and M expense), reporting year 2023</t>
        </is>
      </c>
    </row>
    <row r="18">
      <c r="A18" s="20" t="inlineStr">
        <is>
          <t>Capital</t>
        </is>
      </c>
      <c r="B18" s="9" t="n">
        <v>0</v>
      </c>
      <c r="C18" s="22" t="inlineStr">
        <is>
          <t>State Water Board eAR Section 8b, question B2.2 (annual expenses from investing or capital), reporting year 2023</t>
        </is>
      </c>
    </row>
    <row r="19">
      <c r="A19" s="20" t="inlineStr">
        <is>
          <t>Financing</t>
        </is>
      </c>
      <c r="B19" s="9" t="n">
        <v>0</v>
      </c>
      <c r="C19" s="22" t="inlineStr">
        <is>
          <t>State Water Board eAR Section 8b, question B2.3 (annual expenses from financing), reporting year 2023</t>
        </is>
      </c>
    </row>
    <row r="20">
      <c r="A20" s="20" t="inlineStr">
        <is>
          <t>Other</t>
        </is>
      </c>
      <c r="B20" s="9" t="n">
        <v>111010</v>
      </c>
      <c r="C20" s="22" t="inlineStr">
        <is>
          <t>State Water Board eAR Section 8b, question B2.4 (total other annual expenses), reporting year 2023</t>
        </is>
      </c>
    </row>
    <row r="21">
      <c r="A21" s="20" t="inlineStr">
        <is>
          <t>Total annual expenses</t>
        </is>
      </c>
      <c r="B21" s="29" t="n">
        <v>367855</v>
      </c>
      <c r="C21" s="22"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412478</v>
      </c>
      <c r="C25" s="9" t="n">
        <v>262072</v>
      </c>
    </row>
    <row r="26">
      <c r="A26" s="15" t="inlineStr">
        <is>
          <t>Variance (eAR minus Form 990)</t>
        </is>
      </c>
      <c r="B26" s="16">
        <f>B25-C25</f>
        <v/>
      </c>
      <c r="C26" s="30" t="n"/>
    </row>
    <row r="27" ht="126" customHeight="1">
      <c r="A27" s="3" t="inlineStr">
        <is>
          <t>The eAR Section 8b total revenue (State Water Board self-report, calendar year 2023) and the Form 990 total revenue (IRS filing) are a different source and cover the same calendar year 2023. Both are carried as filed; the variance is surfaced, never reconciled.</t>
        </is>
      </c>
    </row>
    <row r="28">
      <c r="A28" s="8" t="inlineStr">
        <is>
          <t>total expenses</t>
        </is>
      </c>
      <c r="B28" s="9" t="n">
        <v>367855</v>
      </c>
      <c r="C28" s="9" t="n">
        <v>305178</v>
      </c>
    </row>
    <row r="29">
      <c r="A29" s="15" t="inlineStr">
        <is>
          <t>Variance (eAR minus Form 990)</t>
        </is>
      </c>
      <c r="B29" s="16">
        <f>B28-C28</f>
        <v/>
      </c>
      <c r="C29" s="30" t="n"/>
    </row>
    <row r="30" ht="126" customHeight="1">
      <c r="A30" s="3" t="inlineStr">
        <is>
          <t>The eAR Section 8b total expenses (State Water Board self-report, calendar year 2023) and the Form 990 total expenses (IRS filing) are a different source and cover the same calendar year 2023.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Community Mutual Water Company</t>
        </is>
      </c>
    </row>
    <row r="2">
      <c r="A2" s="2" t="inlineStr">
        <is>
          <t>Denominators and calendar alignment</t>
        </is>
      </c>
    </row>
    <row r="3">
      <c r="A3" s="2" t="inlineStr">
        <is>
          <t>Entity ID: cawc_0013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0" t="inlineStr">
        <is>
          <t>Customer (service connection)</t>
        </is>
      </c>
      <c r="B7" s="23" t="n"/>
      <c r="C7" s="22" t="inlineStr">
        <is>
          <t>State Water Board eAR Section 4</t>
        </is>
      </c>
    </row>
    <row r="8">
      <c r="A8" s="20" t="inlineStr">
        <is>
          <t>SDWIS service-connection count (different registry)</t>
        </is>
      </c>
      <c r="B8" s="21" t="n">
        <v>36</v>
      </c>
      <c r="C8" s="22" t="inlineStr"/>
    </row>
    <row r="9">
      <c r="A9" s="20" t="inlineStr">
        <is>
          <t>Member (shareholder)</t>
        </is>
      </c>
      <c r="B9" s="23" t="n"/>
      <c r="C9" s="22"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FY2021 (2021-12-31)</t>
        </is>
      </c>
      <c r="B14" s="21" t="n">
        <v>36</v>
      </c>
      <c r="C14" s="14" t="inlineStr">
        <is>
          <t>not reported</t>
        </is>
      </c>
      <c r="D14" s="21" t="n">
        <v>859.8</v>
      </c>
      <c r="E14" s="21" t="n">
        <v>1033.3</v>
      </c>
      <c r="F14" s="21" t="n">
        <v>1016.8</v>
      </c>
      <c r="G14" s="23" t="inlineStr">
        <is>
          <t>eAR annual total, calendar filer, equals fiscal year (not a monthly recast)</t>
        </is>
      </c>
    </row>
    <row r="15" ht="40" customHeight="1">
      <c r="A15" s="8" t="inlineStr">
        <is>
          <t>FY2022 (2022-12-31)</t>
        </is>
      </c>
      <c r="B15" s="21" t="n">
        <v>36</v>
      </c>
      <c r="C15" s="14" t="inlineStr">
        <is>
          <t>not reported</t>
        </is>
      </c>
      <c r="D15" s="21" t="n">
        <v>859.8</v>
      </c>
      <c r="E15" s="21" t="n">
        <v>990</v>
      </c>
      <c r="F15" s="21" t="n">
        <v>901.5</v>
      </c>
      <c r="G15" s="23" t="inlineStr">
        <is>
          <t>eAR annual total, calendar filer, equals fiscal year (not a monthly recast)</t>
        </is>
      </c>
    </row>
    <row r="16" ht="40" customHeight="1">
      <c r="A16" s="8" t="inlineStr">
        <is>
          <t>FY2023 (2023-12-31)</t>
        </is>
      </c>
      <c r="B16" s="21" t="n">
        <v>36</v>
      </c>
      <c r="C16" s="21" t="n">
        <v>65</v>
      </c>
      <c r="D16" s="21" t="n">
        <v>859.8</v>
      </c>
      <c r="E16" s="14" t="inlineStr">
        <is>
          <t>not reported</t>
        </is>
      </c>
      <c r="F16" s="14" t="inlineStr">
        <is>
          <t>not reported</t>
        </is>
      </c>
      <c r="G16" s="23" t="inlineStr">
        <is>
          <t>eAR annual total, calendar filer, equals fiscal year (not a monthly recast)</t>
        </is>
      </c>
    </row>
    <row r="17" ht="40" customHeight="1">
      <c r="A17" s="8" t="inlineStr">
        <is>
          <t>FY2024 (2024-12-31)</t>
        </is>
      </c>
      <c r="B17" s="21" t="n">
        <v>36</v>
      </c>
      <c r="C17" s="21" t="n">
        <v>65</v>
      </c>
      <c r="D17" s="21" t="n">
        <v>859.8</v>
      </c>
      <c r="E17" s="14" t="inlineStr">
        <is>
          <t>not reported</t>
        </is>
      </c>
      <c r="F17" s="14" t="inlineStr">
        <is>
          <t>not reported</t>
        </is>
      </c>
      <c r="G17" s="23" t="inlineStr">
        <is>
          <t>eAR annual total, calendar filer, equals fiscal year (not a monthly recast)</t>
        </is>
      </c>
    </row>
    <row r="18" ht="40" customHeight="1">
      <c r="A18" s="8" t="inlineStr">
        <is>
          <t>FY2025 (2025-12-31)</t>
        </is>
      </c>
      <c r="B18" s="14" t="inlineStr">
        <is>
          <t>not reported</t>
        </is>
      </c>
      <c r="C18" s="14" t="inlineStr">
        <is>
          <t>not reported</t>
        </is>
      </c>
      <c r="D18" s="21" t="n">
        <v>859.8</v>
      </c>
      <c r="E18" s="14" t="inlineStr">
        <is>
          <t>not reported</t>
        </is>
      </c>
      <c r="F18" s="14" t="inlineStr">
        <is>
          <t>not reported</t>
        </is>
      </c>
      <c r="G18" s="23" t="inlineStr">
        <is>
          <t>eAR annual total, calendar filer, equals fiscal year (not a monthly recast)</t>
        </is>
      </c>
    </row>
    <row r="20">
      <c r="A20" s="6" t="inlineStr">
        <is>
          <t>Connections by class - FY2024 (eAR Section 4)</t>
        </is>
      </c>
      <c r="B20" s="7" t="n"/>
      <c r="C20" s="7" t="n"/>
      <c r="D20" s="7" t="n"/>
      <c r="E20" s="7" t="n"/>
      <c r="F20" s="7" t="n"/>
      <c r="G20" s="7" t="n"/>
    </row>
    <row r="21">
      <c r="A21" s="20" t="inlineStr">
        <is>
          <t>Single-family residential</t>
        </is>
      </c>
      <c r="B21" s="21" t="n">
        <v>19</v>
      </c>
      <c r="C21" s="22" t="inlineStr"/>
    </row>
    <row r="22">
      <c r="A22" s="20" t="inlineStr">
        <is>
          <t>Agricultural</t>
        </is>
      </c>
      <c r="B22" s="21" t="n">
        <v>17</v>
      </c>
      <c r="C22" s="22" t="inlineStr"/>
    </row>
    <row r="23" ht="81" customHeight="1">
      <c r="A23"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G2"/>
    <mergeCell ref="A10:G10"/>
    <mergeCell ref="A5:G5"/>
    <mergeCell ref="A23:G2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Community Mutual Water Company</t>
        </is>
      </c>
    </row>
    <row r="2">
      <c r="A2" s="2" t="inlineStr">
        <is>
          <t>Governance evidence status - Ostrom's eight design principles</t>
        </is>
      </c>
    </row>
    <row r="3">
      <c r="A3" s="2" t="inlineStr">
        <is>
          <t>Entity ID: cawc_0013   |   Fiscal year ends December 31.</t>
        </is>
      </c>
    </row>
    <row r="5">
      <c r="A5" s="31" t="inlineStr">
        <is>
          <t>Evidence summary: 5 documented, 1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4" t="inlineStr">
        <is>
          <t>DOCUMENTED</t>
        </is>
      </c>
      <c r="C10" s="23" t="inlineStr">
        <is>
          <t>The system is a defined public water system: 36 service connections over a State-published service-area boundary.</t>
        </is>
      </c>
      <c r="D10" s="23" t="inlineStr">
        <is>
          <t>SDWIS Community water system; SABL service-area boundary (not verified (sabl)); connections defined.</t>
        </is>
      </c>
      <c r="E10" s="32" t="inlineStr">
        <is>
          <t>[C][G]</t>
        </is>
      </c>
    </row>
    <row r="11" ht="81" customHeight="1">
      <c r="A11" s="3" t="inlineStr">
        <is>
          <t>What the record shows: SDWIS defines the membership as a fixed set of service connections and the State Water Board publishes a SABL service-area polygon, so who is inside and outside the system is documented. The boundary is Not Verified (SABL), so its outer edge rests on that State layer.</t>
        </is>
      </c>
    </row>
    <row r="12" ht="46" customHeight="1">
      <c r="A12" s="8" t="inlineStr">
        <is>
          <t>Rules fit local conditions</t>
        </is>
      </c>
      <c r="B12" s="24" t="inlineStr">
        <is>
          <t>DOCUMENTED</t>
        </is>
      </c>
      <c r="C12" s="23" t="inlineStr">
        <is>
          <t>Charges are tied to service under a documented rate or share-based allocation rule reported to the State or set in the company's structure.</t>
        </is>
      </c>
      <c r="D12" s="23" t="inlineStr">
        <is>
          <t>eAR Section 8a customer charges; documented rate or share-allocation rule.</t>
        </is>
      </c>
      <c r="E12" s="32" t="inlineStr">
        <is>
          <t>[E][r1]</t>
        </is>
      </c>
    </row>
    <row r="13" ht="81" customHeight="1">
      <c r="A13" s="3" t="inlineStr">
        <is>
          <t>What the record shows: The record documents how charges are set, whether a filed metered rate schedule or a share-and-acreage allocation, so cost tracks service. Whether every tier scales precisely with use is only partially visible at this scale, but a real cost-to-service rule is on record.</t>
        </is>
      </c>
    </row>
    <row r="14" ht="46" customHeight="1">
      <c r="A14" s="8" t="inlineStr">
        <is>
          <t>Collective-choice arrangements</t>
        </is>
      </c>
      <c r="B14" s="24" t="inlineStr">
        <is>
          <t>DOCUMENTED</t>
        </is>
      </c>
      <c r="C14" s="23" t="inlineStr">
        <is>
          <t>The company is owned by its customer-shareholders and run by a named board they elect, documented in its Form 990 governance section.</t>
        </is>
      </c>
      <c r="D14" s="23" t="inlineStr">
        <is>
          <t>Mutual ownership; named elected board of directors (Form 990).</t>
        </is>
      </c>
      <c r="E14" s="32" t="inlineStr">
        <is>
          <t>[990][r1]</t>
        </is>
      </c>
    </row>
    <row r="15" ht="81" customHeight="1">
      <c r="A15" s="3" t="inlineStr">
        <is>
          <t>What the record shows: The record documents a collective-choice mechanism: customers are shareholders who elect a named board that governs the company. Turnout and specific member votes on major decisions are not documented, but the elected-board structure and its membership are on record.</t>
        </is>
      </c>
    </row>
    <row r="16" ht="46" customHeight="1">
      <c r="A16" s="8" t="inlineStr">
        <is>
          <t>Monitoring</t>
        </is>
      </c>
      <c r="B16" s="24" t="inlineStr">
        <is>
          <t>DOCUMENTED</t>
        </is>
      </c>
      <c r="C16" s="23" t="inlineStr">
        <is>
          <t>The system is metered and monitored: the State SAFER risk assessment shows it Not Failing, and it files an annual eAR.</t>
        </is>
      </c>
      <c r="D16" s="23" t="inlineStr">
        <is>
          <t>SAFER Not Failing; annual eAR reporting; metered connections.</t>
        </is>
      </c>
      <c r="E16" s="32" t="inlineStr">
        <is>
          <t>[S][E]</t>
        </is>
      </c>
    </row>
    <row r="17" ht="81" customHeight="1">
      <c r="A17" s="3" t="inlineStr">
        <is>
          <t>What the record shows: Operational monitoring is documented: the State rates the system Not Failing on its drinking-water risk assessment and the system files an annual eAR. No independent audited financial statement is published, so financial monitoring is weaker, but the operational record is present.</t>
        </is>
      </c>
    </row>
    <row r="18" ht="46" customHeight="1">
      <c r="A18" s="8" t="inlineStr">
        <is>
          <t>Graduated sanctions</t>
        </is>
      </c>
      <c r="B18" s="24" t="inlineStr">
        <is>
          <t>NOT DOCUMENTED</t>
        </is>
      </c>
      <c r="C18" s="23" t="inlineStr">
        <is>
          <t>No published shut-off, penalty, or delinquency policy was found for this system.</t>
        </is>
      </c>
      <c r="D18" s="23" t="inlineStr">
        <is>
          <t>No sourced sanctions policy.</t>
        </is>
      </c>
      <c r="E18" s="32" t="inlineStr">
        <is>
          <t>not reported</t>
        </is>
      </c>
    </row>
    <row r="19" ht="81" customHeight="1">
      <c r="A19" s="3" t="inlineStr">
        <is>
          <t>What the record shows: No public record of a graduated shut-off or penalty policy was found for a system this small.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4" t="inlineStr">
        <is>
          <t>NOT DOCUMENTED</t>
        </is>
      </c>
      <c r="C20" s="23" t="inlineStr">
        <is>
          <t>No published bylaws, dispute procedure, or grievance mechanism was found for this system.</t>
        </is>
      </c>
      <c r="D20" s="23" t="inlineStr">
        <is>
          <t>No sourced conflict-resolution record.</t>
        </is>
      </c>
      <c r="E20" s="32" t="inlineStr">
        <is>
          <t>not reported</t>
        </is>
      </c>
    </row>
    <row r="21" ht="81" customHeight="1">
      <c r="A21" s="3" t="inlineStr">
        <is>
          <t>What the record shows: No public record of a member dispute or conflict-resolution procedure was found.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4" t="inlineStr">
        <is>
          <t>DOCUMENTED</t>
        </is>
      </c>
      <c r="C22" s="23" t="inlineStr">
        <is>
          <t>An incorporated California mutual water company recognized by the IRS (501(c)(5)) and by the State Water Board as a public water system.</t>
        </is>
      </c>
      <c r="D22" s="23" t="inlineStr">
        <is>
          <t>IRS 501(c)(5) exempt filer (Form 990); SDWIS public water system.</t>
        </is>
      </c>
      <c r="E22" s="32" t="inlineStr">
        <is>
          <t>[990][C][SOS]</t>
        </is>
      </c>
    </row>
    <row r="23" ht="150" customHeight="1">
      <c r="A23" s="3" t="inlineStr">
        <is>
          <t>What the record shows: Baseline legal standing is documented: the company is an incorporated mutual recognized by the IRS as a tax-exempt filer and by the State Water Board as a regulated water system. This records the right to organize as a member entity, not a documented instance of exercising it. The California Secretary of State holds the company as a registered corporation, entity number 0090169, first registered 01/05/1920, status as filed "Active", with a governing body named in the Statement of Information filed 6/2/2022.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4" t="inlineStr">
        <is>
          <t>PARTIAL</t>
        </is>
      </c>
      <c r="C24" s="23" t="inlineStr">
        <is>
          <t>The system draws on a shared local groundwater basin, embedding it in a larger physical water system, though its role in basin governance is not documented.</t>
        </is>
      </c>
      <c r="D24" s="23" t="inlineStr">
        <is>
          <t>SDWIS Primary Water Source Type: groundwater (shared basin).</t>
        </is>
      </c>
      <c r="E24" s="32" t="inlineStr">
        <is>
          <t>[C]</t>
        </is>
      </c>
    </row>
    <row r="25" ht="66" customHeight="1">
      <c r="A25" s="3" t="inlineStr">
        <is>
          <t>What the record shows: The system relies on a shared groundwater basin, so it is physically nested in a larger hydrologic system. Its participation in a groundwater sustainability agency or basin governance is not documented, so the nesting evidence is partial.</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Community Mutual Water Company</t>
        </is>
      </c>
    </row>
    <row r="2">
      <c r="A2" s="2" t="inlineStr">
        <is>
          <t>Operational metrics - plant per acre, density, terrain</t>
        </is>
      </c>
    </row>
    <row r="3">
      <c r="A3" s="2" t="inlineStr">
        <is>
          <t>Entity ID: cawc_0013   |   Fiscal year ends December 31.</t>
        </is>
      </c>
    </row>
    <row r="5">
      <c r="A5" s="6" t="inlineStr">
        <is>
          <t>Plant assets per acre</t>
        </is>
      </c>
      <c r="B5" s="7" t="n"/>
      <c r="C5" s="7" t="n"/>
    </row>
    <row r="6">
      <c r="A6" s="20" t="inlineStr">
        <is>
          <t>Service-area acres</t>
        </is>
      </c>
      <c r="B6" s="33" t="n">
        <v>859.8</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870.9072</v>
      </c>
      <c r="C8" s="9" t="n">
        <v>239.5697</v>
      </c>
    </row>
    <row r="9">
      <c r="A9" s="18" t="inlineStr">
        <is>
          <t>FY2022</t>
        </is>
      </c>
      <c r="B9" s="9" t="n">
        <v>870.9072</v>
      </c>
      <c r="C9" s="9" t="n">
        <v>213.7043</v>
      </c>
    </row>
    <row r="10">
      <c r="A10" s="18" t="inlineStr">
        <is>
          <t>FY2023</t>
        </is>
      </c>
      <c r="B10" s="9" t="n">
        <v>914.3068</v>
      </c>
      <c r="C10" s="9" t="n">
        <v>231.8155</v>
      </c>
    </row>
    <row r="11">
      <c r="A11" s="18" t="inlineStr">
        <is>
          <t>FY2024</t>
        </is>
      </c>
      <c r="B11" s="9" t="n">
        <v>914.3068</v>
      </c>
      <c r="C11" s="9" t="n">
        <v>201.6539</v>
      </c>
    </row>
    <row r="12">
      <c r="A12" s="18" t="inlineStr">
        <is>
          <t>FY2025</t>
        </is>
      </c>
      <c r="B12" s="9" t="n">
        <v>914.3068</v>
      </c>
      <c r="C12" s="9" t="n">
        <v>170.6757</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0.04</v>
      </c>
      <c r="C19" s="22" t="inlineStr">
        <is>
          <t>36 connections / 859.8 acres. CA State Water Board SABL SERVICE_CONNECTIONS; Geodesic area (WGS84 spherical excess) of the SABL service-area polygon.</t>
        </is>
      </c>
    </row>
    <row r="21">
      <c r="A21" s="6" t="inlineStr">
        <is>
          <t>Who they are</t>
        </is>
      </c>
      <c r="B21" s="7" t="n"/>
      <c r="C21" s="7" t="n"/>
    </row>
    <row r="22">
      <c r="A22" s="20" t="inlineStr">
        <is>
          <t>Terrain class</t>
        </is>
      </c>
      <c r="B22" s="23" t="inlineStr">
        <is>
          <t>flat valley</t>
        </is>
      </c>
      <c r="C22" s="22" t="inlineStr">
        <is>
          <t>Company context page (BLUEPRINT 5B)</t>
        </is>
      </c>
    </row>
    <row r="23" ht="81" customHeight="1">
      <c r="A23" s="3" t="inlineStr">
        <is>
          <t>A member-owned mutual water company serving about 36 service connections and roughly 65 residents in Santa Paula, Ventura County, on the Santa Clara River valley floor.</t>
        </is>
      </c>
    </row>
  </sheetData>
  <mergeCells count="8">
    <mergeCell ref="A13:C13"/>
    <mergeCell ref="A1:C1"/>
    <mergeCell ref="A16:C16"/>
    <mergeCell ref="A23:C23"/>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Community Mutual Water Company</t>
        </is>
      </c>
    </row>
    <row r="2">
      <c r="A2" s="2" t="inlineStr">
        <is>
          <t>Supply and weather indicators (DWR water year)</t>
        </is>
      </c>
    </row>
    <row r="3">
      <c r="A3" s="2" t="inlineStr">
        <is>
          <t>Entity ID: cawc_0013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32" t="inlineStr">
        <is>
          <t>Critical</t>
        </is>
      </c>
      <c r="C8" s="32" t="inlineStr">
        <is>
          <t>Critical</t>
        </is>
      </c>
      <c r="D8" s="32" t="inlineStr">
        <is>
          <t>Wet</t>
        </is>
      </c>
      <c r="E8" s="32" t="inlineStr">
        <is>
          <t>Above Normal</t>
        </is>
      </c>
      <c r="F8" s="34" t="inlineStr">
        <is>
          <t>not reported</t>
        </is>
      </c>
    </row>
    <row r="9">
      <c r="A9" s="8" t="inlineStr">
        <is>
          <t>Peak drought, Ventura County</t>
        </is>
      </c>
      <c r="B9" s="32" t="inlineStr">
        <is>
          <t>D4</t>
        </is>
      </c>
      <c r="C9" s="32" t="inlineStr">
        <is>
          <t>D4</t>
        </is>
      </c>
      <c r="D9" s="32" t="inlineStr">
        <is>
          <t>D3</t>
        </is>
      </c>
      <c r="E9" s="32" t="inlineStr">
        <is>
          <t>None (no D0-D4 during the fiscal year)</t>
        </is>
      </c>
      <c r="F9" s="32" t="inlineStr">
        <is>
          <t>D3</t>
        </is>
      </c>
    </row>
    <row r="10">
      <c r="A10" s="8" t="inlineStr">
        <is>
          <t>Precip, percent of normal (8-Station Index)</t>
        </is>
      </c>
      <c r="B10" s="32" t="inlineStr">
        <is>
          <t>48</t>
        </is>
      </c>
      <c r="C10" s="32" t="inlineStr">
        <is>
          <t>86</t>
        </is>
      </c>
      <c r="D10" s="32" t="inlineStr">
        <is>
          <t>133</t>
        </is>
      </c>
      <c r="E10" s="32" t="inlineStr">
        <is>
          <t>96</t>
        </is>
      </c>
      <c r="F10" s="32" t="inlineStr">
        <is>
          <t>113</t>
        </is>
      </c>
    </row>
    <row r="11">
      <c r="A11" s="8" t="inlineStr">
        <is>
          <t>Snowpack, April 1 percent of average</t>
        </is>
      </c>
      <c r="B11" s="32" t="inlineStr">
        <is>
          <t>59%</t>
        </is>
      </c>
      <c r="C11" s="32" t="inlineStr">
        <is>
          <t>38%</t>
        </is>
      </c>
      <c r="D11" s="32" t="inlineStr">
        <is>
          <t>237%</t>
        </is>
      </c>
      <c r="E11" s="32" t="inlineStr">
        <is>
          <t>110%</t>
        </is>
      </c>
      <c r="F11" s="32" t="inlineStr">
        <is>
          <t>96%</t>
        </is>
      </c>
    </row>
    <row r="12">
      <c r="A12" s="8" t="inlineStr">
        <is>
          <t>State Water Project allocation</t>
        </is>
      </c>
      <c r="B12" s="32" t="inlineStr">
        <is>
          <t>5%</t>
        </is>
      </c>
      <c r="C12" s="32" t="inlineStr">
        <is>
          <t>5%</t>
        </is>
      </c>
      <c r="D12" s="32" t="inlineStr">
        <is>
          <t>100%</t>
        </is>
      </c>
      <c r="E12" s="32" t="inlineStr">
        <is>
          <t>40%</t>
        </is>
      </c>
      <c r="F12" s="3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Community Mutual Water Company</t>
        </is>
      </c>
    </row>
    <row r="2">
      <c r="A2" s="2" t="inlineStr">
        <is>
          <t>How this was built - forensic lineage</t>
        </is>
      </c>
    </row>
    <row r="3">
      <c r="A3" s="2" t="inlineStr">
        <is>
          <t>Entity ID: cawc_0013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0" t="inlineStr">
        <is>
          <t>Sources checked</t>
        </is>
      </c>
      <c r="B12" s="22" t="inlineStr">
        <is>
          <t>Form 990 Part VIII line 2 (program-service revenue); State Water Board eAR Section 8b (water-rate revenue B1.1/B1.2)</t>
        </is>
      </c>
    </row>
    <row r="13" ht="72" customHeight="1">
      <c r="A13" s="20" t="inlineStr">
        <is>
          <t>What was found</t>
        </is>
      </c>
      <c r="B13" s="22" t="inlineStr">
        <is>
          <t>No source separately reports a member assessment, so it is DERIVED as a residual: $262,072 (990 program-service revenue) minus $412,478 (eAR water-rate revenue) = $-150,406. Period-aligned; medium confidence.</t>
        </is>
      </c>
    </row>
    <row r="14" ht="72" customHeight="1">
      <c r="A14" s="20" t="inlineStr">
        <is>
          <t>Caveat</t>
        </is>
      </c>
      <c r="B14" s="22"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Community Mutual Water Company</t>
        </is>
      </c>
    </row>
    <row r="2">
      <c r="A2" s="2" t="inlineStr">
        <is>
          <t>Water Operations (sourced outside the financial filings)</t>
        </is>
      </c>
    </row>
    <row r="3">
      <c r="A3" s="2" t="inlineStr">
        <is>
          <t>Entity ID: cawc_0013   |   Fiscal year ends December 31.</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23" t="inlineStr">
        <is>
          <t>Potable (community drinking water)</t>
        </is>
      </c>
      <c r="C8" s="8" t="inlineStr">
        <is>
          <t>SDWIS Drinking Water Watch (State Water Board)</t>
        </is>
      </c>
      <c r="D8" s="32" t="n">
        <v>2024</v>
      </c>
      <c r="E8" s="8" t="inlineStr">
        <is>
          <t>high</t>
        </is>
      </c>
      <c r="F8" s="23" t="inlineStr">
        <is>
          <t>COMMUNITY MUTUAL WATER CO: State Water System Type = Community.</t>
        </is>
      </c>
    </row>
    <row r="9" ht="42" customHeight="1">
      <c r="A9" s="8" t="inlineStr">
        <is>
          <t>Source mix</t>
        </is>
      </c>
      <c r="B9" s="23" t="inlineStr">
        <is>
          <t>Primary source: local groundwater wells (SDWIS Primary Water Source Type: Groundwater). SDWIS classifies the primary supply type; it states no acre-foot volume by source.</t>
        </is>
      </c>
      <c r="C9" s="8" t="inlineStr">
        <is>
          <t>SDWIS Drinking Water Watch (State Water Board)</t>
        </is>
      </c>
      <c r="D9" s="32" t="n">
        <v>2024</v>
      </c>
      <c r="E9" s="8" t="inlineStr">
        <is>
          <t>high</t>
        </is>
      </c>
      <c r="F9" s="23" t="inlineStr">
        <is>
          <t>COMMUNITY MUTUAL WATER CO: Primary Water Source Type = Groundwater.</t>
        </is>
      </c>
    </row>
    <row r="10" ht="42" customHeight="1">
      <c r="A10" s="8" t="inlineStr">
        <is>
          <t>Service connections (total)</t>
        </is>
      </c>
      <c r="B10" s="23" t="inlineStr">
        <is>
          <t>36 connections</t>
        </is>
      </c>
      <c r="C10" s="8" t="inlineStr">
        <is>
          <t>SDWIS Drinking Water Watch (State Water Board)</t>
        </is>
      </c>
      <c r="D10" s="32" t="n">
        <v>2024</v>
      </c>
      <c r="E10" s="8" t="inlineStr">
        <is>
          <t>high</t>
        </is>
      </c>
      <c r="F10" s="23" t="inlineStr">
        <is>
          <t>COMMUNITY MUTUAL WATER CO: Total Number of Service Connections = 36.  [cross-source: SDWIS connection snapshot; the eAR reports active service connections on its own basis and per reporting year. Both preserved, not reconciled.]</t>
        </is>
      </c>
    </row>
    <row r="11" ht="42" customHeight="1">
      <c r="A11" s="8" t="inlineStr">
        <is>
          <t>Connections by class</t>
        </is>
      </c>
      <c r="B11" s="23" t="inlineStr">
        <is>
          <t>Service connections by type (SDWIS snapshot): Residential 19; Agricultural 17; Total 36.</t>
        </is>
      </c>
      <c r="C11" s="8" t="inlineStr">
        <is>
          <t>SDWIS Drinking Water Watch (State Water Board)</t>
        </is>
      </c>
      <c r="D11" s="32" t="n">
        <v>2024</v>
      </c>
      <c r="E11" s="8" t="inlineStr">
        <is>
          <t>high</t>
        </is>
      </c>
      <c r="F11" s="23" t="inlineStr">
        <is>
          <t>COMMUNITY MUTUAL WATER CO: connections by type - Residential 19; Agricultural 17; Total 36.</t>
        </is>
      </c>
    </row>
    <row r="12" ht="42" customHeight="1">
      <c r="A12" s="8" t="inlineStr">
        <is>
          <t>Population served</t>
        </is>
      </c>
      <c r="B12" s="23" t="inlineStr">
        <is>
          <t>65 residents</t>
        </is>
      </c>
      <c r="C12" s="8" t="inlineStr">
        <is>
          <t>SDWIS Drinking Water Watch (State Water Board)</t>
        </is>
      </c>
      <c r="D12" s="32" t="n">
        <v>2024</v>
      </c>
      <c r="E12" s="8" t="inlineStr">
        <is>
          <t>high</t>
        </is>
      </c>
      <c r="F12" s="23" t="inlineStr">
        <is>
          <t>COMMUNITY MUTUAL WATER CO: Total Population = 65.</t>
        </is>
      </c>
    </row>
    <row r="13" ht="42" customHeight="1">
      <c r="A13" s="8" t="inlineStr">
        <is>
          <t>Treatment and water quality</t>
        </is>
      </c>
      <c r="B13" s="23" t="inlineStr">
        <is>
          <t>Operator certification on file: Treatment or distribution operator of any grade; Distribution Operator Level 1. SDWIS states operator grades, not the treatment process detail.</t>
        </is>
      </c>
      <c r="C13" s="8" t="inlineStr">
        <is>
          <t>SDWIS Drinking Water Watch (State Water Board)</t>
        </is>
      </c>
      <c r="D13" s="32" t="n">
        <v>2024</v>
      </c>
      <c r="E13" s="8" t="inlineStr">
        <is>
          <t>high</t>
        </is>
      </c>
      <c r="F13" s="23" t="inlineStr">
        <is>
          <t>COMMUNITY MUTUAL WATER CO: Treatment Plant Class = Treatment or distribution operator of any grade; Distribution System Class = Distribution Operator Level 1.</t>
        </is>
      </c>
    </row>
    <row r="15">
      <c r="A15" s="6" t="inlineStr">
        <is>
          <t>Not reported (source still needed)</t>
        </is>
      </c>
      <c r="B15" s="7" t="n"/>
      <c r="C15" s="7" t="n"/>
      <c r="D15" s="7" t="n"/>
      <c r="E15" s="7" t="n"/>
      <c r="F15" s="7" t="n"/>
    </row>
    <row r="16" ht="30" customHeight="1">
      <c r="A16" s="8" t="inlineStr">
        <is>
          <t>Annual volume delivered (acre-feet)</t>
        </is>
      </c>
      <c r="B16" s="22" t="inlineStr">
        <is>
          <t>not reported - needs annual volume in acre-feet (State Water Board eAR Section 6 or company production records); the CCR states only a percentage mix</t>
        </is>
      </c>
      <c r="C16" s="30" t="n"/>
      <c r="D16" s="30" t="n"/>
      <c r="E16" s="30" t="n"/>
      <c r="F16" s="30" t="n"/>
    </row>
    <row r="17" ht="30" customHeight="1">
      <c r="A17" s="8" t="inlineStr">
        <is>
          <t>Customer classes served</t>
        </is>
      </c>
      <c r="B17" s="22" t="inlineStr">
        <is>
          <t>not reported - needs the State Water Board eAR or the system CCR</t>
        </is>
      </c>
      <c r="C17" s="30" t="n"/>
      <c r="D17" s="30" t="n"/>
      <c r="E17" s="30" t="n"/>
      <c r="F17" s="30" t="n"/>
    </row>
  </sheetData>
  <mergeCells count="4">
    <mergeCell ref="A3:F3"/>
    <mergeCell ref="A2:F2"/>
    <mergeCell ref="A1:F1"/>
    <mergeCell ref="A5:F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42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Community Mutual Water Company</t>
        </is>
      </c>
    </row>
    <row r="2">
      <c r="A2" s="2" t="inlineStr">
        <is>
          <t>Sources &amp; audit - full provenance and tie-outs (kept off the statements so they read clean)</t>
        </is>
      </c>
    </row>
    <row r="3">
      <c r="A3" s="2" t="inlineStr">
        <is>
          <t>Entity ID: cawc_0013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32" t="inlineStr">
        <is>
          <t>FY2020</t>
        </is>
      </c>
      <c r="B10" s="8" t="inlineStr">
        <is>
          <t>2020-12-31</t>
        </is>
      </c>
      <c r="C10" s="8" t="inlineStr">
        <is>
          <t>990</t>
        </is>
      </c>
      <c r="D10" s="8" t="inlineStr">
        <is>
          <t>high</t>
        </is>
      </c>
      <c r="E10" s="8" t="inlineStr">
        <is>
          <t>07dafa79-c2fb-45d1-9a76-f593d1c65829</t>
        </is>
      </c>
      <c r="F10" s="8" t="inlineStr">
        <is>
          <t>202131069349300648</t>
        </is>
      </c>
      <c r="G10" s="8" t="inlineStr">
        <is>
          <t>claude-opus-5</t>
        </is>
      </c>
      <c r="H10" s="8" t="inlineStr">
        <is>
          <t>2026-09-16T21:34:13+00:00</t>
        </is>
      </c>
      <c r="I10" s="8" t="inlineStr">
        <is>
          <t>https://apps.irs.gov/pub/epostcard/990/xml/2021/2021_TEOS_XML_01A.zip#202131069349300648_public.xml</t>
        </is>
      </c>
    </row>
    <row r="11">
      <c r="A11" s="32" t="inlineStr">
        <is>
          <t>FY2021</t>
        </is>
      </c>
      <c r="B11" s="8" t="inlineStr">
        <is>
          <t>2021-12-31</t>
        </is>
      </c>
      <c r="C11" s="8" t="inlineStr">
        <is>
          <t>990</t>
        </is>
      </c>
      <c r="D11" s="8" t="inlineStr">
        <is>
          <t>high</t>
        </is>
      </c>
      <c r="E11" s="8" t="inlineStr">
        <is>
          <t>67e94601-023c-44d9-98c5-cb4277466d0d</t>
        </is>
      </c>
      <c r="F11" s="8" t="inlineStr">
        <is>
          <t>202231019349300923</t>
        </is>
      </c>
      <c r="G11" s="8" t="inlineStr">
        <is>
          <t>claude-opus-5</t>
        </is>
      </c>
      <c r="H11" s="8" t="inlineStr">
        <is>
          <t>2026-09-16T21:34:13+00:00</t>
        </is>
      </c>
      <c r="I11" s="8" t="inlineStr">
        <is>
          <t>https://apps.irs.gov/pub/epostcard/990/xml/2022/2022_TEOS_XML_01A.zip#202231019349300923_public.xml</t>
        </is>
      </c>
    </row>
    <row r="12">
      <c r="A12" s="32" t="inlineStr">
        <is>
          <t>FY2022</t>
        </is>
      </c>
      <c r="B12" s="8" t="inlineStr">
        <is>
          <t>2022-12-31</t>
        </is>
      </c>
      <c r="C12" s="8" t="inlineStr">
        <is>
          <t>990</t>
        </is>
      </c>
      <c r="D12" s="8" t="inlineStr">
        <is>
          <t>high</t>
        </is>
      </c>
      <c r="E12" s="8" t="inlineStr">
        <is>
          <t>6aa861aa-88f3-4028-9a76-2bc38c0f00c9</t>
        </is>
      </c>
      <c r="F12" s="8" t="inlineStr">
        <is>
          <t>202311439349300031</t>
        </is>
      </c>
      <c r="G12" s="8" t="inlineStr">
        <is>
          <t>claude-opus-5</t>
        </is>
      </c>
      <c r="H12" s="8" t="inlineStr">
        <is>
          <t>2026-09-16T21:34:13+00:00</t>
        </is>
      </c>
      <c r="I12" s="8" t="inlineStr">
        <is>
          <t>https://apps.irs.gov/pub/epostcard/990/xml/2023/2023_TEOS_XML_05A.zip#202311439349300031_public.xml</t>
        </is>
      </c>
    </row>
    <row r="13">
      <c r="A13" s="32" t="inlineStr">
        <is>
          <t>FY2023</t>
        </is>
      </c>
      <c r="B13" s="8" t="inlineStr">
        <is>
          <t>2023-12-31</t>
        </is>
      </c>
      <c r="C13" s="8" t="inlineStr">
        <is>
          <t>990</t>
        </is>
      </c>
      <c r="D13" s="8" t="inlineStr">
        <is>
          <t>high</t>
        </is>
      </c>
      <c r="E13" s="8" t="inlineStr">
        <is>
          <t>d4c1330f-e5e2-4708-88df-b93e15a4f64e</t>
        </is>
      </c>
      <c r="F13" s="8" t="inlineStr">
        <is>
          <t>202431029349301408</t>
        </is>
      </c>
      <c r="G13" s="8" t="inlineStr">
        <is>
          <t>claude-opus-5</t>
        </is>
      </c>
      <c r="H13" s="8" t="inlineStr">
        <is>
          <t>2026-09-16T21:34:13+00:00</t>
        </is>
      </c>
      <c r="I13" s="8" t="inlineStr">
        <is>
          <t>https://apps.irs.gov/pub/epostcard/990/xml/2024/2024_TEOS_XML_04A.zip#202431029349301408_public.xml</t>
        </is>
      </c>
    </row>
    <row r="14">
      <c r="A14" s="32" t="inlineStr">
        <is>
          <t>FY2024</t>
        </is>
      </c>
      <c r="B14" s="8" t="inlineStr">
        <is>
          <t>2024-12-31</t>
        </is>
      </c>
      <c r="C14" s="8" t="inlineStr">
        <is>
          <t>990</t>
        </is>
      </c>
      <c r="D14" s="8" t="inlineStr">
        <is>
          <t>high</t>
        </is>
      </c>
      <c r="E14" s="8" t="inlineStr">
        <is>
          <t>af718d1e-e610-4320-bfd7-22d709d0fc47</t>
        </is>
      </c>
      <c r="F14" s="8" t="inlineStr">
        <is>
          <t>202540919349301554</t>
        </is>
      </c>
      <c r="G14" s="8" t="inlineStr">
        <is>
          <t>claude-opus-5</t>
        </is>
      </c>
      <c r="H14" s="8" t="inlineStr">
        <is>
          <t>2026-09-16T21:34:13+00:00</t>
        </is>
      </c>
      <c r="I14" s="8" t="inlineStr">
        <is>
          <t>https://apps.irs.gov/pub/epostcard/990/xml/2025/2025_TEOS_XML_04A.zip#202540919349301554_public.xml</t>
        </is>
      </c>
    </row>
    <row r="15">
      <c r="A15" s="32" t="inlineStr">
        <is>
          <t>FY2025</t>
        </is>
      </c>
      <c r="B15" s="8" t="inlineStr">
        <is>
          <t>2025-12-31</t>
        </is>
      </c>
      <c r="C15" s="8" t="inlineStr">
        <is>
          <t>990</t>
        </is>
      </c>
      <c r="D15" s="8" t="inlineStr">
        <is>
          <t>high</t>
        </is>
      </c>
      <c r="E15" s="8" t="inlineStr">
        <is>
          <t>914f358e-267e-4e6b-aa7c-37a5b4530221</t>
        </is>
      </c>
      <c r="F15" s="8" t="inlineStr">
        <is>
          <t>202601289349302815</t>
        </is>
      </c>
      <c r="G15" s="8" t="inlineStr">
        <is>
          <t>claude-opus-5</t>
        </is>
      </c>
      <c r="H15" s="8" t="inlineStr">
        <is>
          <t>2026-09-16T21:34:13+00:00</t>
        </is>
      </c>
      <c r="I15" s="8" t="inlineStr">
        <is>
          <t>https://apps.irs.gov/pub/epostcard/990/xml/2026/2026_TEOS_XML_05A.zip#202601289349302815_public.xml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F7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G7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251282</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257555</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341470</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262072</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387865</v>
      </c>
    </row>
    <row r="30">
      <c r="A30" s="8" t="inlineStr">
        <is>
          <t>Revenue (detail)</t>
        </is>
      </c>
      <c r="B30" s="8" t="inlineStr">
        <is>
          <t>G8</t>
        </is>
      </c>
      <c r="C30" s="8" t="inlineStr">
        <is>
          <t>2g. Total program service revenue</t>
        </is>
      </c>
      <c r="D30" s="8" t="inlineStr">
        <is>
          <t>2g</t>
        </is>
      </c>
      <c r="E30" s="8" t="inlineStr">
        <is>
          <t>part_viii_revenue.total_program_service_revenue</t>
        </is>
      </c>
      <c r="F30" s="8" t="inlineStr">
        <is>
          <t>high</t>
        </is>
      </c>
      <c r="G30" s="9" t="n">
        <v>346455</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0</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0</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0</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0</v>
      </c>
    </row>
    <row r="35">
      <c r="A35" s="8" t="inlineStr">
        <is>
          <t>Revenue (detail)</t>
        </is>
      </c>
      <c r="B35" s="8" t="inlineStr">
        <is>
          <t>F9</t>
        </is>
      </c>
      <c r="C35" s="8" t="inlineStr">
        <is>
          <t>3. Investment income</t>
        </is>
      </c>
      <c r="D35" s="8" t="inlineStr">
        <is>
          <t>3</t>
        </is>
      </c>
      <c r="E35" s="8" t="inlineStr">
        <is>
          <t>part_viii_revenue.investment_income</t>
        </is>
      </c>
      <c r="F35" s="8" t="inlineStr">
        <is>
          <t>high</t>
        </is>
      </c>
      <c r="G35" s="9" t="n">
        <v>0</v>
      </c>
    </row>
    <row r="36">
      <c r="A36" s="8" t="inlineStr">
        <is>
          <t>Revenue (detail)</t>
        </is>
      </c>
      <c r="B36" s="8" t="inlineStr">
        <is>
          <t>G9</t>
        </is>
      </c>
      <c r="C36" s="8" t="inlineStr">
        <is>
          <t>3. Investment income</t>
        </is>
      </c>
      <c r="D36" s="8" t="inlineStr">
        <is>
          <t>3</t>
        </is>
      </c>
      <c r="E36" s="8" t="inlineStr">
        <is>
          <t>part_viii_revenue.investment_income</t>
        </is>
      </c>
      <c r="F36" s="8" t="inlineStr">
        <is>
          <t>high</t>
        </is>
      </c>
      <c r="G36" s="9" t="n">
        <v>0</v>
      </c>
    </row>
    <row r="37">
      <c r="A37" s="8" t="inlineStr">
        <is>
          <t>Revenue (detail)</t>
        </is>
      </c>
      <c r="B37" s="8" t="inlineStr">
        <is>
          <t>B10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C10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D10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E10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F10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G10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C11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D11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E11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F11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G11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B12</t>
        </is>
      </c>
      <c r="C49" s="8" t="inlineStr">
        <is>
          <t>11e. Other revenue</t>
        </is>
      </c>
      <c r="D49" s="8" t="inlineStr">
        <is>
          <t>11e</t>
        </is>
      </c>
      <c r="E49" s="8" t="inlineStr">
        <is>
          <t>part_viii_revenue.other_revenue_total</t>
        </is>
      </c>
      <c r="F49" s="8" t="inlineStr">
        <is>
          <t>high</t>
        </is>
      </c>
      <c r="G49" s="9" t="n">
        <v>0</v>
      </c>
    </row>
    <row r="50">
      <c r="A50" s="8" t="inlineStr">
        <is>
          <t>Revenue (detail)</t>
        </is>
      </c>
      <c r="B50" s="8" t="inlineStr">
        <is>
          <t>C12</t>
        </is>
      </c>
      <c r="C50" s="8" t="inlineStr">
        <is>
          <t>11e. Other revenue</t>
        </is>
      </c>
      <c r="D50" s="8" t="inlineStr">
        <is>
          <t>11e</t>
        </is>
      </c>
      <c r="E50" s="8" t="inlineStr">
        <is>
          <t>part_viii_revenue.other_revenue_total</t>
        </is>
      </c>
      <c r="F50" s="8" t="inlineStr">
        <is>
          <t>high</t>
        </is>
      </c>
      <c r="G50" s="9" t="n">
        <v>0</v>
      </c>
    </row>
    <row r="51">
      <c r="A51" s="8" t="inlineStr">
        <is>
          <t>Revenue (detail)</t>
        </is>
      </c>
      <c r="B51" s="8" t="inlineStr">
        <is>
          <t>D12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E12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F12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G12</t>
        </is>
      </c>
      <c r="C54" s="8" t="inlineStr">
        <is>
          <t>11e. Other revenue</t>
        </is>
      </c>
      <c r="D54" s="8" t="inlineStr">
        <is>
          <t>11e</t>
        </is>
      </c>
      <c r="E54" s="8" t="inlineStr">
        <is>
          <t>part_viii_revenue.other_revenue_total</t>
        </is>
      </c>
      <c r="F54" s="8" t="inlineStr">
        <is>
          <t>high</t>
        </is>
      </c>
      <c r="G54" s="9" t="n">
        <v>0</v>
      </c>
    </row>
    <row r="55">
      <c r="A55" s="8" t="inlineStr">
        <is>
          <t>Operating expenses (detail)</t>
        </is>
      </c>
      <c r="B55" s="8" t="inlineStr">
        <is>
          <t>B7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C7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D7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E7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F7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G7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B8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C8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D8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E8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F8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G8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B9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C9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D9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E9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F9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G9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B10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C10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D10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E10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F10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G10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B11</t>
        </is>
      </c>
      <c r="C79" s="8" t="inlineStr">
        <is>
          <t>5. Compensation of current officers, directors, trustees</t>
        </is>
      </c>
      <c r="D79" s="8" t="inlineStr">
        <is>
          <t>5</t>
        </is>
      </c>
      <c r="E79" s="8" t="inlineStr">
        <is>
          <t>part_ix_expenses.comp_current_officers</t>
        </is>
      </c>
      <c r="F79" s="8" t="inlineStr">
        <is>
          <t>high</t>
        </is>
      </c>
      <c r="G79" s="9" t="n">
        <v>0</v>
      </c>
    </row>
    <row r="80">
      <c r="A80" s="8" t="inlineStr">
        <is>
          <t>Operating expenses (detail)</t>
        </is>
      </c>
      <c r="B80" s="8" t="inlineStr">
        <is>
          <t>C11</t>
        </is>
      </c>
      <c r="C80" s="8" t="inlineStr">
        <is>
          <t>5. Compensation of current officers, directors, trustees</t>
        </is>
      </c>
      <c r="D80" s="8" t="inlineStr">
        <is>
          <t>5</t>
        </is>
      </c>
      <c r="E80" s="8" t="inlineStr">
        <is>
          <t>part_ix_expenses.comp_current_officers</t>
        </is>
      </c>
      <c r="F80" s="8" t="inlineStr">
        <is>
          <t>high</t>
        </is>
      </c>
      <c r="G80" s="9" t="n">
        <v>0</v>
      </c>
    </row>
    <row r="81">
      <c r="A81" s="8" t="inlineStr">
        <is>
          <t>Operating expenses (detail)</t>
        </is>
      </c>
      <c r="B81" s="8" t="inlineStr">
        <is>
          <t>D11</t>
        </is>
      </c>
      <c r="C81" s="8" t="inlineStr">
        <is>
          <t>5. Compensation of current officers, directors, trustees</t>
        </is>
      </c>
      <c r="D81" s="8" t="inlineStr">
        <is>
          <t>5</t>
        </is>
      </c>
      <c r="E81" s="8" t="inlineStr">
        <is>
          <t>part_ix_expenses.comp_current_officers</t>
        </is>
      </c>
      <c r="F81" s="8" t="inlineStr">
        <is>
          <t>high</t>
        </is>
      </c>
      <c r="G81" s="9" t="n">
        <v>0</v>
      </c>
    </row>
    <row r="82">
      <c r="A82" s="8" t="inlineStr">
        <is>
          <t>Operating expenses (detail)</t>
        </is>
      </c>
      <c r="B82" s="8" t="inlineStr">
        <is>
          <t>E11</t>
        </is>
      </c>
      <c r="C82" s="8" t="inlineStr">
        <is>
          <t>5. Compensation of current officers, directors, trustees</t>
        </is>
      </c>
      <c r="D82" s="8" t="inlineStr">
        <is>
          <t>5</t>
        </is>
      </c>
      <c r="E82" s="8" t="inlineStr">
        <is>
          <t>part_ix_expenses.comp_current_officers</t>
        </is>
      </c>
      <c r="F82" s="8" t="inlineStr">
        <is>
          <t>high</t>
        </is>
      </c>
      <c r="G82" s="9" t="n">
        <v>0</v>
      </c>
    </row>
    <row r="83">
      <c r="A83" s="8" t="inlineStr">
        <is>
          <t>Operating expenses (detail)</t>
        </is>
      </c>
      <c r="B83" s="8" t="inlineStr">
        <is>
          <t>F11</t>
        </is>
      </c>
      <c r="C83" s="8" t="inlineStr">
        <is>
          <t>5. Compensation of current officers, directors, trustees</t>
        </is>
      </c>
      <c r="D83" s="8" t="inlineStr">
        <is>
          <t>5</t>
        </is>
      </c>
      <c r="E83" s="8" t="inlineStr">
        <is>
          <t>part_ix_expenses.comp_current_officers</t>
        </is>
      </c>
      <c r="F83" s="8" t="inlineStr">
        <is>
          <t>high</t>
        </is>
      </c>
      <c r="G83" s="9" t="n">
        <v>0</v>
      </c>
    </row>
    <row r="84">
      <c r="A84" s="8" t="inlineStr">
        <is>
          <t>Operating expenses (detail)</t>
        </is>
      </c>
      <c r="B84" s="8" t="inlineStr">
        <is>
          <t>G11</t>
        </is>
      </c>
      <c r="C84" s="8" t="inlineStr">
        <is>
          <t>5. Compensation of current officers, directors, trustees</t>
        </is>
      </c>
      <c r="D84" s="8" t="inlineStr">
        <is>
          <t>5</t>
        </is>
      </c>
      <c r="E84" s="8" t="inlineStr">
        <is>
          <t>part_ix_expenses.comp_current_officers</t>
        </is>
      </c>
      <c r="F84" s="8" t="inlineStr">
        <is>
          <t>high</t>
        </is>
      </c>
      <c r="G84" s="9" t="n">
        <v>0</v>
      </c>
    </row>
    <row r="85">
      <c r="A85" s="8" t="inlineStr">
        <is>
          <t>Operating expenses (detail)</t>
        </is>
      </c>
      <c r="B85" s="8" t="inlineStr">
        <is>
          <t>B12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C12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D12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E12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F12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G12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B13</t>
        </is>
      </c>
      <c r="C91" s="8" t="inlineStr">
        <is>
          <t>7. Other salaries and wages</t>
        </is>
      </c>
      <c r="D91" s="8" t="inlineStr">
        <is>
          <t>7</t>
        </is>
      </c>
      <c r="E91" s="8" t="inlineStr">
        <is>
          <t>part_ix_expenses.other_salaries_and_wages</t>
        </is>
      </c>
      <c r="F91" s="8" t="inlineStr">
        <is>
          <t>high</t>
        </is>
      </c>
      <c r="G91" s="9" t="n">
        <v>0</v>
      </c>
    </row>
    <row r="92">
      <c r="A92" s="8" t="inlineStr">
        <is>
          <t>Operating expenses (detail)</t>
        </is>
      </c>
      <c r="B92" s="8" t="inlineStr">
        <is>
          <t>C13</t>
        </is>
      </c>
      <c r="C92" s="8" t="inlineStr">
        <is>
          <t>7. Other salaries and wages</t>
        </is>
      </c>
      <c r="D92" s="8" t="inlineStr">
        <is>
          <t>7</t>
        </is>
      </c>
      <c r="E92" s="8" t="inlineStr">
        <is>
          <t>part_ix_expenses.other_salaries_and_wages</t>
        </is>
      </c>
      <c r="F92" s="8" t="inlineStr">
        <is>
          <t>high</t>
        </is>
      </c>
      <c r="G92" s="9" t="n">
        <v>0</v>
      </c>
    </row>
    <row r="93">
      <c r="A93" s="8" t="inlineStr">
        <is>
          <t>Operating expenses (detail)</t>
        </is>
      </c>
      <c r="B93" s="8" t="inlineStr">
        <is>
          <t>D13</t>
        </is>
      </c>
      <c r="C93" s="8" t="inlineStr">
        <is>
          <t>7. Other salaries and wages</t>
        </is>
      </c>
      <c r="D93" s="8" t="inlineStr">
        <is>
          <t>7</t>
        </is>
      </c>
      <c r="E93" s="8" t="inlineStr">
        <is>
          <t>part_ix_expenses.other_salaries_and_wages</t>
        </is>
      </c>
      <c r="F93" s="8" t="inlineStr">
        <is>
          <t>high</t>
        </is>
      </c>
      <c r="G93" s="9" t="n">
        <v>0</v>
      </c>
    </row>
    <row r="94">
      <c r="A94" s="8" t="inlineStr">
        <is>
          <t>Operating expenses (detail)</t>
        </is>
      </c>
      <c r="B94" s="8" t="inlineStr">
        <is>
          <t>E13</t>
        </is>
      </c>
      <c r="C94" s="8" t="inlineStr">
        <is>
          <t>7. Other salaries and wages</t>
        </is>
      </c>
      <c r="D94" s="8" t="inlineStr">
        <is>
          <t>7</t>
        </is>
      </c>
      <c r="E94" s="8" t="inlineStr">
        <is>
          <t>part_ix_expenses.other_salaries_and_wages</t>
        </is>
      </c>
      <c r="F94" s="8" t="inlineStr">
        <is>
          <t>high</t>
        </is>
      </c>
      <c r="G94" s="9" t="n">
        <v>0</v>
      </c>
    </row>
    <row r="95">
      <c r="A95" s="8" t="inlineStr">
        <is>
          <t>Operating expenses (detail)</t>
        </is>
      </c>
      <c r="B95" s="8" t="inlineStr">
        <is>
          <t>F13</t>
        </is>
      </c>
      <c r="C95" s="8" t="inlineStr">
        <is>
          <t>7. Other salaries and wages</t>
        </is>
      </c>
      <c r="D95" s="8" t="inlineStr">
        <is>
          <t>7</t>
        </is>
      </c>
      <c r="E95" s="8" t="inlineStr">
        <is>
          <t>part_ix_expenses.other_salaries_and_wages</t>
        </is>
      </c>
      <c r="F95" s="8" t="inlineStr">
        <is>
          <t>high</t>
        </is>
      </c>
      <c r="G95" s="9" t="n">
        <v>0</v>
      </c>
    </row>
    <row r="96">
      <c r="A96" s="8" t="inlineStr">
        <is>
          <t>Operating expenses (detail)</t>
        </is>
      </c>
      <c r="B96" s="8" t="inlineStr">
        <is>
          <t>G13</t>
        </is>
      </c>
      <c r="C96" s="8" t="inlineStr">
        <is>
          <t>7. Other salaries and wages</t>
        </is>
      </c>
      <c r="D96" s="8" t="inlineStr">
        <is>
          <t>7</t>
        </is>
      </c>
      <c r="E96" s="8" t="inlineStr">
        <is>
          <t>part_ix_expenses.other_salaries_and_wages</t>
        </is>
      </c>
      <c r="F96" s="8" t="inlineStr">
        <is>
          <t>high</t>
        </is>
      </c>
      <c r="G96" s="9" t="n">
        <v>0</v>
      </c>
    </row>
    <row r="97">
      <c r="A97" s="8" t="inlineStr">
        <is>
          <t>Operating expenses (detail)</t>
        </is>
      </c>
      <c r="B97" s="8" t="inlineStr">
        <is>
          <t>B14</t>
        </is>
      </c>
      <c r="C97" s="8" t="inlineStr">
        <is>
          <t>8. Pension plan accruals and contributions</t>
        </is>
      </c>
      <c r="D97" s="8" t="inlineStr">
        <is>
          <t>8</t>
        </is>
      </c>
      <c r="E97" s="8" t="inlineStr">
        <is>
          <t>part_ix_expenses.pension_plan_contributions</t>
        </is>
      </c>
      <c r="F97" s="8" t="inlineStr">
        <is>
          <t>high</t>
        </is>
      </c>
      <c r="G97" s="9" t="n">
        <v>0</v>
      </c>
    </row>
    <row r="98">
      <c r="A98" s="8" t="inlineStr">
        <is>
          <t>Operating expenses (detail)</t>
        </is>
      </c>
      <c r="B98" s="8" t="inlineStr">
        <is>
          <t>C14</t>
        </is>
      </c>
      <c r="C98" s="8" t="inlineStr">
        <is>
          <t>8. Pension plan accruals and contributions</t>
        </is>
      </c>
      <c r="D98" s="8" t="inlineStr">
        <is>
          <t>8</t>
        </is>
      </c>
      <c r="E98" s="8" t="inlineStr">
        <is>
          <t>part_ix_expenses.pension_plan_contributions</t>
        </is>
      </c>
      <c r="F98" s="8" t="inlineStr">
        <is>
          <t>high</t>
        </is>
      </c>
      <c r="G98" s="9" t="n">
        <v>0</v>
      </c>
    </row>
    <row r="99">
      <c r="A99" s="8" t="inlineStr">
        <is>
          <t>Operating expenses (detail)</t>
        </is>
      </c>
      <c r="B99" s="8" t="inlineStr">
        <is>
          <t>D14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E14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F14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G14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B15</t>
        </is>
      </c>
      <c r="C103" s="8" t="inlineStr">
        <is>
          <t>9. Other employee benefits</t>
        </is>
      </c>
      <c r="D103" s="8" t="inlineStr">
        <is>
          <t>9</t>
        </is>
      </c>
      <c r="E103" s="8" t="inlineStr">
        <is>
          <t>part_ix_expenses.other_employee_benefits</t>
        </is>
      </c>
      <c r="F103" s="8" t="inlineStr">
        <is>
          <t>high</t>
        </is>
      </c>
      <c r="G103" s="9" t="n">
        <v>0</v>
      </c>
    </row>
    <row r="104">
      <c r="A104" s="8" t="inlineStr">
        <is>
          <t>Operating expenses (detail)</t>
        </is>
      </c>
      <c r="B104" s="8" t="inlineStr">
        <is>
          <t>C15</t>
        </is>
      </c>
      <c r="C104" s="8" t="inlineStr">
        <is>
          <t>9. Other employee benefits</t>
        </is>
      </c>
      <c r="D104" s="8" t="inlineStr">
        <is>
          <t>9</t>
        </is>
      </c>
      <c r="E104" s="8" t="inlineStr">
        <is>
          <t>part_ix_expenses.other_employee_benefits</t>
        </is>
      </c>
      <c r="F104" s="8" t="inlineStr">
        <is>
          <t>high</t>
        </is>
      </c>
      <c r="G104" s="9" t="n">
        <v>0</v>
      </c>
    </row>
    <row r="105">
      <c r="A105" s="8" t="inlineStr">
        <is>
          <t>Operating expenses (detail)</t>
        </is>
      </c>
      <c r="B105" s="8" t="inlineStr">
        <is>
          <t>D15</t>
        </is>
      </c>
      <c r="C105" s="8" t="inlineStr">
        <is>
          <t>9. Other employee benefits</t>
        </is>
      </c>
      <c r="D105" s="8" t="inlineStr">
        <is>
          <t>9</t>
        </is>
      </c>
      <c r="E105" s="8" t="inlineStr">
        <is>
          <t>part_ix_expenses.other_employee_benefits</t>
        </is>
      </c>
      <c r="F105" s="8" t="inlineStr">
        <is>
          <t>high</t>
        </is>
      </c>
      <c r="G105" s="9" t="n">
        <v>0</v>
      </c>
    </row>
    <row r="106">
      <c r="A106" s="8" t="inlineStr">
        <is>
          <t>Operating expenses (detail)</t>
        </is>
      </c>
      <c r="B106" s="8" t="inlineStr">
        <is>
          <t>E15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F15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G15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B16</t>
        </is>
      </c>
      <c r="C109" s="8" t="inlineStr">
        <is>
          <t>10. Payroll taxes</t>
        </is>
      </c>
      <c r="D109" s="8" t="inlineStr">
        <is>
          <t>10</t>
        </is>
      </c>
      <c r="E109" s="8" t="inlineStr">
        <is>
          <t>part_ix_expenses.payroll_taxes</t>
        </is>
      </c>
      <c r="F109" s="8" t="inlineStr">
        <is>
          <t>high</t>
        </is>
      </c>
      <c r="G109" s="9" t="n">
        <v>0</v>
      </c>
    </row>
    <row r="110">
      <c r="A110" s="8" t="inlineStr">
        <is>
          <t>Operating expenses (detail)</t>
        </is>
      </c>
      <c r="B110" s="8" t="inlineStr">
        <is>
          <t>C16</t>
        </is>
      </c>
      <c r="C110" s="8" t="inlineStr">
        <is>
          <t>10. Payroll taxes</t>
        </is>
      </c>
      <c r="D110" s="8" t="inlineStr">
        <is>
          <t>10</t>
        </is>
      </c>
      <c r="E110" s="8" t="inlineStr">
        <is>
          <t>part_ix_expenses.payroll_taxes</t>
        </is>
      </c>
      <c r="F110" s="8" t="inlineStr">
        <is>
          <t>high</t>
        </is>
      </c>
      <c r="G110" s="9" t="n">
        <v>0</v>
      </c>
    </row>
    <row r="111">
      <c r="A111" s="8" t="inlineStr">
        <is>
          <t>Operating expenses (detail)</t>
        </is>
      </c>
      <c r="B111" s="8" t="inlineStr">
        <is>
          <t>D16</t>
        </is>
      </c>
      <c r="C111" s="8" t="inlineStr">
        <is>
          <t>10. Payroll taxes</t>
        </is>
      </c>
      <c r="D111" s="8" t="inlineStr">
        <is>
          <t>10</t>
        </is>
      </c>
      <c r="E111" s="8" t="inlineStr">
        <is>
          <t>part_ix_expenses.payroll_taxes</t>
        </is>
      </c>
      <c r="F111" s="8" t="inlineStr">
        <is>
          <t>high</t>
        </is>
      </c>
      <c r="G111" s="9" t="n">
        <v>0</v>
      </c>
    </row>
    <row r="112">
      <c r="A112" s="8" t="inlineStr">
        <is>
          <t>Operating expenses (detail)</t>
        </is>
      </c>
      <c r="B112" s="8" t="inlineStr">
        <is>
          <t>E16</t>
        </is>
      </c>
      <c r="C112" s="8" t="inlineStr">
        <is>
          <t>10. Payroll taxes</t>
        </is>
      </c>
      <c r="D112" s="8" t="inlineStr">
        <is>
          <t>10</t>
        </is>
      </c>
      <c r="E112" s="8" t="inlineStr">
        <is>
          <t>part_ix_expenses.payroll_taxes</t>
        </is>
      </c>
      <c r="F112" s="8" t="inlineStr">
        <is>
          <t>high</t>
        </is>
      </c>
      <c r="G112" s="9" t="n">
        <v>0</v>
      </c>
    </row>
    <row r="113">
      <c r="A113" s="8" t="inlineStr">
        <is>
          <t>Operating expenses (detail)</t>
        </is>
      </c>
      <c r="B113" s="8" t="inlineStr">
        <is>
          <t>F16</t>
        </is>
      </c>
      <c r="C113" s="8" t="inlineStr">
        <is>
          <t>10. Payroll taxes</t>
        </is>
      </c>
      <c r="D113" s="8" t="inlineStr">
        <is>
          <t>10</t>
        </is>
      </c>
      <c r="E113" s="8" t="inlineStr">
        <is>
          <t>part_ix_expenses.payroll_taxes</t>
        </is>
      </c>
      <c r="F113" s="8" t="inlineStr">
        <is>
          <t>high</t>
        </is>
      </c>
      <c r="G113" s="9" t="n">
        <v>0</v>
      </c>
    </row>
    <row r="114">
      <c r="A114" s="8" t="inlineStr">
        <is>
          <t>Operating expenses (detail)</t>
        </is>
      </c>
      <c r="B114" s="8" t="inlineStr">
        <is>
          <t>G16</t>
        </is>
      </c>
      <c r="C114" s="8" t="inlineStr">
        <is>
          <t>10. Payroll taxes</t>
        </is>
      </c>
      <c r="D114" s="8" t="inlineStr">
        <is>
          <t>10</t>
        </is>
      </c>
      <c r="E114" s="8" t="inlineStr">
        <is>
          <t>part_ix_expenses.payroll_taxes</t>
        </is>
      </c>
      <c r="F114" s="8" t="inlineStr">
        <is>
          <t>high</t>
        </is>
      </c>
      <c r="G114" s="9" t="n">
        <v>0</v>
      </c>
    </row>
    <row r="115">
      <c r="A115" s="8" t="inlineStr">
        <is>
          <t>Operating expenses (detail)</t>
        </is>
      </c>
      <c r="B115" s="8" t="inlineStr">
        <is>
          <t>B17</t>
        </is>
      </c>
      <c r="C115" s="8" t="inlineStr">
        <is>
          <t>11a. Fees for services: management</t>
        </is>
      </c>
      <c r="D115" s="8" t="inlineStr">
        <is>
          <t>11a</t>
        </is>
      </c>
      <c r="E115" s="8" t="inlineStr">
        <is>
          <t>part_ix_expenses.fees_management</t>
        </is>
      </c>
      <c r="F115" s="8" t="inlineStr">
        <is>
          <t>high</t>
        </is>
      </c>
      <c r="G115" s="9" t="n">
        <v>0</v>
      </c>
    </row>
    <row r="116">
      <c r="A116" s="8" t="inlineStr">
        <is>
          <t>Operating expenses (detail)</t>
        </is>
      </c>
      <c r="B116" s="8" t="inlineStr">
        <is>
          <t>C17</t>
        </is>
      </c>
      <c r="C116" s="8" t="inlineStr">
        <is>
          <t>11a. Fees for services: management</t>
        </is>
      </c>
      <c r="D116" s="8" t="inlineStr">
        <is>
          <t>11a</t>
        </is>
      </c>
      <c r="E116" s="8" t="inlineStr">
        <is>
          <t>part_ix_expenses.fees_management</t>
        </is>
      </c>
      <c r="F116" s="8" t="inlineStr">
        <is>
          <t>high</t>
        </is>
      </c>
      <c r="G116" s="9" t="n">
        <v>0</v>
      </c>
    </row>
    <row r="117">
      <c r="A117" s="8" t="inlineStr">
        <is>
          <t>Operating expenses (detail)</t>
        </is>
      </c>
      <c r="B117" s="8" t="inlineStr">
        <is>
          <t>D17</t>
        </is>
      </c>
      <c r="C117" s="8" t="inlineStr">
        <is>
          <t>11a. Fees for services: management</t>
        </is>
      </c>
      <c r="D117" s="8" t="inlineStr">
        <is>
          <t>11a</t>
        </is>
      </c>
      <c r="E117" s="8" t="inlineStr">
        <is>
          <t>part_ix_expenses.fees_management</t>
        </is>
      </c>
      <c r="F117" s="8" t="inlineStr">
        <is>
          <t>high</t>
        </is>
      </c>
      <c r="G117" s="9" t="n">
        <v>0</v>
      </c>
    </row>
    <row r="118">
      <c r="A118" s="8" t="inlineStr">
        <is>
          <t>Operating expenses (detail)</t>
        </is>
      </c>
      <c r="B118" s="8" t="inlineStr">
        <is>
          <t>E17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F17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G17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B18</t>
        </is>
      </c>
      <c r="C121" s="8" t="inlineStr">
        <is>
          <t>11b. Fees for services: legal</t>
        </is>
      </c>
      <c r="D121" s="8" t="inlineStr">
        <is>
          <t>11b</t>
        </is>
      </c>
      <c r="E121" s="8" t="inlineStr">
        <is>
          <t>part_ix_expenses.fees_legal</t>
        </is>
      </c>
      <c r="F121" s="8" t="inlineStr">
        <is>
          <t>high</t>
        </is>
      </c>
      <c r="G121" s="9" t="n">
        <v>0</v>
      </c>
    </row>
    <row r="122">
      <c r="A122" s="8" t="inlineStr">
        <is>
          <t>Operating expenses (detail)</t>
        </is>
      </c>
      <c r="B122" s="8" t="inlineStr">
        <is>
          <t>C18</t>
        </is>
      </c>
      <c r="C122" s="8" t="inlineStr">
        <is>
          <t>11b. Fees for services: legal</t>
        </is>
      </c>
      <c r="D122" s="8" t="inlineStr">
        <is>
          <t>11b</t>
        </is>
      </c>
      <c r="E122" s="8" t="inlineStr">
        <is>
          <t>part_ix_expenses.fees_legal</t>
        </is>
      </c>
      <c r="F122" s="8" t="inlineStr">
        <is>
          <t>high</t>
        </is>
      </c>
      <c r="G122" s="9" t="n">
        <v>0</v>
      </c>
    </row>
    <row r="123">
      <c r="A123" s="8" t="inlineStr">
        <is>
          <t>Operating expenses (detail)</t>
        </is>
      </c>
      <c r="B123" s="8" t="inlineStr">
        <is>
          <t>D18</t>
        </is>
      </c>
      <c r="C123" s="8" t="inlineStr">
        <is>
          <t>11b. Fees for services: legal</t>
        </is>
      </c>
      <c r="D123" s="8" t="inlineStr">
        <is>
          <t>11b</t>
        </is>
      </c>
      <c r="E123" s="8" t="inlineStr">
        <is>
          <t>part_ix_expenses.fees_legal</t>
        </is>
      </c>
      <c r="F123" s="8" t="inlineStr">
        <is>
          <t>high</t>
        </is>
      </c>
      <c r="G123" s="9" t="n">
        <v>0</v>
      </c>
    </row>
    <row r="124">
      <c r="A124" s="8" t="inlineStr">
        <is>
          <t>Operating expenses (detail)</t>
        </is>
      </c>
      <c r="B124" s="8" t="inlineStr">
        <is>
          <t>E18</t>
        </is>
      </c>
      <c r="C124" s="8" t="inlineStr">
        <is>
          <t>11b. Fees for services: legal</t>
        </is>
      </c>
      <c r="D124" s="8" t="inlineStr">
        <is>
          <t>11b</t>
        </is>
      </c>
      <c r="E124" s="8" t="inlineStr">
        <is>
          <t>part_ix_expenses.fees_legal</t>
        </is>
      </c>
      <c r="F124" s="8" t="inlineStr">
        <is>
          <t>high</t>
        </is>
      </c>
      <c r="G124" s="9" t="n">
        <v>0</v>
      </c>
    </row>
    <row r="125">
      <c r="A125" s="8" t="inlineStr">
        <is>
          <t>Operating expenses (detail)</t>
        </is>
      </c>
      <c r="B125" s="8" t="inlineStr">
        <is>
          <t>F18</t>
        </is>
      </c>
      <c r="C125" s="8" t="inlineStr">
        <is>
          <t>11b. Fees for services: legal</t>
        </is>
      </c>
      <c r="D125" s="8" t="inlineStr">
        <is>
          <t>11b</t>
        </is>
      </c>
      <c r="E125" s="8" t="inlineStr">
        <is>
          <t>part_ix_expenses.fees_legal</t>
        </is>
      </c>
      <c r="F125" s="8" t="inlineStr">
        <is>
          <t>high</t>
        </is>
      </c>
      <c r="G125" s="9" t="n">
        <v>0</v>
      </c>
    </row>
    <row r="126">
      <c r="A126" s="8" t="inlineStr">
        <is>
          <t>Operating expenses (detail)</t>
        </is>
      </c>
      <c r="B126" s="8" t="inlineStr">
        <is>
          <t>G18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B19</t>
        </is>
      </c>
      <c r="C127" s="8" t="inlineStr">
        <is>
          <t>11c. Fees for services: accounting</t>
        </is>
      </c>
      <c r="D127" s="8" t="inlineStr">
        <is>
          <t>11c</t>
        </is>
      </c>
      <c r="E127" s="8" t="inlineStr">
        <is>
          <t>part_ix_expenses.fees_accounting</t>
        </is>
      </c>
      <c r="F127" s="8" t="inlineStr">
        <is>
          <t>high</t>
        </is>
      </c>
      <c r="G127" s="9" t="n">
        <v>2775</v>
      </c>
    </row>
    <row r="128">
      <c r="A128" s="8" t="inlineStr">
        <is>
          <t>Operating expenses (detail)</t>
        </is>
      </c>
      <c r="B128" s="8" t="inlineStr">
        <is>
          <t>C19</t>
        </is>
      </c>
      <c r="C128" s="8" t="inlineStr">
        <is>
          <t>11c. Fees for services: accounting</t>
        </is>
      </c>
      <c r="D128" s="8" t="inlineStr">
        <is>
          <t>11c</t>
        </is>
      </c>
      <c r="E128" s="8" t="inlineStr">
        <is>
          <t>part_ix_expenses.fees_accounting</t>
        </is>
      </c>
      <c r="F128" s="8" t="inlineStr">
        <is>
          <t>high</t>
        </is>
      </c>
      <c r="G128" s="9" t="n">
        <v>2362</v>
      </c>
    </row>
    <row r="129">
      <c r="A129" s="8" t="inlineStr">
        <is>
          <t>Operating expenses (detail)</t>
        </is>
      </c>
      <c r="B129" s="8" t="inlineStr">
        <is>
          <t>D19</t>
        </is>
      </c>
      <c r="C129" s="8" t="inlineStr">
        <is>
          <t>11c. Fees for services: accounting</t>
        </is>
      </c>
      <c r="D129" s="8" t="inlineStr">
        <is>
          <t>11c</t>
        </is>
      </c>
      <c r="E129" s="8" t="inlineStr">
        <is>
          <t>part_ix_expenses.fees_accounting</t>
        </is>
      </c>
      <c r="F129" s="8" t="inlineStr">
        <is>
          <t>high</t>
        </is>
      </c>
      <c r="G129" s="9" t="n">
        <v>2836</v>
      </c>
    </row>
    <row r="130">
      <c r="A130" s="8" t="inlineStr">
        <is>
          <t>Operating expenses (detail)</t>
        </is>
      </c>
      <c r="B130" s="8" t="inlineStr">
        <is>
          <t>E19</t>
        </is>
      </c>
      <c r="C130" s="8" t="inlineStr">
        <is>
          <t>11c. Fees for services: accounting</t>
        </is>
      </c>
      <c r="D130" s="8" t="inlineStr">
        <is>
          <t>11c</t>
        </is>
      </c>
      <c r="E130" s="8" t="inlineStr">
        <is>
          <t>part_ix_expenses.fees_accounting</t>
        </is>
      </c>
      <c r="F130" s="8" t="inlineStr">
        <is>
          <t>high</t>
        </is>
      </c>
      <c r="G130" s="9" t="n">
        <v>2076</v>
      </c>
    </row>
    <row r="131">
      <c r="A131" s="8" t="inlineStr">
        <is>
          <t>Operating expenses (detail)</t>
        </is>
      </c>
      <c r="B131" s="8" t="inlineStr">
        <is>
          <t>F19</t>
        </is>
      </c>
      <c r="C131" s="8" t="inlineStr">
        <is>
          <t>11c. Fees for services: accounting</t>
        </is>
      </c>
      <c r="D131" s="8" t="inlineStr">
        <is>
          <t>11c</t>
        </is>
      </c>
      <c r="E131" s="8" t="inlineStr">
        <is>
          <t>part_ix_expenses.fees_accounting</t>
        </is>
      </c>
      <c r="F131" s="8" t="inlineStr">
        <is>
          <t>high</t>
        </is>
      </c>
      <c r="G131" s="9" t="n">
        <v>2153</v>
      </c>
    </row>
    <row r="132">
      <c r="A132" s="8" t="inlineStr">
        <is>
          <t>Operating expenses (detail)</t>
        </is>
      </c>
      <c r="B132" s="8" t="inlineStr">
        <is>
          <t>G19</t>
        </is>
      </c>
      <c r="C132" s="8" t="inlineStr">
        <is>
          <t>11c. Fees for services: accounting</t>
        </is>
      </c>
      <c r="D132" s="8" t="inlineStr">
        <is>
          <t>11c</t>
        </is>
      </c>
      <c r="E132" s="8" t="inlineStr">
        <is>
          <t>part_ix_expenses.fees_accounting</t>
        </is>
      </c>
      <c r="F132" s="8" t="inlineStr">
        <is>
          <t>high</t>
        </is>
      </c>
      <c r="G132" s="9" t="n">
        <v>2374</v>
      </c>
    </row>
    <row r="133">
      <c r="A133" s="8" t="inlineStr">
        <is>
          <t>Operating expenses (detail)</t>
        </is>
      </c>
      <c r="B133" s="8" t="inlineStr">
        <is>
          <t>B20</t>
        </is>
      </c>
      <c r="C133" s="8" t="inlineStr">
        <is>
          <t>11d. Fees for services: lobbying</t>
        </is>
      </c>
      <c r="D133" s="8" t="inlineStr">
        <is>
          <t>11d</t>
        </is>
      </c>
      <c r="E133" s="8" t="inlineStr">
        <is>
          <t>part_ix_expenses.fees_lobbying</t>
        </is>
      </c>
      <c r="F133" s="8" t="inlineStr">
        <is>
          <t>high</t>
        </is>
      </c>
      <c r="G133" s="9" t="n">
        <v>0</v>
      </c>
    </row>
    <row r="134">
      <c r="A134" s="8" t="inlineStr">
        <is>
          <t>Operating expenses (detail)</t>
        </is>
      </c>
      <c r="B134" s="8" t="inlineStr">
        <is>
          <t>C20</t>
        </is>
      </c>
      <c r="C134" s="8" t="inlineStr">
        <is>
          <t>11d. Fees for services: lobbying</t>
        </is>
      </c>
      <c r="D134" s="8" t="inlineStr">
        <is>
          <t>11d</t>
        </is>
      </c>
      <c r="E134" s="8" t="inlineStr">
        <is>
          <t>part_ix_expenses.fees_lobbying</t>
        </is>
      </c>
      <c r="F134" s="8" t="inlineStr">
        <is>
          <t>high</t>
        </is>
      </c>
      <c r="G134" s="9" t="n">
        <v>0</v>
      </c>
    </row>
    <row r="135">
      <c r="A135" s="8" t="inlineStr">
        <is>
          <t>Operating expenses (detail)</t>
        </is>
      </c>
      <c r="B135" s="8" t="inlineStr">
        <is>
          <t>D20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E20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F20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G20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B21</t>
        </is>
      </c>
      <c r="C139" s="8" t="inlineStr">
        <is>
          <t>11e. Fees for services: professional fundraising</t>
        </is>
      </c>
      <c r="D139" s="8" t="inlineStr">
        <is>
          <t>11e</t>
        </is>
      </c>
      <c r="E139" s="8" t="inlineStr">
        <is>
          <t>part_ix_expenses.fees_prof_fundraising</t>
        </is>
      </c>
      <c r="F139" s="8" t="inlineStr">
        <is>
          <t>high</t>
        </is>
      </c>
      <c r="G139" s="9" t="n">
        <v>0</v>
      </c>
    </row>
    <row r="140">
      <c r="A140" s="8" t="inlineStr">
        <is>
          <t>Operating expenses (detail)</t>
        </is>
      </c>
      <c r="B140" s="8" t="inlineStr">
        <is>
          <t>C21</t>
        </is>
      </c>
      <c r="C140" s="8" t="inlineStr">
        <is>
          <t>11e. Fees for services: professional fundraising</t>
        </is>
      </c>
      <c r="D140" s="8" t="inlineStr">
        <is>
          <t>11e</t>
        </is>
      </c>
      <c r="E140" s="8" t="inlineStr">
        <is>
          <t>part_ix_expenses.fees_prof_fundraising</t>
        </is>
      </c>
      <c r="F140" s="8" t="inlineStr">
        <is>
          <t>high</t>
        </is>
      </c>
      <c r="G140" s="9" t="n">
        <v>0</v>
      </c>
    </row>
    <row r="141">
      <c r="A141" s="8" t="inlineStr">
        <is>
          <t>Operating expenses (detail)</t>
        </is>
      </c>
      <c r="B141" s="8" t="inlineStr">
        <is>
          <t>D21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E21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F21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G21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B22</t>
        </is>
      </c>
      <c r="C145" s="8" t="inlineStr">
        <is>
          <t>11f. Fees for services: investment management</t>
        </is>
      </c>
      <c r="D145" s="8" t="inlineStr">
        <is>
          <t>11f</t>
        </is>
      </c>
      <c r="E145" s="8" t="inlineStr">
        <is>
          <t>part_ix_expenses.fees_investment_mgmt</t>
        </is>
      </c>
      <c r="F145" s="8" t="inlineStr">
        <is>
          <t>high</t>
        </is>
      </c>
      <c r="G145" s="9" t="n">
        <v>0</v>
      </c>
    </row>
    <row r="146">
      <c r="A146" s="8" t="inlineStr">
        <is>
          <t>Operating expenses (detail)</t>
        </is>
      </c>
      <c r="B146" s="8" t="inlineStr">
        <is>
          <t>C22</t>
        </is>
      </c>
      <c r="C146" s="8" t="inlineStr">
        <is>
          <t>11f. Fees for services: investment management</t>
        </is>
      </c>
      <c r="D146" s="8" t="inlineStr">
        <is>
          <t>11f</t>
        </is>
      </c>
      <c r="E146" s="8" t="inlineStr">
        <is>
          <t>part_ix_expenses.fees_investment_mgmt</t>
        </is>
      </c>
      <c r="F146" s="8" t="inlineStr">
        <is>
          <t>high</t>
        </is>
      </c>
      <c r="G146" s="9" t="n">
        <v>0</v>
      </c>
    </row>
    <row r="147">
      <c r="A147" s="8" t="inlineStr">
        <is>
          <t>Operating expenses (detail)</t>
        </is>
      </c>
      <c r="B147" s="8" t="inlineStr">
        <is>
          <t>D22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E22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F22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G22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B23</t>
        </is>
      </c>
      <c r="C151" s="8" t="inlineStr">
        <is>
          <t>11g. Fees for services: other</t>
        </is>
      </c>
      <c r="D151" s="8" t="inlineStr">
        <is>
          <t>11g</t>
        </is>
      </c>
      <c r="E151" s="8" t="inlineStr">
        <is>
          <t>part_ix_expenses.fees_other</t>
        </is>
      </c>
      <c r="F151" s="8" t="inlineStr">
        <is>
          <t>high</t>
        </is>
      </c>
      <c r="G151" s="9" t="n">
        <v>0</v>
      </c>
    </row>
    <row r="152">
      <c r="A152" s="8" t="inlineStr">
        <is>
          <t>Operating expenses (detail)</t>
        </is>
      </c>
      <c r="B152" s="8" t="inlineStr">
        <is>
          <t>C23</t>
        </is>
      </c>
      <c r="C152" s="8" t="inlineStr">
        <is>
          <t>11g. Fees for services: other</t>
        </is>
      </c>
      <c r="D152" s="8" t="inlineStr">
        <is>
          <t>11g</t>
        </is>
      </c>
      <c r="E152" s="8" t="inlineStr">
        <is>
          <t>part_ix_expenses.fees_other</t>
        </is>
      </c>
      <c r="F152" s="8" t="inlineStr">
        <is>
          <t>high</t>
        </is>
      </c>
      <c r="G152" s="9" t="n">
        <v>0</v>
      </c>
    </row>
    <row r="153">
      <c r="A153" s="8" t="inlineStr">
        <is>
          <t>Operating expenses (detail)</t>
        </is>
      </c>
      <c r="B153" s="8" t="inlineStr">
        <is>
          <t>D23</t>
        </is>
      </c>
      <c r="C153" s="8" t="inlineStr">
        <is>
          <t>11g. Fees for services: other</t>
        </is>
      </c>
      <c r="D153" s="8" t="inlineStr">
        <is>
          <t>11g</t>
        </is>
      </c>
      <c r="E153" s="8" t="inlineStr">
        <is>
          <t>part_ix_expenses.fees_other</t>
        </is>
      </c>
      <c r="F153" s="8" t="inlineStr">
        <is>
          <t>high</t>
        </is>
      </c>
      <c r="G153" s="9" t="n">
        <v>0</v>
      </c>
    </row>
    <row r="154">
      <c r="A154" s="8" t="inlineStr">
        <is>
          <t>Operating expenses (detail)</t>
        </is>
      </c>
      <c r="B154" s="8" t="inlineStr">
        <is>
          <t>E23</t>
        </is>
      </c>
      <c r="C154" s="8" t="inlineStr">
        <is>
          <t>11g. Fees for services: other</t>
        </is>
      </c>
      <c r="D154" s="8" t="inlineStr">
        <is>
          <t>11g</t>
        </is>
      </c>
      <c r="E154" s="8" t="inlineStr">
        <is>
          <t>part_ix_expenses.fees_other</t>
        </is>
      </c>
      <c r="F154" s="8" t="inlineStr">
        <is>
          <t>high</t>
        </is>
      </c>
      <c r="G154" s="9" t="n">
        <v>0</v>
      </c>
    </row>
    <row r="155">
      <c r="A155" s="8" t="inlineStr">
        <is>
          <t>Operating expenses (detail)</t>
        </is>
      </c>
      <c r="B155" s="8" t="inlineStr">
        <is>
          <t>F23</t>
        </is>
      </c>
      <c r="C155" s="8" t="inlineStr">
        <is>
          <t>11g. Fees for services: other</t>
        </is>
      </c>
      <c r="D155" s="8" t="inlineStr">
        <is>
          <t>11g</t>
        </is>
      </c>
      <c r="E155" s="8" t="inlineStr">
        <is>
          <t>part_ix_expenses.fees_other</t>
        </is>
      </c>
      <c r="F155" s="8" t="inlineStr">
        <is>
          <t>high</t>
        </is>
      </c>
      <c r="G155" s="9" t="n">
        <v>0</v>
      </c>
    </row>
    <row r="156">
      <c r="A156" s="8" t="inlineStr">
        <is>
          <t>Operating expenses (detail)</t>
        </is>
      </c>
      <c r="B156" s="8" t="inlineStr">
        <is>
          <t>G23</t>
        </is>
      </c>
      <c r="C156" s="8" t="inlineStr">
        <is>
          <t>11g. Fees for services: other</t>
        </is>
      </c>
      <c r="D156" s="8" t="inlineStr">
        <is>
          <t>11g</t>
        </is>
      </c>
      <c r="E156" s="8" t="inlineStr">
        <is>
          <t>part_ix_expenses.fees_other</t>
        </is>
      </c>
      <c r="F156" s="8" t="inlineStr">
        <is>
          <t>high</t>
        </is>
      </c>
      <c r="G156" s="9" t="n">
        <v>0</v>
      </c>
    </row>
    <row r="157">
      <c r="A157" s="8" t="inlineStr">
        <is>
          <t>Operating expenses (detail)</t>
        </is>
      </c>
      <c r="B157" s="8" t="inlineStr">
        <is>
          <t>B24</t>
        </is>
      </c>
      <c r="C157" s="8" t="inlineStr">
        <is>
          <t>12. Advertising and promotion</t>
        </is>
      </c>
      <c r="D157" s="8" t="inlineStr">
        <is>
          <t>12</t>
        </is>
      </c>
      <c r="E157" s="8" t="inlineStr">
        <is>
          <t>part_ix_expenses.advertising</t>
        </is>
      </c>
      <c r="F157" s="8" t="inlineStr">
        <is>
          <t>high</t>
        </is>
      </c>
      <c r="G157" s="9" t="n">
        <v>0</v>
      </c>
    </row>
    <row r="158">
      <c r="A158" s="8" t="inlineStr">
        <is>
          <t>Operating expenses (detail)</t>
        </is>
      </c>
      <c r="B158" s="8" t="inlineStr">
        <is>
          <t>C24</t>
        </is>
      </c>
      <c r="C158" s="8" t="inlineStr">
        <is>
          <t>12. Advertising and promotion</t>
        </is>
      </c>
      <c r="D158" s="8" t="inlineStr">
        <is>
          <t>12</t>
        </is>
      </c>
      <c r="E158" s="8" t="inlineStr">
        <is>
          <t>part_ix_expenses.advertising</t>
        </is>
      </c>
      <c r="F158" s="8" t="inlineStr">
        <is>
          <t>high</t>
        </is>
      </c>
      <c r="G158" s="9" t="n">
        <v>0</v>
      </c>
    </row>
    <row r="159">
      <c r="A159" s="8" t="inlineStr">
        <is>
          <t>Operating expenses (detail)</t>
        </is>
      </c>
      <c r="B159" s="8" t="inlineStr">
        <is>
          <t>D24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E24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F24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G24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B25</t>
        </is>
      </c>
      <c r="C163" s="8" t="inlineStr">
        <is>
          <t>13. Office expenses</t>
        </is>
      </c>
      <c r="D163" s="8" t="inlineStr">
        <is>
          <t>13</t>
        </is>
      </c>
      <c r="E163" s="8" t="inlineStr">
        <is>
          <t>part_ix_expenses.office_expenses</t>
        </is>
      </c>
      <c r="F163" s="8" t="inlineStr">
        <is>
          <t>high</t>
        </is>
      </c>
      <c r="G163" s="9" t="n">
        <v>0</v>
      </c>
    </row>
    <row r="164">
      <c r="A164" s="8" t="inlineStr">
        <is>
          <t>Operating expenses (detail)</t>
        </is>
      </c>
      <c r="B164" s="8" t="inlineStr">
        <is>
          <t>C25</t>
        </is>
      </c>
      <c r="C164" s="8" t="inlineStr">
        <is>
          <t>13. Office expenses</t>
        </is>
      </c>
      <c r="D164" s="8" t="inlineStr">
        <is>
          <t>13</t>
        </is>
      </c>
      <c r="E164" s="8" t="inlineStr">
        <is>
          <t>part_ix_expenses.office_expenses</t>
        </is>
      </c>
      <c r="F164" s="8" t="inlineStr">
        <is>
          <t>high</t>
        </is>
      </c>
      <c r="G164" s="9" t="n">
        <v>0</v>
      </c>
    </row>
    <row r="165">
      <c r="A165" s="8" t="inlineStr">
        <is>
          <t>Operating expenses (detail)</t>
        </is>
      </c>
      <c r="B165" s="8" t="inlineStr">
        <is>
          <t>D25</t>
        </is>
      </c>
      <c r="C165" s="8" t="inlineStr">
        <is>
          <t>13. Office expenses</t>
        </is>
      </c>
      <c r="D165" s="8" t="inlineStr">
        <is>
          <t>13</t>
        </is>
      </c>
      <c r="E165" s="8" t="inlineStr">
        <is>
          <t>part_ix_expenses.office_expenses</t>
        </is>
      </c>
      <c r="F165" s="8" t="inlineStr">
        <is>
          <t>high</t>
        </is>
      </c>
      <c r="G165" s="9" t="n">
        <v>0</v>
      </c>
    </row>
    <row r="166">
      <c r="A166" s="8" t="inlineStr">
        <is>
          <t>Operating expenses (detail)</t>
        </is>
      </c>
      <c r="B166" s="8" t="inlineStr">
        <is>
          <t>E25</t>
        </is>
      </c>
      <c r="C166" s="8" t="inlineStr">
        <is>
          <t>13. Office expenses</t>
        </is>
      </c>
      <c r="D166" s="8" t="inlineStr">
        <is>
          <t>13</t>
        </is>
      </c>
      <c r="E166" s="8" t="inlineStr">
        <is>
          <t>part_ix_expenses.office_expenses</t>
        </is>
      </c>
      <c r="F166" s="8" t="inlineStr">
        <is>
          <t>high</t>
        </is>
      </c>
      <c r="G166" s="9" t="n">
        <v>0</v>
      </c>
    </row>
    <row r="167">
      <c r="A167" s="8" t="inlineStr">
        <is>
          <t>Operating expenses (detail)</t>
        </is>
      </c>
      <c r="B167" s="8" t="inlineStr">
        <is>
          <t>F25</t>
        </is>
      </c>
      <c r="C167" s="8" t="inlineStr">
        <is>
          <t>13. Office expenses</t>
        </is>
      </c>
      <c r="D167" s="8" t="inlineStr">
        <is>
          <t>13</t>
        </is>
      </c>
      <c r="E167" s="8" t="inlineStr">
        <is>
          <t>part_ix_expenses.office_expenses</t>
        </is>
      </c>
      <c r="F167" s="8" t="inlineStr">
        <is>
          <t>high</t>
        </is>
      </c>
      <c r="G167" s="9" t="n">
        <v>0</v>
      </c>
    </row>
    <row r="168">
      <c r="A168" s="8" t="inlineStr">
        <is>
          <t>Operating expenses (detail)</t>
        </is>
      </c>
      <c r="B168" s="8" t="inlineStr">
        <is>
          <t>G25</t>
        </is>
      </c>
      <c r="C168" s="8" t="inlineStr">
        <is>
          <t>13. Office expenses</t>
        </is>
      </c>
      <c r="D168" s="8" t="inlineStr">
        <is>
          <t>13</t>
        </is>
      </c>
      <c r="E168" s="8" t="inlineStr">
        <is>
          <t>part_ix_expenses.office_expenses</t>
        </is>
      </c>
      <c r="F168" s="8" t="inlineStr">
        <is>
          <t>high</t>
        </is>
      </c>
      <c r="G168" s="9" t="n">
        <v>0</v>
      </c>
    </row>
    <row r="169">
      <c r="A169" s="8" t="inlineStr">
        <is>
          <t>Operating expenses (detail)</t>
        </is>
      </c>
      <c r="B169" s="8" t="inlineStr">
        <is>
          <t>B26</t>
        </is>
      </c>
      <c r="C169" s="8" t="inlineStr">
        <is>
          <t>14. Information technology</t>
        </is>
      </c>
      <c r="D169" s="8" t="inlineStr">
        <is>
          <t>14</t>
        </is>
      </c>
      <c r="E169" s="8" t="inlineStr">
        <is>
          <t>part_ix_expenses.information_technology</t>
        </is>
      </c>
      <c r="F169" s="8" t="inlineStr">
        <is>
          <t>high</t>
        </is>
      </c>
      <c r="G169" s="9" t="n">
        <v>0</v>
      </c>
    </row>
    <row r="170">
      <c r="A170" s="8" t="inlineStr">
        <is>
          <t>Operating expenses (detail)</t>
        </is>
      </c>
      <c r="B170" s="8" t="inlineStr">
        <is>
          <t>C26</t>
        </is>
      </c>
      <c r="C170" s="8" t="inlineStr">
        <is>
          <t>14. Information technology</t>
        </is>
      </c>
      <c r="D170" s="8" t="inlineStr">
        <is>
          <t>14</t>
        </is>
      </c>
      <c r="E170" s="8" t="inlineStr">
        <is>
          <t>part_ix_expenses.information_technology</t>
        </is>
      </c>
      <c r="F170" s="8" t="inlineStr">
        <is>
          <t>high</t>
        </is>
      </c>
      <c r="G170" s="9" t="n">
        <v>0</v>
      </c>
    </row>
    <row r="171">
      <c r="A171" s="8" t="inlineStr">
        <is>
          <t>Operating expenses (detail)</t>
        </is>
      </c>
      <c r="B171" s="8" t="inlineStr">
        <is>
          <t>D26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E26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F26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G26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B27</t>
        </is>
      </c>
      <c r="C175" s="8" t="inlineStr">
        <is>
          <t>15. Royalties</t>
        </is>
      </c>
      <c r="D175" s="8" t="inlineStr">
        <is>
          <t>15</t>
        </is>
      </c>
      <c r="E175" s="8" t="inlineStr">
        <is>
          <t>part_ix_expenses.royalties</t>
        </is>
      </c>
      <c r="F175" s="8" t="inlineStr">
        <is>
          <t>high</t>
        </is>
      </c>
      <c r="G175" s="9" t="n">
        <v>0</v>
      </c>
    </row>
    <row r="176">
      <c r="A176" s="8" t="inlineStr">
        <is>
          <t>Operating expenses (detail)</t>
        </is>
      </c>
      <c r="B176" s="8" t="inlineStr">
        <is>
          <t>C27</t>
        </is>
      </c>
      <c r="C176" s="8" t="inlineStr">
        <is>
          <t>15. Royalties</t>
        </is>
      </c>
      <c r="D176" s="8" t="inlineStr">
        <is>
          <t>15</t>
        </is>
      </c>
      <c r="E176" s="8" t="inlineStr">
        <is>
          <t>part_ix_expenses.royalties</t>
        </is>
      </c>
      <c r="F176" s="8" t="inlineStr">
        <is>
          <t>high</t>
        </is>
      </c>
      <c r="G176" s="9" t="n">
        <v>0</v>
      </c>
    </row>
    <row r="177">
      <c r="A177" s="8" t="inlineStr">
        <is>
          <t>Operating expenses (detail)</t>
        </is>
      </c>
      <c r="B177" s="8" t="inlineStr">
        <is>
          <t>D27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E27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F27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G27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B28</t>
        </is>
      </c>
      <c r="C181" s="8" t="inlineStr">
        <is>
          <t>16. Occupancy</t>
        </is>
      </c>
      <c r="D181" s="8" t="inlineStr">
        <is>
          <t>16</t>
        </is>
      </c>
      <c r="E181" s="8" t="inlineStr">
        <is>
          <t>part_ix_expenses.occupancy</t>
        </is>
      </c>
      <c r="F181" s="8" t="inlineStr">
        <is>
          <t>high</t>
        </is>
      </c>
      <c r="G181" s="9" t="n">
        <v>0</v>
      </c>
    </row>
    <row r="182">
      <c r="A182" s="8" t="inlineStr">
        <is>
          <t>Operating expenses (detail)</t>
        </is>
      </c>
      <c r="B182" s="8" t="inlineStr">
        <is>
          <t>C28</t>
        </is>
      </c>
      <c r="C182" s="8" t="inlineStr">
        <is>
          <t>16. Occupancy</t>
        </is>
      </c>
      <c r="D182" s="8" t="inlineStr">
        <is>
          <t>16</t>
        </is>
      </c>
      <c r="E182" s="8" t="inlineStr">
        <is>
          <t>part_ix_expenses.occupancy</t>
        </is>
      </c>
      <c r="F182" s="8" t="inlineStr">
        <is>
          <t>high</t>
        </is>
      </c>
      <c r="G182" s="9" t="n">
        <v>0</v>
      </c>
    </row>
    <row r="183">
      <c r="A183" s="8" t="inlineStr">
        <is>
          <t>Operating expenses (detail)</t>
        </is>
      </c>
      <c r="B183" s="8" t="inlineStr">
        <is>
          <t>D28</t>
        </is>
      </c>
      <c r="C183" s="8" t="inlineStr">
        <is>
          <t>16. Occupancy</t>
        </is>
      </c>
      <c r="D183" s="8" t="inlineStr">
        <is>
          <t>16</t>
        </is>
      </c>
      <c r="E183" s="8" t="inlineStr">
        <is>
          <t>part_ix_expenses.occupancy</t>
        </is>
      </c>
      <c r="F183" s="8" t="inlineStr">
        <is>
          <t>high</t>
        </is>
      </c>
      <c r="G183" s="9" t="n">
        <v>0</v>
      </c>
    </row>
    <row r="184">
      <c r="A184" s="8" t="inlineStr">
        <is>
          <t>Operating expenses (detail)</t>
        </is>
      </c>
      <c r="B184" s="8" t="inlineStr">
        <is>
          <t>E28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F28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G28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B29</t>
        </is>
      </c>
      <c r="C187" s="8" t="inlineStr">
        <is>
          <t>17. Travel</t>
        </is>
      </c>
      <c r="D187" s="8" t="inlineStr">
        <is>
          <t>17</t>
        </is>
      </c>
      <c r="E187" s="8" t="inlineStr">
        <is>
          <t>part_ix_expenses.travel</t>
        </is>
      </c>
      <c r="F187" s="8" t="inlineStr">
        <is>
          <t>high</t>
        </is>
      </c>
      <c r="G187" s="9" t="n">
        <v>0</v>
      </c>
    </row>
    <row r="188">
      <c r="A188" s="8" t="inlineStr">
        <is>
          <t>Operating expenses (detail)</t>
        </is>
      </c>
      <c r="B188" s="8" t="inlineStr">
        <is>
          <t>C29</t>
        </is>
      </c>
      <c r="C188" s="8" t="inlineStr">
        <is>
          <t>17. Travel</t>
        </is>
      </c>
      <c r="D188" s="8" t="inlineStr">
        <is>
          <t>17</t>
        </is>
      </c>
      <c r="E188" s="8" t="inlineStr">
        <is>
          <t>part_ix_expenses.travel</t>
        </is>
      </c>
      <c r="F188" s="8" t="inlineStr">
        <is>
          <t>high</t>
        </is>
      </c>
      <c r="G188" s="9" t="n">
        <v>0</v>
      </c>
    </row>
    <row r="189">
      <c r="A189" s="8" t="inlineStr">
        <is>
          <t>Operating expenses (detail)</t>
        </is>
      </c>
      <c r="B189" s="8" t="inlineStr">
        <is>
          <t>D29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E29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F29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G29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B30</t>
        </is>
      </c>
      <c r="C193" s="8" t="inlineStr">
        <is>
          <t>18. Payments of travel/entertainment for public officials</t>
        </is>
      </c>
      <c r="D193" s="8" t="inlineStr">
        <is>
          <t>18</t>
        </is>
      </c>
      <c r="E193" s="8" t="inlineStr">
        <is>
          <t>part_ix_expenses.travel_entertainment_public_officials</t>
        </is>
      </c>
      <c r="F193" s="8" t="inlineStr">
        <is>
          <t>high</t>
        </is>
      </c>
      <c r="G193" s="9" t="n">
        <v>0</v>
      </c>
    </row>
    <row r="194">
      <c r="A194" s="8" t="inlineStr">
        <is>
          <t>Operating expenses (detail)</t>
        </is>
      </c>
      <c r="B194" s="8" t="inlineStr">
        <is>
          <t>C30</t>
        </is>
      </c>
      <c r="C194" s="8" t="inlineStr">
        <is>
          <t>18. Payments of travel/entertainment for public officials</t>
        </is>
      </c>
      <c r="D194" s="8" t="inlineStr">
        <is>
          <t>18</t>
        </is>
      </c>
      <c r="E194" s="8" t="inlineStr">
        <is>
          <t>part_ix_expenses.travel_entertainment_public_officials</t>
        </is>
      </c>
      <c r="F194" s="8" t="inlineStr">
        <is>
          <t>high</t>
        </is>
      </c>
      <c r="G194" s="9" t="n">
        <v>0</v>
      </c>
    </row>
    <row r="195">
      <c r="A195" s="8" t="inlineStr">
        <is>
          <t>Operating expenses (detail)</t>
        </is>
      </c>
      <c r="B195" s="8" t="inlineStr">
        <is>
          <t>D30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E30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F30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G30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B31</t>
        </is>
      </c>
      <c r="C199" s="8" t="inlineStr">
        <is>
          <t>19. Conferences, conventions, and meetings</t>
        </is>
      </c>
      <c r="D199" s="8" t="inlineStr">
        <is>
          <t>19</t>
        </is>
      </c>
      <c r="E199" s="8" t="inlineStr">
        <is>
          <t>part_ix_expenses.conferences_conventions_meetings</t>
        </is>
      </c>
      <c r="F199" s="8" t="inlineStr">
        <is>
          <t>high</t>
        </is>
      </c>
      <c r="G199" s="9" t="n">
        <v>0</v>
      </c>
    </row>
    <row r="200">
      <c r="A200" s="8" t="inlineStr">
        <is>
          <t>Operating expenses (detail)</t>
        </is>
      </c>
      <c r="B200" s="8" t="inlineStr">
        <is>
          <t>C31</t>
        </is>
      </c>
      <c r="C200" s="8" t="inlineStr">
        <is>
          <t>19. Conferences, conventions, and meetings</t>
        </is>
      </c>
      <c r="D200" s="8" t="inlineStr">
        <is>
          <t>19</t>
        </is>
      </c>
      <c r="E200" s="8" t="inlineStr">
        <is>
          <t>part_ix_expenses.conferences_conventions_meetings</t>
        </is>
      </c>
      <c r="F200" s="8" t="inlineStr">
        <is>
          <t>high</t>
        </is>
      </c>
      <c r="G200" s="9" t="n">
        <v>0</v>
      </c>
    </row>
    <row r="201">
      <c r="A201" s="8" t="inlineStr">
        <is>
          <t>Operating expenses (detail)</t>
        </is>
      </c>
      <c r="B201" s="8" t="inlineStr">
        <is>
          <t>D31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E31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F31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G31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B32</t>
        </is>
      </c>
      <c r="C205" s="8" t="inlineStr">
        <is>
          <t>20. Interest</t>
        </is>
      </c>
      <c r="D205" s="8" t="inlineStr">
        <is>
          <t>20</t>
        </is>
      </c>
      <c r="E205" s="8" t="inlineStr">
        <is>
          <t>part_ix_expenses.interest</t>
        </is>
      </c>
      <c r="F205" s="8" t="inlineStr">
        <is>
          <t>high</t>
        </is>
      </c>
      <c r="G205" s="9" t="n">
        <v>0</v>
      </c>
    </row>
    <row r="206">
      <c r="A206" s="8" t="inlineStr">
        <is>
          <t>Operating expenses (detail)</t>
        </is>
      </c>
      <c r="B206" s="8" t="inlineStr">
        <is>
          <t>C32</t>
        </is>
      </c>
      <c r="C206" s="8" t="inlineStr">
        <is>
          <t>20. Interest</t>
        </is>
      </c>
      <c r="D206" s="8" t="inlineStr">
        <is>
          <t>20</t>
        </is>
      </c>
      <c r="E206" s="8" t="inlineStr">
        <is>
          <t>part_ix_expenses.interest</t>
        </is>
      </c>
      <c r="F206" s="8" t="inlineStr">
        <is>
          <t>high</t>
        </is>
      </c>
      <c r="G206" s="9" t="n">
        <v>0</v>
      </c>
    </row>
    <row r="207">
      <c r="A207" s="8" t="inlineStr">
        <is>
          <t>Operating expenses (detail)</t>
        </is>
      </c>
      <c r="B207" s="8" t="inlineStr">
        <is>
          <t>D32</t>
        </is>
      </c>
      <c r="C207" s="8" t="inlineStr">
        <is>
          <t>20. Interest</t>
        </is>
      </c>
      <c r="D207" s="8" t="inlineStr">
        <is>
          <t>20</t>
        </is>
      </c>
      <c r="E207" s="8" t="inlineStr">
        <is>
          <t>part_ix_expenses.interest</t>
        </is>
      </c>
      <c r="F207" s="8" t="inlineStr">
        <is>
          <t>high</t>
        </is>
      </c>
      <c r="G207" s="9" t="n">
        <v>0</v>
      </c>
    </row>
    <row r="208">
      <c r="A208" s="8" t="inlineStr">
        <is>
          <t>Operating expenses (detail)</t>
        </is>
      </c>
      <c r="B208" s="8" t="inlineStr">
        <is>
          <t>E32</t>
        </is>
      </c>
      <c r="C208" s="8" t="inlineStr">
        <is>
          <t>20. Interest</t>
        </is>
      </c>
      <c r="D208" s="8" t="inlineStr">
        <is>
          <t>20</t>
        </is>
      </c>
      <c r="E208" s="8" t="inlineStr">
        <is>
          <t>part_ix_expenses.interest</t>
        </is>
      </c>
      <c r="F208" s="8" t="inlineStr">
        <is>
          <t>high</t>
        </is>
      </c>
      <c r="G208" s="9" t="n">
        <v>0</v>
      </c>
    </row>
    <row r="209">
      <c r="A209" s="8" t="inlineStr">
        <is>
          <t>Operating expenses (detail)</t>
        </is>
      </c>
      <c r="B209" s="8" t="inlineStr">
        <is>
          <t>F32</t>
        </is>
      </c>
      <c r="C209" s="8" t="inlineStr">
        <is>
          <t>20. Interest</t>
        </is>
      </c>
      <c r="D209" s="8" t="inlineStr">
        <is>
          <t>20</t>
        </is>
      </c>
      <c r="E209" s="8" t="inlineStr">
        <is>
          <t>part_ix_expenses.interest</t>
        </is>
      </c>
      <c r="F209" s="8" t="inlineStr">
        <is>
          <t>high</t>
        </is>
      </c>
      <c r="G209" s="9" t="n">
        <v>0</v>
      </c>
    </row>
    <row r="210">
      <c r="A210" s="8" t="inlineStr">
        <is>
          <t>Operating expenses (detail)</t>
        </is>
      </c>
      <c r="B210" s="8" t="inlineStr">
        <is>
          <t>G32</t>
        </is>
      </c>
      <c r="C210" s="8" t="inlineStr">
        <is>
          <t>20. Interest</t>
        </is>
      </c>
      <c r="D210" s="8" t="inlineStr">
        <is>
          <t>20</t>
        </is>
      </c>
      <c r="E210" s="8" t="inlineStr">
        <is>
          <t>part_ix_expenses.interest</t>
        </is>
      </c>
      <c r="F210" s="8" t="inlineStr">
        <is>
          <t>high</t>
        </is>
      </c>
      <c r="G210" s="9" t="n">
        <v>0</v>
      </c>
    </row>
    <row r="211">
      <c r="A211" s="8" t="inlineStr">
        <is>
          <t>Operating expenses (detail)</t>
        </is>
      </c>
      <c r="B211" s="8" t="inlineStr">
        <is>
          <t>B33</t>
        </is>
      </c>
      <c r="C211" s="8" t="inlineStr">
        <is>
          <t>21. Payments to affiliates</t>
        </is>
      </c>
      <c r="D211" s="8" t="inlineStr">
        <is>
          <t>21</t>
        </is>
      </c>
      <c r="E211" s="8" t="inlineStr">
        <is>
          <t>part_ix_expenses.payments_to_affiliates</t>
        </is>
      </c>
      <c r="F211" s="8" t="inlineStr">
        <is>
          <t>high</t>
        </is>
      </c>
      <c r="G211" s="9" t="n">
        <v>0</v>
      </c>
    </row>
    <row r="212">
      <c r="A212" s="8" t="inlineStr">
        <is>
          <t>Operating expenses (detail)</t>
        </is>
      </c>
      <c r="B212" s="8" t="inlineStr">
        <is>
          <t>C33</t>
        </is>
      </c>
      <c r="C212" s="8" t="inlineStr">
        <is>
          <t>21. Payments to affiliates</t>
        </is>
      </c>
      <c r="D212" s="8" t="inlineStr">
        <is>
          <t>21</t>
        </is>
      </c>
      <c r="E212" s="8" t="inlineStr">
        <is>
          <t>part_ix_expenses.payments_to_affiliates</t>
        </is>
      </c>
      <c r="F212" s="8" t="inlineStr">
        <is>
          <t>high</t>
        </is>
      </c>
      <c r="G212" s="9" t="n">
        <v>0</v>
      </c>
    </row>
    <row r="213">
      <c r="A213" s="8" t="inlineStr">
        <is>
          <t>Operating expenses (detail)</t>
        </is>
      </c>
      <c r="B213" s="8" t="inlineStr">
        <is>
          <t>D33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E33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F33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G33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B34</t>
        </is>
      </c>
      <c r="C217" s="8" t="inlineStr">
        <is>
          <t>22. Depreciation, depletion, and amortization</t>
        </is>
      </c>
      <c r="D217" s="8" t="inlineStr">
        <is>
          <t>22</t>
        </is>
      </c>
      <c r="E217" s="8" t="inlineStr">
        <is>
          <t>part_ix_expenses.depreciation</t>
        </is>
      </c>
      <c r="F217" s="8" t="inlineStr">
        <is>
          <t>high</t>
        </is>
      </c>
      <c r="G217" s="9" t="n">
        <v>36740</v>
      </c>
    </row>
    <row r="218">
      <c r="A218" s="8" t="inlineStr">
        <is>
          <t>Operating expenses (detail)</t>
        </is>
      </c>
      <c r="B218" s="8" t="inlineStr">
        <is>
          <t>C34</t>
        </is>
      </c>
      <c r="C218" s="8" t="inlineStr">
        <is>
          <t>22. Depreciation, depletion, and amortization</t>
        </is>
      </c>
      <c r="D218" s="8" t="inlineStr">
        <is>
          <t>22</t>
        </is>
      </c>
      <c r="E218" s="8" t="inlineStr">
        <is>
          <t>part_ix_expenses.depreciation</t>
        </is>
      </c>
      <c r="F218" s="8" t="inlineStr">
        <is>
          <t>high</t>
        </is>
      </c>
      <c r="G218" s="9" t="n">
        <v>28482</v>
      </c>
    </row>
    <row r="219">
      <c r="A219" s="8" t="inlineStr">
        <is>
          <t>Operating expenses (detail)</t>
        </is>
      </c>
      <c r="B219" s="8" t="inlineStr">
        <is>
          <t>D34</t>
        </is>
      </c>
      <c r="C219" s="8" t="inlineStr">
        <is>
          <t>22. Depreciation, depletion, and amortization</t>
        </is>
      </c>
      <c r="D219" s="8" t="inlineStr">
        <is>
          <t>22</t>
        </is>
      </c>
      <c r="E219" s="8" t="inlineStr">
        <is>
          <t>part_ix_expenses.depreciation</t>
        </is>
      </c>
      <c r="F219" s="8" t="inlineStr">
        <is>
          <t>high</t>
        </is>
      </c>
      <c r="G219" s="9" t="n">
        <v>22239</v>
      </c>
    </row>
    <row r="220">
      <c r="A220" s="8" t="inlineStr">
        <is>
          <t>Operating expenses (detail)</t>
        </is>
      </c>
      <c r="B220" s="8" t="inlineStr">
        <is>
          <t>E34</t>
        </is>
      </c>
      <c r="C220" s="8" t="inlineStr">
        <is>
          <t>22. Depreciation, depletion, and amortization</t>
        </is>
      </c>
      <c r="D220" s="8" t="inlineStr">
        <is>
          <t>22</t>
        </is>
      </c>
      <c r="E220" s="8" t="inlineStr">
        <is>
          <t>part_ix_expenses.depreciation</t>
        </is>
      </c>
      <c r="F220" s="8" t="inlineStr">
        <is>
          <t>high</t>
        </is>
      </c>
      <c r="G220" s="9" t="n">
        <v>21743</v>
      </c>
    </row>
    <row r="221">
      <c r="A221" s="8" t="inlineStr">
        <is>
          <t>Operating expenses (detail)</t>
        </is>
      </c>
      <c r="B221" s="8" t="inlineStr">
        <is>
          <t>F34</t>
        </is>
      </c>
      <c r="C221" s="8" t="inlineStr">
        <is>
          <t>22. Depreciation, depletion, and amortization</t>
        </is>
      </c>
      <c r="D221" s="8" t="inlineStr">
        <is>
          <t>22</t>
        </is>
      </c>
      <c r="E221" s="8" t="inlineStr">
        <is>
          <t>part_ix_expenses.depreciation</t>
        </is>
      </c>
      <c r="F221" s="8" t="inlineStr">
        <is>
          <t>high</t>
        </is>
      </c>
      <c r="G221" s="9" t="n">
        <v>25933</v>
      </c>
    </row>
    <row r="222">
      <c r="A222" s="8" t="inlineStr">
        <is>
          <t>Operating expenses (detail)</t>
        </is>
      </c>
      <c r="B222" s="8" t="inlineStr">
        <is>
          <t>G34</t>
        </is>
      </c>
      <c r="C222" s="8" t="inlineStr">
        <is>
          <t>22. Depreciation, depletion, and amortization</t>
        </is>
      </c>
      <c r="D222" s="8" t="inlineStr">
        <is>
          <t>22</t>
        </is>
      </c>
      <c r="E222" s="8" t="inlineStr">
        <is>
          <t>part_ix_expenses.depreciation</t>
        </is>
      </c>
      <c r="F222" s="8" t="inlineStr">
        <is>
          <t>high</t>
        </is>
      </c>
      <c r="G222" s="9" t="n">
        <v>26635</v>
      </c>
    </row>
    <row r="223">
      <c r="A223" s="8" t="inlineStr">
        <is>
          <t>Operating expenses (detail)</t>
        </is>
      </c>
      <c r="B223" s="8" t="inlineStr">
        <is>
          <t>B35</t>
        </is>
      </c>
      <c r="C223" s="8" t="inlineStr">
        <is>
          <t>23. Insurance</t>
        </is>
      </c>
      <c r="D223" s="8" t="inlineStr">
        <is>
          <t>23</t>
        </is>
      </c>
      <c r="E223" s="8" t="inlineStr">
        <is>
          <t>part_ix_expenses.insurance</t>
        </is>
      </c>
      <c r="F223" s="8" t="inlineStr">
        <is>
          <t>high</t>
        </is>
      </c>
      <c r="G223" s="9" t="n">
        <v>6839</v>
      </c>
    </row>
    <row r="224">
      <c r="A224" s="8" t="inlineStr">
        <is>
          <t>Operating expenses (detail)</t>
        </is>
      </c>
      <c r="B224" s="8" t="inlineStr">
        <is>
          <t>C35</t>
        </is>
      </c>
      <c r="C224" s="8" t="inlineStr">
        <is>
          <t>23. Insurance</t>
        </is>
      </c>
      <c r="D224" s="8" t="inlineStr">
        <is>
          <t>23</t>
        </is>
      </c>
      <c r="E224" s="8" t="inlineStr">
        <is>
          <t>part_ix_expenses.insurance</t>
        </is>
      </c>
      <c r="F224" s="8" t="inlineStr">
        <is>
          <t>high</t>
        </is>
      </c>
      <c r="G224" s="9" t="n">
        <v>7676</v>
      </c>
    </row>
    <row r="225">
      <c r="A225" s="8" t="inlineStr">
        <is>
          <t>Operating expenses (detail)</t>
        </is>
      </c>
      <c r="B225" s="8" t="inlineStr">
        <is>
          <t>D35</t>
        </is>
      </c>
      <c r="C225" s="8" t="inlineStr">
        <is>
          <t>23. Insurance</t>
        </is>
      </c>
      <c r="D225" s="8" t="inlineStr">
        <is>
          <t>23</t>
        </is>
      </c>
      <c r="E225" s="8" t="inlineStr">
        <is>
          <t>part_ix_expenses.insurance</t>
        </is>
      </c>
      <c r="F225" s="8" t="inlineStr">
        <is>
          <t>high</t>
        </is>
      </c>
      <c r="G225" s="9" t="n">
        <v>8535</v>
      </c>
    </row>
    <row r="226">
      <c r="A226" s="8" t="inlineStr">
        <is>
          <t>Operating expenses (detail)</t>
        </is>
      </c>
      <c r="B226" s="8" t="inlineStr">
        <is>
          <t>E35</t>
        </is>
      </c>
      <c r="C226" s="8" t="inlineStr">
        <is>
          <t>23. Insurance</t>
        </is>
      </c>
      <c r="D226" s="8" t="inlineStr">
        <is>
          <t>23</t>
        </is>
      </c>
      <c r="E226" s="8" t="inlineStr">
        <is>
          <t>part_ix_expenses.insurance</t>
        </is>
      </c>
      <c r="F226" s="8" t="inlineStr">
        <is>
          <t>high</t>
        </is>
      </c>
      <c r="G226" s="9" t="n">
        <v>9483</v>
      </c>
    </row>
    <row r="227">
      <c r="A227" s="8" t="inlineStr">
        <is>
          <t>Operating expenses (detail)</t>
        </is>
      </c>
      <c r="B227" s="8" t="inlineStr">
        <is>
          <t>F35</t>
        </is>
      </c>
      <c r="C227" s="8" t="inlineStr">
        <is>
          <t>23. Insurance</t>
        </is>
      </c>
      <c r="D227" s="8" t="inlineStr">
        <is>
          <t>23</t>
        </is>
      </c>
      <c r="E227" s="8" t="inlineStr">
        <is>
          <t>part_ix_expenses.insurance</t>
        </is>
      </c>
      <c r="F227" s="8" t="inlineStr">
        <is>
          <t>high</t>
        </is>
      </c>
      <c r="G227" s="9" t="n">
        <v>10921</v>
      </c>
    </row>
    <row r="228">
      <c r="A228" s="8" t="inlineStr">
        <is>
          <t>Operating expenses (detail)</t>
        </is>
      </c>
      <c r="B228" s="8" t="inlineStr">
        <is>
          <t>G35</t>
        </is>
      </c>
      <c r="C228" s="8" t="inlineStr">
        <is>
          <t>23. Insurance</t>
        </is>
      </c>
      <c r="D228" s="8" t="inlineStr">
        <is>
          <t>23</t>
        </is>
      </c>
      <c r="E228" s="8" t="inlineStr">
        <is>
          <t>part_ix_expenses.insurance</t>
        </is>
      </c>
      <c r="F228" s="8" t="inlineStr">
        <is>
          <t>high</t>
        </is>
      </c>
      <c r="G228" s="9" t="n">
        <v>13009</v>
      </c>
    </row>
    <row r="229">
      <c r="A229" s="8" t="inlineStr">
        <is>
          <t>Operating expenses (detail)</t>
        </is>
      </c>
      <c r="B229" s="8" t="inlineStr">
        <is>
          <t>B40</t>
        </is>
      </c>
      <c r="C229" s="8" t="inlineStr">
        <is>
          <t>24e. All other expenses</t>
        </is>
      </c>
      <c r="D229" s="8" t="inlineStr">
        <is>
          <t>24e</t>
        </is>
      </c>
      <c r="E229" s="8" t="inlineStr">
        <is>
          <t>part_ix_expenses.all_other_expenses</t>
        </is>
      </c>
      <c r="F229" s="8" t="inlineStr">
        <is>
          <t>high</t>
        </is>
      </c>
      <c r="G229" s="9" t="n">
        <v>2523</v>
      </c>
    </row>
    <row r="230">
      <c r="A230" s="8" t="inlineStr">
        <is>
          <t>Operating expenses (detail)</t>
        </is>
      </c>
      <c r="B230" s="8" t="inlineStr">
        <is>
          <t>C40</t>
        </is>
      </c>
      <c r="C230" s="8" t="inlineStr">
        <is>
          <t>24e. All other expenses</t>
        </is>
      </c>
      <c r="D230" s="8" t="inlineStr">
        <is>
          <t>24e</t>
        </is>
      </c>
      <c r="E230" s="8" t="inlineStr">
        <is>
          <t>part_ix_expenses.all_other_expenses</t>
        </is>
      </c>
      <c r="F230" s="8" t="inlineStr">
        <is>
          <t>high</t>
        </is>
      </c>
      <c r="G230" s="9" t="n">
        <v>3392</v>
      </c>
    </row>
    <row r="231">
      <c r="A231" s="8" t="inlineStr">
        <is>
          <t>Operating expenses (detail)</t>
        </is>
      </c>
      <c r="B231" s="8" t="inlineStr">
        <is>
          <t>D40</t>
        </is>
      </c>
      <c r="C231" s="8" t="inlineStr">
        <is>
          <t>24e. All other expenses</t>
        </is>
      </c>
      <c r="D231" s="8" t="inlineStr">
        <is>
          <t>24e</t>
        </is>
      </c>
      <c r="E231" s="8" t="inlineStr">
        <is>
          <t>part_ix_expenses.all_other_expenses</t>
        </is>
      </c>
      <c r="F231" s="8" t="inlineStr">
        <is>
          <t>high</t>
        </is>
      </c>
      <c r="G231" s="9" t="n">
        <v>2780</v>
      </c>
    </row>
    <row r="232">
      <c r="A232" s="8" t="inlineStr">
        <is>
          <t>Operating expenses (detail)</t>
        </is>
      </c>
      <c r="B232" s="8" t="inlineStr">
        <is>
          <t>E40</t>
        </is>
      </c>
      <c r="C232" s="8" t="inlineStr">
        <is>
          <t>24e. All other expenses</t>
        </is>
      </c>
      <c r="D232" s="8" t="inlineStr">
        <is>
          <t>24e</t>
        </is>
      </c>
      <c r="E232" s="8" t="inlineStr">
        <is>
          <t>part_ix_expenses.all_other_expenses</t>
        </is>
      </c>
      <c r="F232" s="8" t="inlineStr">
        <is>
          <t>high</t>
        </is>
      </c>
      <c r="G232" s="9" t="n">
        <v>2853</v>
      </c>
    </row>
    <row r="233">
      <c r="A233" s="8" t="inlineStr">
        <is>
          <t>Operating expenses (detail)</t>
        </is>
      </c>
      <c r="B233" s="8" t="inlineStr">
        <is>
          <t>F40</t>
        </is>
      </c>
      <c r="C233" s="8" t="inlineStr">
        <is>
          <t>24e. All other expenses</t>
        </is>
      </c>
      <c r="D233" s="8" t="inlineStr">
        <is>
          <t>24e</t>
        </is>
      </c>
      <c r="E233" s="8" t="inlineStr">
        <is>
          <t>part_ix_expenses.all_other_expenses</t>
        </is>
      </c>
      <c r="F233" s="8" t="inlineStr">
        <is>
          <t>high</t>
        </is>
      </c>
      <c r="G233" s="9" t="n">
        <v>2144</v>
      </c>
    </row>
    <row r="234">
      <c r="A234" s="8" t="inlineStr">
        <is>
          <t>Operating expenses (detail)</t>
        </is>
      </c>
      <c r="B234" s="8" t="inlineStr">
        <is>
          <t>G40</t>
        </is>
      </c>
      <c r="C234" s="8" t="inlineStr">
        <is>
          <t>24e. All other expenses</t>
        </is>
      </c>
      <c r="D234" s="8" t="inlineStr">
        <is>
          <t>24e</t>
        </is>
      </c>
      <c r="E234" s="8" t="inlineStr">
        <is>
          <t>part_ix_expenses.all_other_expenses</t>
        </is>
      </c>
      <c r="F234" s="8" t="inlineStr">
        <is>
          <t>high</t>
        </is>
      </c>
      <c r="G234" s="9" t="n">
        <v>4442</v>
      </c>
    </row>
    <row r="235">
      <c r="A235" s="8" t="inlineStr">
        <is>
          <t>Balance sheet (detail)</t>
        </is>
      </c>
      <c r="B235" s="8" t="inlineStr">
        <is>
          <t>B7</t>
        </is>
      </c>
      <c r="C235" s="8" t="inlineStr">
        <is>
          <t>1. Cash - non-interest-bearing</t>
        </is>
      </c>
      <c r="D235" s="8" t="inlineStr">
        <is>
          <t>1E</t>
        </is>
      </c>
      <c r="E235" s="8" t="inlineStr">
        <is>
          <t>part_x_balance_sheet.cash_noninterest_eoy</t>
        </is>
      </c>
      <c r="F235" s="8" t="inlineStr">
        <is>
          <t>high</t>
        </is>
      </c>
      <c r="G235" s="9" t="n">
        <v>141161</v>
      </c>
    </row>
    <row r="236">
      <c r="A236" s="8" t="inlineStr">
        <is>
          <t>Balance sheet (detail)</t>
        </is>
      </c>
      <c r="B236" s="8" t="inlineStr">
        <is>
          <t>C7</t>
        </is>
      </c>
      <c r="C236" s="8" t="inlineStr">
        <is>
          <t>1. Cash - non-interest-bearing</t>
        </is>
      </c>
      <c r="D236" s="8" t="inlineStr">
        <is>
          <t>1E</t>
        </is>
      </c>
      <c r="E236" s="8" t="inlineStr">
        <is>
          <t>part_x_balance_sheet.cash_noninterest_eoy</t>
        </is>
      </c>
      <c r="F236" s="8" t="inlineStr">
        <is>
          <t>high</t>
        </is>
      </c>
      <c r="G236" s="9" t="n">
        <v>106290</v>
      </c>
    </row>
    <row r="237">
      <c r="A237" s="8" t="inlineStr">
        <is>
          <t>Balance sheet (detail)</t>
        </is>
      </c>
      <c r="B237" s="8" t="inlineStr">
        <is>
          <t>D7</t>
        </is>
      </c>
      <c r="C237" s="8" t="inlineStr">
        <is>
          <t>1. Cash - non-interest-bearing</t>
        </is>
      </c>
      <c r="D237" s="8" t="inlineStr">
        <is>
          <t>1E</t>
        </is>
      </c>
      <c r="E237" s="8" t="inlineStr">
        <is>
          <t>part_x_balance_sheet.cash_noninterest_eoy</t>
        </is>
      </c>
      <c r="F237" s="8" t="inlineStr">
        <is>
          <t>high</t>
        </is>
      </c>
      <c r="G237" s="9" t="n">
        <v>216148</v>
      </c>
    </row>
    <row r="238">
      <c r="A238" s="8" t="inlineStr">
        <is>
          <t>Balance sheet (detail)</t>
        </is>
      </c>
      <c r="B238" s="8" t="inlineStr">
        <is>
          <t>E7</t>
        </is>
      </c>
      <c r="C238" s="8" t="inlineStr">
        <is>
          <t>1. Cash - non-interest-bearing</t>
        </is>
      </c>
      <c r="D238" s="8" t="inlineStr">
        <is>
          <t>1E</t>
        </is>
      </c>
      <c r="E238" s="8" t="inlineStr">
        <is>
          <t>part_x_balance_sheet.cash_noninterest_eoy</t>
        </is>
      </c>
      <c r="F238" s="8" t="inlineStr">
        <is>
          <t>high</t>
        </is>
      </c>
      <c r="G238" s="9" t="n">
        <v>209475</v>
      </c>
    </row>
    <row r="239">
      <c r="A239" s="8" t="inlineStr">
        <is>
          <t>Balance sheet (detail)</t>
        </is>
      </c>
      <c r="B239" s="8" t="inlineStr">
        <is>
          <t>F7</t>
        </is>
      </c>
      <c r="C239" s="8" t="inlineStr">
        <is>
          <t>1. Cash - non-interest-bearing</t>
        </is>
      </c>
      <c r="D239" s="8" t="inlineStr">
        <is>
          <t>1E</t>
        </is>
      </c>
      <c r="E239" s="8" t="inlineStr">
        <is>
          <t>part_x_balance_sheet.cash_noninterest_eoy</t>
        </is>
      </c>
      <c r="F239" s="8" t="inlineStr">
        <is>
          <t>high</t>
        </is>
      </c>
      <c r="G239" s="9" t="n">
        <v>308059</v>
      </c>
    </row>
    <row r="240">
      <c r="A240" s="8" t="inlineStr">
        <is>
          <t>Balance sheet (detail)</t>
        </is>
      </c>
      <c r="B240" s="8" t="inlineStr">
        <is>
          <t>G7</t>
        </is>
      </c>
      <c r="C240" s="8" t="inlineStr">
        <is>
          <t>1. Cash - non-interest-bearing</t>
        </is>
      </c>
      <c r="D240" s="8" t="inlineStr">
        <is>
          <t>1E</t>
        </is>
      </c>
      <c r="E240" s="8" t="inlineStr">
        <is>
          <t>part_x_balance_sheet.cash_noninterest_eoy</t>
        </is>
      </c>
      <c r="F240" s="8" t="inlineStr">
        <is>
          <t>high</t>
        </is>
      </c>
      <c r="G240" s="9" t="n">
        <v>396287</v>
      </c>
    </row>
    <row r="241">
      <c r="A241" s="8" t="inlineStr">
        <is>
          <t>Balance sheet (detail)</t>
        </is>
      </c>
      <c r="B241" s="8" t="inlineStr">
        <is>
          <t>B8</t>
        </is>
      </c>
      <c r="C241" s="8" t="inlineStr">
        <is>
          <t>2. Savings and temporary cash investments</t>
        </is>
      </c>
      <c r="D241" s="8" t="inlineStr">
        <is>
          <t>2E</t>
        </is>
      </c>
      <c r="E241" s="8" t="inlineStr">
        <is>
          <t>part_x_balance_sheet.savings_temp_invest_eoy</t>
        </is>
      </c>
      <c r="F241" s="8" t="inlineStr">
        <is>
          <t>high</t>
        </is>
      </c>
      <c r="G241" s="9" t="n">
        <v>0</v>
      </c>
    </row>
    <row r="242">
      <c r="A242" s="8" t="inlineStr">
        <is>
          <t>Balance sheet (detail)</t>
        </is>
      </c>
      <c r="B242" s="8" t="inlineStr">
        <is>
          <t>C8</t>
        </is>
      </c>
      <c r="C242" s="8" t="inlineStr">
        <is>
          <t>2. Savings and temporary cash investments</t>
        </is>
      </c>
      <c r="D242" s="8" t="inlineStr">
        <is>
          <t>2E</t>
        </is>
      </c>
      <c r="E242" s="8" t="inlineStr">
        <is>
          <t>part_x_balance_sheet.savings_temp_invest_eoy</t>
        </is>
      </c>
      <c r="F242" s="8" t="inlineStr">
        <is>
          <t>high</t>
        </is>
      </c>
      <c r="G242" s="9" t="n">
        <v>0</v>
      </c>
    </row>
    <row r="243">
      <c r="A243" s="8" t="inlineStr">
        <is>
          <t>Balance sheet (detail)</t>
        </is>
      </c>
      <c r="B243" s="8" t="inlineStr">
        <is>
          <t>D8</t>
        </is>
      </c>
      <c r="C243" s="8" t="inlineStr">
        <is>
          <t>2. Savings and temporary cash investments</t>
        </is>
      </c>
      <c r="D243" s="8" t="inlineStr">
        <is>
          <t>2E</t>
        </is>
      </c>
      <c r="E243" s="8" t="inlineStr">
        <is>
          <t>part_x_balance_sheet.savings_temp_invest_eoy</t>
        </is>
      </c>
      <c r="F243" s="8" t="inlineStr">
        <is>
          <t>high</t>
        </is>
      </c>
      <c r="G243" s="9" t="n">
        <v>0</v>
      </c>
    </row>
    <row r="244">
      <c r="A244" s="8" t="inlineStr">
        <is>
          <t>Balance sheet (detail)</t>
        </is>
      </c>
      <c r="B244" s="8" t="inlineStr">
        <is>
          <t>E8</t>
        </is>
      </c>
      <c r="C244" s="8" t="inlineStr">
        <is>
          <t>2. Savings and temporary cash investments</t>
        </is>
      </c>
      <c r="D244" s="8" t="inlineStr">
        <is>
          <t>2E</t>
        </is>
      </c>
      <c r="E244" s="8" t="inlineStr">
        <is>
          <t>part_x_balance_sheet.savings_temp_invest_eoy</t>
        </is>
      </c>
      <c r="F244" s="8" t="inlineStr">
        <is>
          <t>high</t>
        </is>
      </c>
      <c r="G244" s="9" t="n">
        <v>0</v>
      </c>
    </row>
    <row r="245">
      <c r="A245" s="8" t="inlineStr">
        <is>
          <t>Balance sheet (detail)</t>
        </is>
      </c>
      <c r="B245" s="8" t="inlineStr">
        <is>
          <t>F8</t>
        </is>
      </c>
      <c r="C245" s="8" t="inlineStr">
        <is>
          <t>2. Savings and temporary cash investments</t>
        </is>
      </c>
      <c r="D245" s="8" t="inlineStr">
        <is>
          <t>2E</t>
        </is>
      </c>
      <c r="E245" s="8" t="inlineStr">
        <is>
          <t>part_x_balance_sheet.savings_temp_invest_eoy</t>
        </is>
      </c>
      <c r="F245" s="8" t="inlineStr">
        <is>
          <t>high</t>
        </is>
      </c>
      <c r="G245" s="9" t="n">
        <v>0</v>
      </c>
    </row>
    <row r="246">
      <c r="A246" s="8" t="inlineStr">
        <is>
          <t>Balance sheet (detail)</t>
        </is>
      </c>
      <c r="B246" s="8" t="inlineStr">
        <is>
          <t>G8</t>
        </is>
      </c>
      <c r="C246" s="8" t="inlineStr">
        <is>
          <t>2. Savings and temporary cash investments</t>
        </is>
      </c>
      <c r="D246" s="8" t="inlineStr">
        <is>
          <t>2E</t>
        </is>
      </c>
      <c r="E246" s="8" t="inlineStr">
        <is>
          <t>part_x_balance_sheet.savings_temp_invest_eoy</t>
        </is>
      </c>
      <c r="F246" s="8" t="inlineStr">
        <is>
          <t>high</t>
        </is>
      </c>
      <c r="G246" s="9" t="n">
        <v>0</v>
      </c>
    </row>
    <row r="247">
      <c r="A247" s="8" t="inlineStr">
        <is>
          <t>Balance sheet (detail)</t>
        </is>
      </c>
      <c r="B247" s="8" t="inlineStr">
        <is>
          <t>B9</t>
        </is>
      </c>
      <c r="C247" s="8" t="inlineStr">
        <is>
          <t>3. Pledges and grants receivable, net</t>
        </is>
      </c>
      <c r="D247" s="8" t="inlineStr">
        <is>
          <t>3E</t>
        </is>
      </c>
      <c r="E247" s="8" t="inlineStr">
        <is>
          <t>part_x_balance_sheet.pledges_grants_receivable_eoy</t>
        </is>
      </c>
      <c r="F247" s="8" t="inlineStr">
        <is>
          <t>high</t>
        </is>
      </c>
      <c r="G247" s="9" t="n">
        <v>0</v>
      </c>
    </row>
    <row r="248">
      <c r="A248" s="8" t="inlineStr">
        <is>
          <t>Balance sheet (detail)</t>
        </is>
      </c>
      <c r="B248" s="8" t="inlineStr">
        <is>
          <t>C9</t>
        </is>
      </c>
      <c r="C248" s="8" t="inlineStr">
        <is>
          <t>3. Pledges and grants receivable, net</t>
        </is>
      </c>
      <c r="D248" s="8" t="inlineStr">
        <is>
          <t>3E</t>
        </is>
      </c>
      <c r="E248" s="8" t="inlineStr">
        <is>
          <t>part_x_balance_sheet.pledges_grants_receivable_eoy</t>
        </is>
      </c>
      <c r="F248" s="8" t="inlineStr">
        <is>
          <t>high</t>
        </is>
      </c>
      <c r="G248" s="9" t="n">
        <v>0</v>
      </c>
    </row>
    <row r="249">
      <c r="A249" s="8" t="inlineStr">
        <is>
          <t>Balance sheet (detail)</t>
        </is>
      </c>
      <c r="B249" s="8" t="inlineStr">
        <is>
          <t>D9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E9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F9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G9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B10</t>
        </is>
      </c>
      <c r="C253" s="8" t="inlineStr">
        <is>
          <t>4. Accounts receivable, net</t>
        </is>
      </c>
      <c r="D253" s="8" t="inlineStr">
        <is>
          <t>4E</t>
        </is>
      </c>
      <c r="E253" s="8" t="inlineStr">
        <is>
          <t>part_x_balance_sheet.accounts_receivable_eoy</t>
        </is>
      </c>
      <c r="F253" s="8" t="inlineStr">
        <is>
          <t>high</t>
        </is>
      </c>
      <c r="G253" s="9" t="n">
        <v>73810</v>
      </c>
    </row>
    <row r="254">
      <c r="A254" s="8" t="inlineStr">
        <is>
          <t>Balance sheet (detail)</t>
        </is>
      </c>
      <c r="B254" s="8" t="inlineStr">
        <is>
          <t>C10</t>
        </is>
      </c>
      <c r="C254" s="8" t="inlineStr">
        <is>
          <t>4. Accounts receivable, net</t>
        </is>
      </c>
      <c r="D254" s="8" t="inlineStr">
        <is>
          <t>4E</t>
        </is>
      </c>
      <c r="E254" s="8" t="inlineStr">
        <is>
          <t>part_x_balance_sheet.accounts_receivable_eoy</t>
        </is>
      </c>
      <c r="F254" s="8" t="inlineStr">
        <is>
          <t>high</t>
        </is>
      </c>
      <c r="G254" s="9" t="n">
        <v>122629</v>
      </c>
    </row>
    <row r="255">
      <c r="A255" s="8" t="inlineStr">
        <is>
          <t>Balance sheet (detail)</t>
        </is>
      </c>
      <c r="B255" s="8" t="inlineStr">
        <is>
          <t>D10</t>
        </is>
      </c>
      <c r="C255" s="8" t="inlineStr">
        <is>
          <t>4. Accounts receivable, net</t>
        </is>
      </c>
      <c r="D255" s="8" t="inlineStr">
        <is>
          <t>4E</t>
        </is>
      </c>
      <c r="E255" s="8" t="inlineStr">
        <is>
          <t>part_x_balance_sheet.accounts_receivable_eoy</t>
        </is>
      </c>
      <c r="F255" s="8" t="inlineStr">
        <is>
          <t>high</t>
        </is>
      </c>
      <c r="G255" s="9" t="n">
        <v>97354</v>
      </c>
    </row>
    <row r="256">
      <c r="A256" s="8" t="inlineStr">
        <is>
          <t>Balance sheet (detail)</t>
        </is>
      </c>
      <c r="B256" s="8" t="inlineStr">
        <is>
          <t>E10</t>
        </is>
      </c>
      <c r="C256" s="8" t="inlineStr">
        <is>
          <t>4. Accounts receivable, net</t>
        </is>
      </c>
      <c r="D256" s="8" t="inlineStr">
        <is>
          <t>4E</t>
        </is>
      </c>
      <c r="E256" s="8" t="inlineStr">
        <is>
          <t>part_x_balance_sheet.accounts_receivable_eoy</t>
        </is>
      </c>
      <c r="F256" s="8" t="inlineStr">
        <is>
          <t>high</t>
        </is>
      </c>
      <c r="G256" s="9" t="n">
        <v>92864</v>
      </c>
    </row>
    <row r="257">
      <c r="A257" s="8" t="inlineStr">
        <is>
          <t>Balance sheet (detail)</t>
        </is>
      </c>
      <c r="B257" s="8" t="inlineStr">
        <is>
          <t>F10</t>
        </is>
      </c>
      <c r="C257" s="8" t="inlineStr">
        <is>
          <t>4. Accounts receivable, net</t>
        </is>
      </c>
      <c r="D257" s="8" t="inlineStr">
        <is>
          <t>4E</t>
        </is>
      </c>
      <c r="E257" s="8" t="inlineStr">
        <is>
          <t>part_x_balance_sheet.accounts_receivable_eoy</t>
        </is>
      </c>
      <c r="F257" s="8" t="inlineStr">
        <is>
          <t>high</t>
        </is>
      </c>
      <c r="G257" s="9" t="n">
        <v>199505</v>
      </c>
    </row>
    <row r="258">
      <c r="A258" s="8" t="inlineStr">
        <is>
          <t>Balance sheet (detail)</t>
        </is>
      </c>
      <c r="B258" s="8" t="inlineStr">
        <is>
          <t>G10</t>
        </is>
      </c>
      <c r="C258" s="8" t="inlineStr">
        <is>
          <t>4. Accounts receivable, net</t>
        </is>
      </c>
      <c r="D258" s="8" t="inlineStr">
        <is>
          <t>4E</t>
        </is>
      </c>
      <c r="E258" s="8" t="inlineStr">
        <is>
          <t>part_x_balance_sheet.accounts_receivable_eoy</t>
        </is>
      </c>
      <c r="F258" s="8" t="inlineStr">
        <is>
          <t>high</t>
        </is>
      </c>
      <c r="G258" s="9" t="n">
        <v>145168</v>
      </c>
    </row>
    <row r="259">
      <c r="A259" s="8" t="inlineStr">
        <is>
          <t>Balance sheet (detail)</t>
        </is>
      </c>
      <c r="B259" s="8" t="inlineStr">
        <is>
          <t>B11</t>
        </is>
      </c>
      <c r="C259" s="8" t="inlineStr">
        <is>
          <t>5. Receivables from officers/directors/trustees</t>
        </is>
      </c>
      <c r="D259" s="8" t="inlineStr">
        <is>
          <t>5E</t>
        </is>
      </c>
      <c r="E259" s="8" t="inlineStr">
        <is>
          <t>part_x_balance_sheet.receivables_officers_eoy</t>
        </is>
      </c>
      <c r="F259" s="8" t="inlineStr">
        <is>
          <t>high</t>
        </is>
      </c>
      <c r="G259" s="9" t="n">
        <v>0</v>
      </c>
    </row>
    <row r="260">
      <c r="A260" s="8" t="inlineStr">
        <is>
          <t>Balance sheet (detail)</t>
        </is>
      </c>
      <c r="B260" s="8" t="inlineStr">
        <is>
          <t>C11</t>
        </is>
      </c>
      <c r="C260" s="8" t="inlineStr">
        <is>
          <t>5. Receivables from officers/directors/trustees</t>
        </is>
      </c>
      <c r="D260" s="8" t="inlineStr">
        <is>
          <t>5E</t>
        </is>
      </c>
      <c r="E260" s="8" t="inlineStr">
        <is>
          <t>part_x_balance_sheet.receivables_officers_eoy</t>
        </is>
      </c>
      <c r="F260" s="8" t="inlineStr">
        <is>
          <t>high</t>
        </is>
      </c>
      <c r="G260" s="9" t="n">
        <v>0</v>
      </c>
    </row>
    <row r="261">
      <c r="A261" s="8" t="inlineStr">
        <is>
          <t>Balance sheet (detail)</t>
        </is>
      </c>
      <c r="B261" s="8" t="inlineStr">
        <is>
          <t>D11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E11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F11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G11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B12</t>
        </is>
      </c>
      <c r="C265" s="8" t="inlineStr">
        <is>
          <t>6. Receivables from disqualified persons</t>
        </is>
      </c>
      <c r="D265" s="8" t="inlineStr">
        <is>
          <t>6E</t>
        </is>
      </c>
      <c r="E265" s="8" t="inlineStr">
        <is>
          <t>part_x_balance_sheet.receivables_disqualified_eoy</t>
        </is>
      </c>
      <c r="F265" s="8" t="inlineStr">
        <is>
          <t>high</t>
        </is>
      </c>
      <c r="G265" s="9" t="n">
        <v>0</v>
      </c>
    </row>
    <row r="266">
      <c r="A266" s="8" t="inlineStr">
        <is>
          <t>Balance sheet (detail)</t>
        </is>
      </c>
      <c r="B266" s="8" t="inlineStr">
        <is>
          <t>C12</t>
        </is>
      </c>
      <c r="C266" s="8" t="inlineStr">
        <is>
          <t>6. Receivables from disqualified persons</t>
        </is>
      </c>
      <c r="D266" s="8" t="inlineStr">
        <is>
          <t>6E</t>
        </is>
      </c>
      <c r="E266" s="8" t="inlineStr">
        <is>
          <t>part_x_balance_sheet.receivables_disqualified_eoy</t>
        </is>
      </c>
      <c r="F266" s="8" t="inlineStr">
        <is>
          <t>high</t>
        </is>
      </c>
      <c r="G266" s="9" t="n">
        <v>0</v>
      </c>
    </row>
    <row r="267">
      <c r="A267" s="8" t="inlineStr">
        <is>
          <t>Balance sheet (detail)</t>
        </is>
      </c>
      <c r="B267" s="8" t="inlineStr">
        <is>
          <t>D12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E12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F12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G12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B13</t>
        </is>
      </c>
      <c r="C271" s="8" t="inlineStr">
        <is>
          <t>7. Notes and loans receivable, net</t>
        </is>
      </c>
      <c r="D271" s="8" t="inlineStr">
        <is>
          <t>7E</t>
        </is>
      </c>
      <c r="E271" s="8" t="inlineStr">
        <is>
          <t>part_x_balance_sheet.notes_loans_receivable_eoy</t>
        </is>
      </c>
      <c r="F271" s="8" t="inlineStr">
        <is>
          <t>high</t>
        </is>
      </c>
      <c r="G271" s="9" t="n">
        <v>0</v>
      </c>
    </row>
    <row r="272">
      <c r="A272" s="8" t="inlineStr">
        <is>
          <t>Balance sheet (detail)</t>
        </is>
      </c>
      <c r="B272" s="8" t="inlineStr">
        <is>
          <t>C13</t>
        </is>
      </c>
      <c r="C272" s="8" t="inlineStr">
        <is>
          <t>7. Notes and loans receivable, net</t>
        </is>
      </c>
      <c r="D272" s="8" t="inlineStr">
        <is>
          <t>7E</t>
        </is>
      </c>
      <c r="E272" s="8" t="inlineStr">
        <is>
          <t>part_x_balance_sheet.notes_loans_receivable_eoy</t>
        </is>
      </c>
      <c r="F272" s="8" t="inlineStr">
        <is>
          <t>high</t>
        </is>
      </c>
      <c r="G272" s="9" t="n">
        <v>0</v>
      </c>
    </row>
    <row r="273">
      <c r="A273" s="8" t="inlineStr">
        <is>
          <t>Balance sheet (detail)</t>
        </is>
      </c>
      <c r="B273" s="8" t="inlineStr">
        <is>
          <t>D13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E13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F13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G13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B14</t>
        </is>
      </c>
      <c r="C277" s="8" t="inlineStr">
        <is>
          <t>8. Inventories for sale or use</t>
        </is>
      </c>
      <c r="D277" s="8" t="inlineStr">
        <is>
          <t>8E</t>
        </is>
      </c>
      <c r="E277" s="8" t="inlineStr">
        <is>
          <t>part_x_balance_sheet.inventories_eoy</t>
        </is>
      </c>
      <c r="F277" s="8" t="inlineStr">
        <is>
          <t>high</t>
        </is>
      </c>
      <c r="G277" s="9" t="n">
        <v>0</v>
      </c>
    </row>
    <row r="278">
      <c r="A278" s="8" t="inlineStr">
        <is>
          <t>Balance sheet (detail)</t>
        </is>
      </c>
      <c r="B278" s="8" t="inlineStr">
        <is>
          <t>C14</t>
        </is>
      </c>
      <c r="C278" s="8" t="inlineStr">
        <is>
          <t>8. Inventories for sale or use</t>
        </is>
      </c>
      <c r="D278" s="8" t="inlineStr">
        <is>
          <t>8E</t>
        </is>
      </c>
      <c r="E278" s="8" t="inlineStr">
        <is>
          <t>part_x_balance_sheet.inventories_eoy</t>
        </is>
      </c>
      <c r="F278" s="8" t="inlineStr">
        <is>
          <t>high</t>
        </is>
      </c>
      <c r="G278" s="9" t="n">
        <v>0</v>
      </c>
    </row>
    <row r="279">
      <c r="A279" s="8" t="inlineStr">
        <is>
          <t>Balance sheet (detail)</t>
        </is>
      </c>
      <c r="B279" s="8" t="inlineStr">
        <is>
          <t>D14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E14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F14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G14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B15</t>
        </is>
      </c>
      <c r="C283" s="8" t="inlineStr">
        <is>
          <t>9. Prepaid expenses and deferred charges</t>
        </is>
      </c>
      <c r="D283" s="8" t="inlineStr">
        <is>
          <t>9E</t>
        </is>
      </c>
      <c r="E283" s="8" t="inlineStr">
        <is>
          <t>part_x_balance_sheet.prepaid_expenses_eoy</t>
        </is>
      </c>
      <c r="F283" s="8" t="inlineStr">
        <is>
          <t>high</t>
        </is>
      </c>
      <c r="G283" s="9" t="n">
        <v>0</v>
      </c>
    </row>
    <row r="284">
      <c r="A284" s="8" t="inlineStr">
        <is>
          <t>Balance sheet (detail)</t>
        </is>
      </c>
      <c r="B284" s="8" t="inlineStr">
        <is>
          <t>C15</t>
        </is>
      </c>
      <c r="C284" s="8" t="inlineStr">
        <is>
          <t>9. Prepaid expenses and deferred charges</t>
        </is>
      </c>
      <c r="D284" s="8" t="inlineStr">
        <is>
          <t>9E</t>
        </is>
      </c>
      <c r="E284" s="8" t="inlineStr">
        <is>
          <t>part_x_balance_sheet.prepaid_expenses_eoy</t>
        </is>
      </c>
      <c r="F284" s="8" t="inlineStr">
        <is>
          <t>high</t>
        </is>
      </c>
      <c r="G284" s="9" t="n">
        <v>0</v>
      </c>
    </row>
    <row r="285">
      <c r="A285" s="8" t="inlineStr">
        <is>
          <t>Balance sheet (detail)</t>
        </is>
      </c>
      <c r="B285" s="8" t="inlineStr">
        <is>
          <t>D15</t>
        </is>
      </c>
      <c r="C285" s="8" t="inlineStr">
        <is>
          <t>9. Prepaid expenses and deferred charges</t>
        </is>
      </c>
      <c r="D285" s="8" t="inlineStr">
        <is>
          <t>9E</t>
        </is>
      </c>
      <c r="E285" s="8" t="inlineStr">
        <is>
          <t>part_x_balance_sheet.prepaid_expenses_eoy</t>
        </is>
      </c>
      <c r="F285" s="8" t="inlineStr">
        <is>
          <t>high</t>
        </is>
      </c>
      <c r="G285" s="9" t="n">
        <v>0</v>
      </c>
    </row>
    <row r="286">
      <c r="A286" s="8" t="inlineStr">
        <is>
          <t>Balance sheet (detail)</t>
        </is>
      </c>
      <c r="B286" s="8" t="inlineStr">
        <is>
          <t>E15</t>
        </is>
      </c>
      <c r="C286" s="8" t="inlineStr">
        <is>
          <t>9. Prepaid expenses and deferred charges</t>
        </is>
      </c>
      <c r="D286" s="8" t="inlineStr">
        <is>
          <t>9E</t>
        </is>
      </c>
      <c r="E286" s="8" t="inlineStr">
        <is>
          <t>part_x_balance_sheet.prepaid_expenses_eoy</t>
        </is>
      </c>
      <c r="F286" s="8" t="inlineStr">
        <is>
          <t>high</t>
        </is>
      </c>
      <c r="G286" s="9" t="n">
        <v>0</v>
      </c>
    </row>
    <row r="287">
      <c r="A287" s="8" t="inlineStr">
        <is>
          <t>Balance sheet (detail)</t>
        </is>
      </c>
      <c r="B287" s="8" t="inlineStr">
        <is>
          <t>F15</t>
        </is>
      </c>
      <c r="C287" s="8" t="inlineStr">
        <is>
          <t>9. Prepaid expenses and deferred charges</t>
        </is>
      </c>
      <c r="D287" s="8" t="inlineStr">
        <is>
          <t>9E</t>
        </is>
      </c>
      <c r="E287" s="8" t="inlineStr">
        <is>
          <t>part_x_balance_sheet.prepaid_expenses_eoy</t>
        </is>
      </c>
      <c r="F287" s="8" t="inlineStr">
        <is>
          <t>high</t>
        </is>
      </c>
      <c r="G287" s="9" t="n">
        <v>0</v>
      </c>
    </row>
    <row r="288">
      <c r="A288" s="8" t="inlineStr">
        <is>
          <t>Balance sheet (detail)</t>
        </is>
      </c>
      <c r="B288" s="8" t="inlineStr">
        <is>
          <t>G15</t>
        </is>
      </c>
      <c r="C288" s="8" t="inlineStr">
        <is>
          <t>9. Prepaid expenses and deferred charges</t>
        </is>
      </c>
      <c r="D288" s="8" t="inlineStr">
        <is>
          <t>9E</t>
        </is>
      </c>
      <c r="E288" s="8" t="inlineStr">
        <is>
          <t>part_x_balance_sheet.prepaid_expenses_eoy</t>
        </is>
      </c>
      <c r="F288" s="8" t="inlineStr">
        <is>
          <t>high</t>
        </is>
      </c>
      <c r="G288" s="9" t="n">
        <v>0</v>
      </c>
    </row>
    <row r="289">
      <c r="A289" s="8" t="inlineStr">
        <is>
          <t>Balance sheet (detail)</t>
        </is>
      </c>
      <c r="B289" s="8" t="inlineStr">
        <is>
          <t>B16</t>
        </is>
      </c>
      <c r="C289" s="8" t="inlineStr">
        <is>
          <t>10c. Land, buildings, and equipment, net</t>
        </is>
      </c>
      <c r="D289" s="8" t="inlineStr">
        <is>
          <t>10cE</t>
        </is>
      </c>
      <c r="E289" s="8" t="inlineStr">
        <is>
          <t>part_x_balance_sheet.land_bldg_equip_net_eoy</t>
        </is>
      </c>
      <c r="F289" s="8" t="inlineStr">
        <is>
          <t>high</t>
        </is>
      </c>
      <c r="G289" s="9" t="n">
        <v>234464</v>
      </c>
    </row>
    <row r="290">
      <c r="A290" s="8" t="inlineStr">
        <is>
          <t>Balance sheet (detail)</t>
        </is>
      </c>
      <c r="B290" s="8" t="inlineStr">
        <is>
          <t>C16</t>
        </is>
      </c>
      <c r="C290" s="8" t="inlineStr">
        <is>
          <t>10c. Land, buildings, and equipment, net</t>
        </is>
      </c>
      <c r="D290" s="8" t="inlineStr">
        <is>
          <t>10cE</t>
        </is>
      </c>
      <c r="E290" s="8" t="inlineStr">
        <is>
          <t>part_x_balance_sheet.land_bldg_equip_net_eoy</t>
        </is>
      </c>
      <c r="F290" s="8" t="inlineStr">
        <is>
          <t>high</t>
        </is>
      </c>
      <c r="G290" s="9" t="n">
        <v>205982</v>
      </c>
    </row>
    <row r="291">
      <c r="A291" s="8" t="inlineStr">
        <is>
          <t>Balance sheet (detail)</t>
        </is>
      </c>
      <c r="B291" s="8" t="inlineStr">
        <is>
          <t>D16</t>
        </is>
      </c>
      <c r="C291" s="8" t="inlineStr">
        <is>
          <t>10c. Land, buildings, and equipment, net</t>
        </is>
      </c>
      <c r="D291" s="8" t="inlineStr">
        <is>
          <t>10cE</t>
        </is>
      </c>
      <c r="E291" s="8" t="inlineStr">
        <is>
          <t>part_x_balance_sheet.land_bldg_equip_net_eoy</t>
        </is>
      </c>
      <c r="F291" s="8" t="inlineStr">
        <is>
          <t>high</t>
        </is>
      </c>
      <c r="G291" s="9" t="n">
        <v>183743</v>
      </c>
    </row>
    <row r="292">
      <c r="A292" s="8" t="inlineStr">
        <is>
          <t>Balance sheet (detail)</t>
        </is>
      </c>
      <c r="B292" s="8" t="inlineStr">
        <is>
          <t>E16</t>
        </is>
      </c>
      <c r="C292" s="8" t="inlineStr">
        <is>
          <t>10c. Land, buildings, and equipment, net</t>
        </is>
      </c>
      <c r="D292" s="8" t="inlineStr">
        <is>
          <t>10cE</t>
        </is>
      </c>
      <c r="E292" s="8" t="inlineStr">
        <is>
          <t>part_x_balance_sheet.land_bldg_equip_net_eoy</t>
        </is>
      </c>
      <c r="F292" s="8" t="inlineStr">
        <is>
          <t>high</t>
        </is>
      </c>
      <c r="G292" s="9" t="n">
        <v>199315</v>
      </c>
    </row>
    <row r="293">
      <c r="A293" s="8" t="inlineStr">
        <is>
          <t>Balance sheet (detail)</t>
        </is>
      </c>
      <c r="B293" s="8" t="inlineStr">
        <is>
          <t>F16</t>
        </is>
      </c>
      <c r="C293" s="8" t="inlineStr">
        <is>
          <t>10c. Land, buildings, and equipment, net</t>
        </is>
      </c>
      <c r="D293" s="8" t="inlineStr">
        <is>
          <t>10cE</t>
        </is>
      </c>
      <c r="E293" s="8" t="inlineStr">
        <is>
          <t>part_x_balance_sheet.land_bldg_equip_net_eoy</t>
        </is>
      </c>
      <c r="F293" s="8" t="inlineStr">
        <is>
          <t>high</t>
        </is>
      </c>
      <c r="G293" s="9" t="n">
        <v>173382</v>
      </c>
    </row>
    <row r="294">
      <c r="A294" s="8" t="inlineStr">
        <is>
          <t>Balance sheet (detail)</t>
        </is>
      </c>
      <c r="B294" s="8" t="inlineStr">
        <is>
          <t>G16</t>
        </is>
      </c>
      <c r="C294" s="8" t="inlineStr">
        <is>
          <t>10c. Land, buildings, and equipment, net</t>
        </is>
      </c>
      <c r="D294" s="8" t="inlineStr">
        <is>
          <t>10cE</t>
        </is>
      </c>
      <c r="E294" s="8" t="inlineStr">
        <is>
          <t>part_x_balance_sheet.land_bldg_equip_net_eoy</t>
        </is>
      </c>
      <c r="F294" s="8" t="inlineStr">
        <is>
          <t>high</t>
        </is>
      </c>
      <c r="G294" s="9" t="n">
        <v>146747</v>
      </c>
    </row>
    <row r="295">
      <c r="A295" s="8" t="inlineStr">
        <is>
          <t>Balance sheet (detail)</t>
        </is>
      </c>
      <c r="B295" s="8" t="inlineStr">
        <is>
          <t>B17</t>
        </is>
      </c>
      <c r="C295" s="8" t="inlineStr">
        <is>
          <t>11. Investments - publicly traded securities</t>
        </is>
      </c>
      <c r="D295" s="8" t="inlineStr">
        <is>
          <t>11E</t>
        </is>
      </c>
      <c r="E295" s="8" t="inlineStr">
        <is>
          <t>part_x_balance_sheet.investments_public_securities_eoy</t>
        </is>
      </c>
      <c r="F295" s="8" t="inlineStr">
        <is>
          <t>high</t>
        </is>
      </c>
      <c r="G295" s="9" t="n">
        <v>0</v>
      </c>
    </row>
    <row r="296">
      <c r="A296" s="8" t="inlineStr">
        <is>
          <t>Balance sheet (detail)</t>
        </is>
      </c>
      <c r="B296" s="8" t="inlineStr">
        <is>
          <t>C17</t>
        </is>
      </c>
      <c r="C296" s="8" t="inlineStr">
        <is>
          <t>11. Investments - publicly traded securities</t>
        </is>
      </c>
      <c r="D296" s="8" t="inlineStr">
        <is>
          <t>11E</t>
        </is>
      </c>
      <c r="E296" s="8" t="inlineStr">
        <is>
          <t>part_x_balance_sheet.investments_public_securities_eoy</t>
        </is>
      </c>
      <c r="F296" s="8" t="inlineStr">
        <is>
          <t>high</t>
        </is>
      </c>
      <c r="G296" s="9" t="n">
        <v>0</v>
      </c>
    </row>
    <row r="297">
      <c r="A297" s="8" t="inlineStr">
        <is>
          <t>Balance sheet (detail)</t>
        </is>
      </c>
      <c r="B297" s="8" t="inlineStr">
        <is>
          <t>D17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E17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F17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G17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B18</t>
        </is>
      </c>
      <c r="C301" s="8" t="inlineStr">
        <is>
          <t>12. Investments - other securities</t>
        </is>
      </c>
      <c r="D301" s="8" t="inlineStr">
        <is>
          <t>12E</t>
        </is>
      </c>
      <c r="E301" s="8" t="inlineStr">
        <is>
          <t>part_x_balance_sheet.investments_other_securities_eoy</t>
        </is>
      </c>
      <c r="F301" s="8" t="inlineStr">
        <is>
          <t>high</t>
        </is>
      </c>
      <c r="G301" s="9" t="n">
        <v>0</v>
      </c>
    </row>
    <row r="302">
      <c r="A302" s="8" t="inlineStr">
        <is>
          <t>Balance sheet (detail)</t>
        </is>
      </c>
      <c r="B302" s="8" t="inlineStr">
        <is>
          <t>C18</t>
        </is>
      </c>
      <c r="C302" s="8" t="inlineStr">
        <is>
          <t>12. Investments - other securities</t>
        </is>
      </c>
      <c r="D302" s="8" t="inlineStr">
        <is>
          <t>12E</t>
        </is>
      </c>
      <c r="E302" s="8" t="inlineStr">
        <is>
          <t>part_x_balance_sheet.investments_other_securities_eoy</t>
        </is>
      </c>
      <c r="F302" s="8" t="inlineStr">
        <is>
          <t>high</t>
        </is>
      </c>
      <c r="G302" s="9" t="n">
        <v>0</v>
      </c>
    </row>
    <row r="303">
      <c r="A303" s="8" t="inlineStr">
        <is>
          <t>Balance sheet (detail)</t>
        </is>
      </c>
      <c r="B303" s="8" t="inlineStr">
        <is>
          <t>D18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E18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F18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G18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B19</t>
        </is>
      </c>
      <c r="C307" s="8" t="inlineStr">
        <is>
          <t>13. Investments - program-related</t>
        </is>
      </c>
      <c r="D307" s="8" t="inlineStr">
        <is>
          <t>13E</t>
        </is>
      </c>
      <c r="E307" s="8" t="inlineStr">
        <is>
          <t>part_x_balance_sheet.investments_program_related_eoy</t>
        </is>
      </c>
      <c r="F307" s="8" t="inlineStr">
        <is>
          <t>high</t>
        </is>
      </c>
      <c r="G307" s="9" t="n">
        <v>0</v>
      </c>
    </row>
    <row r="308">
      <c r="A308" s="8" t="inlineStr">
        <is>
          <t>Balance sheet (detail)</t>
        </is>
      </c>
      <c r="B308" s="8" t="inlineStr">
        <is>
          <t>C19</t>
        </is>
      </c>
      <c r="C308" s="8" t="inlineStr">
        <is>
          <t>13. Investments - program-related</t>
        </is>
      </c>
      <c r="D308" s="8" t="inlineStr">
        <is>
          <t>13E</t>
        </is>
      </c>
      <c r="E308" s="8" t="inlineStr">
        <is>
          <t>part_x_balance_sheet.investments_program_related_eoy</t>
        </is>
      </c>
      <c r="F308" s="8" t="inlineStr">
        <is>
          <t>high</t>
        </is>
      </c>
      <c r="G308" s="9" t="n">
        <v>0</v>
      </c>
    </row>
    <row r="309">
      <c r="A309" s="8" t="inlineStr">
        <is>
          <t>Balance sheet (detail)</t>
        </is>
      </c>
      <c r="B309" s="8" t="inlineStr">
        <is>
          <t>D19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E19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F19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G19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B20</t>
        </is>
      </c>
      <c r="C313" s="8" t="inlineStr">
        <is>
          <t>14. Intangible assets</t>
        </is>
      </c>
      <c r="D313" s="8" t="inlineStr">
        <is>
          <t>14E</t>
        </is>
      </c>
      <c r="E313" s="8" t="inlineStr">
        <is>
          <t>part_x_balance_sheet.intangible_assets_eoy</t>
        </is>
      </c>
      <c r="F313" s="8" t="inlineStr">
        <is>
          <t>high</t>
        </is>
      </c>
      <c r="G313" s="9" t="n">
        <v>0</v>
      </c>
    </row>
    <row r="314">
      <c r="A314" s="8" t="inlineStr">
        <is>
          <t>Balance sheet (detail)</t>
        </is>
      </c>
      <c r="B314" s="8" t="inlineStr">
        <is>
          <t>C20</t>
        </is>
      </c>
      <c r="C314" s="8" t="inlineStr">
        <is>
          <t>14. Intangible assets</t>
        </is>
      </c>
      <c r="D314" s="8" t="inlineStr">
        <is>
          <t>14E</t>
        </is>
      </c>
      <c r="E314" s="8" t="inlineStr">
        <is>
          <t>part_x_balance_sheet.intangible_assets_eoy</t>
        </is>
      </c>
      <c r="F314" s="8" t="inlineStr">
        <is>
          <t>high</t>
        </is>
      </c>
      <c r="G314" s="9" t="n">
        <v>0</v>
      </c>
    </row>
    <row r="315">
      <c r="A315" s="8" t="inlineStr">
        <is>
          <t>Balance sheet (detail)</t>
        </is>
      </c>
      <c r="B315" s="8" t="inlineStr">
        <is>
          <t>D20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E20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F20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G20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B21</t>
        </is>
      </c>
      <c r="C319" s="8" t="inlineStr">
        <is>
          <t>15. Other assets</t>
        </is>
      </c>
      <c r="D319" s="8" t="inlineStr">
        <is>
          <t>15E</t>
        </is>
      </c>
      <c r="E319" s="8" t="inlineStr">
        <is>
          <t>part_x_balance_sheet.other_assets_eoy</t>
        </is>
      </c>
      <c r="F319" s="8" t="inlineStr">
        <is>
          <t>high</t>
        </is>
      </c>
      <c r="G319" s="9" t="n">
        <v>7494</v>
      </c>
    </row>
    <row r="320">
      <c r="A320" s="8" t="inlineStr">
        <is>
          <t>Balance sheet (detail)</t>
        </is>
      </c>
      <c r="B320" s="8" t="inlineStr">
        <is>
          <t>C21</t>
        </is>
      </c>
      <c r="C320" s="8" t="inlineStr">
        <is>
          <t>15. Other assets</t>
        </is>
      </c>
      <c r="D320" s="8" t="inlineStr">
        <is>
          <t>15E</t>
        </is>
      </c>
      <c r="E320" s="8" t="inlineStr">
        <is>
          <t>part_x_balance_sheet.other_assets_eoy</t>
        </is>
      </c>
      <c r="F320" s="8" t="inlineStr">
        <is>
          <t>high</t>
        </is>
      </c>
      <c r="G320" s="9" t="n">
        <v>0</v>
      </c>
    </row>
    <row r="321">
      <c r="A321" s="8" t="inlineStr">
        <is>
          <t>Balance sheet (detail)</t>
        </is>
      </c>
      <c r="B321" s="8" t="inlineStr">
        <is>
          <t>D21</t>
        </is>
      </c>
      <c r="C321" s="8" t="inlineStr">
        <is>
          <t>15. Other assets</t>
        </is>
      </c>
      <c r="D321" s="8" t="inlineStr">
        <is>
          <t>15E</t>
        </is>
      </c>
      <c r="E321" s="8" t="inlineStr">
        <is>
          <t>part_x_balance_sheet.other_assets_eoy</t>
        </is>
      </c>
      <c r="F321" s="8" t="inlineStr">
        <is>
          <t>high</t>
        </is>
      </c>
      <c r="G321" s="9" t="n">
        <v>0</v>
      </c>
    </row>
    <row r="322">
      <c r="A322" s="8" t="inlineStr">
        <is>
          <t>Balance sheet (detail)</t>
        </is>
      </c>
      <c r="B322" s="8" t="inlineStr">
        <is>
          <t>E21</t>
        </is>
      </c>
      <c r="C322" s="8" t="inlineStr">
        <is>
          <t>15. Other assets</t>
        </is>
      </c>
      <c r="D322" s="8" t="inlineStr">
        <is>
          <t>15E</t>
        </is>
      </c>
      <c r="E322" s="8" t="inlineStr">
        <is>
          <t>part_x_balance_sheet.other_assets_eoy</t>
        </is>
      </c>
      <c r="F322" s="8" t="inlineStr">
        <is>
          <t>high</t>
        </is>
      </c>
      <c r="G322" s="9" t="n">
        <v>0</v>
      </c>
    </row>
    <row r="323">
      <c r="A323" s="8" t="inlineStr">
        <is>
          <t>Balance sheet (detail)</t>
        </is>
      </c>
      <c r="B323" s="8" t="inlineStr">
        <is>
          <t>F21</t>
        </is>
      </c>
      <c r="C323" s="8" t="inlineStr">
        <is>
          <t>15. Other assets</t>
        </is>
      </c>
      <c r="D323" s="8" t="inlineStr">
        <is>
          <t>15E</t>
        </is>
      </c>
      <c r="E323" s="8" t="inlineStr">
        <is>
          <t>part_x_balance_sheet.other_assets_eoy</t>
        </is>
      </c>
      <c r="F323" s="8" t="inlineStr">
        <is>
          <t>high</t>
        </is>
      </c>
      <c r="G323" s="9" t="n">
        <v>0</v>
      </c>
    </row>
    <row r="324">
      <c r="A324" s="8" t="inlineStr">
        <is>
          <t>Balance sheet (detail)</t>
        </is>
      </c>
      <c r="B324" s="8" t="inlineStr">
        <is>
          <t>G21</t>
        </is>
      </c>
      <c r="C324" s="8" t="inlineStr">
        <is>
          <t>15. Other assets</t>
        </is>
      </c>
      <c r="D324" s="8" t="inlineStr">
        <is>
          <t>15E</t>
        </is>
      </c>
      <c r="E324" s="8" t="inlineStr">
        <is>
          <t>part_x_balance_sheet.other_assets_eoy</t>
        </is>
      </c>
      <c r="F324" s="8" t="inlineStr">
        <is>
          <t>high</t>
        </is>
      </c>
      <c r="G324" s="9" t="n">
        <v>0</v>
      </c>
    </row>
    <row r="325">
      <c r="A325" s="8" t="inlineStr">
        <is>
          <t>Balance sheet (detail)</t>
        </is>
      </c>
      <c r="B325" s="8" t="inlineStr">
        <is>
          <t>B25</t>
        </is>
      </c>
      <c r="C325" s="8" t="inlineStr">
        <is>
          <t>17. Accounts payable and accrued expenses</t>
        </is>
      </c>
      <c r="D325" s="8" t="inlineStr">
        <is>
          <t>17E</t>
        </is>
      </c>
      <c r="E325" s="8" t="inlineStr">
        <is>
          <t>part_x_balance_sheet.accounts_payable_eoy</t>
        </is>
      </c>
      <c r="F325" s="8" t="inlineStr">
        <is>
          <t>high</t>
        </is>
      </c>
      <c r="G325" s="9" t="n">
        <v>47744</v>
      </c>
    </row>
    <row r="326">
      <c r="A326" s="8" t="inlineStr">
        <is>
          <t>Balance sheet (detail)</t>
        </is>
      </c>
      <c r="B326" s="8" t="inlineStr">
        <is>
          <t>C25</t>
        </is>
      </c>
      <c r="C326" s="8" t="inlineStr">
        <is>
          <t>17. Accounts payable and accrued expenses</t>
        </is>
      </c>
      <c r="D326" s="8" t="inlineStr">
        <is>
          <t>17E</t>
        </is>
      </c>
      <c r="E326" s="8" t="inlineStr">
        <is>
          <t>part_x_balance_sheet.accounts_payable_eoy</t>
        </is>
      </c>
      <c r="F326" s="8" t="inlineStr">
        <is>
          <t>high</t>
        </is>
      </c>
      <c r="G326" s="9" t="n">
        <v>38796</v>
      </c>
    </row>
    <row r="327">
      <c r="A327" s="8" t="inlineStr">
        <is>
          <t>Balance sheet (detail)</t>
        </is>
      </c>
      <c r="B327" s="8" t="inlineStr">
        <is>
          <t>D25</t>
        </is>
      </c>
      <c r="C327" s="8" t="inlineStr">
        <is>
          <t>17. Accounts payable and accrued expenses</t>
        </is>
      </c>
      <c r="D327" s="8" t="inlineStr">
        <is>
          <t>17E</t>
        </is>
      </c>
      <c r="E327" s="8" t="inlineStr">
        <is>
          <t>part_x_balance_sheet.accounts_payable_eoy</t>
        </is>
      </c>
      <c r="F327" s="8" t="inlineStr">
        <is>
          <t>high</t>
        </is>
      </c>
      <c r="G327" s="9" t="n">
        <v>41801</v>
      </c>
    </row>
    <row r="328">
      <c r="A328" s="8" t="inlineStr">
        <is>
          <t>Balance sheet (detail)</t>
        </is>
      </c>
      <c r="B328" s="8" t="inlineStr">
        <is>
          <t>E25</t>
        </is>
      </c>
      <c r="C328" s="8" t="inlineStr">
        <is>
          <t>17. Accounts payable and accrued expenses</t>
        </is>
      </c>
      <c r="D328" s="8" t="inlineStr">
        <is>
          <t>17E</t>
        </is>
      </c>
      <c r="E328" s="8" t="inlineStr">
        <is>
          <t>part_x_balance_sheet.accounts_payable_eoy</t>
        </is>
      </c>
      <c r="F328" s="8" t="inlineStr">
        <is>
          <t>high</t>
        </is>
      </c>
      <c r="G328" s="9" t="n">
        <v>62243</v>
      </c>
    </row>
    <row r="329">
      <c r="A329" s="8" t="inlineStr">
        <is>
          <t>Balance sheet (detail)</t>
        </is>
      </c>
      <c r="B329" s="8" t="inlineStr">
        <is>
          <t>F25</t>
        </is>
      </c>
      <c r="C329" s="8" t="inlineStr">
        <is>
          <t>17. Accounts payable and accrued expenses</t>
        </is>
      </c>
      <c r="D329" s="8" t="inlineStr">
        <is>
          <t>17E</t>
        </is>
      </c>
      <c r="E329" s="8" t="inlineStr">
        <is>
          <t>part_x_balance_sheet.accounts_payable_eoy</t>
        </is>
      </c>
      <c r="F329" s="8" t="inlineStr">
        <is>
          <t>high</t>
        </is>
      </c>
      <c r="G329" s="9" t="n">
        <v>137370</v>
      </c>
    </row>
    <row r="330">
      <c r="A330" s="8" t="inlineStr">
        <is>
          <t>Balance sheet (detail)</t>
        </is>
      </c>
      <c r="B330" s="8" t="inlineStr">
        <is>
          <t>G25</t>
        </is>
      </c>
      <c r="C330" s="8" t="inlineStr">
        <is>
          <t>17. Accounts payable and accrued expenses</t>
        </is>
      </c>
      <c r="D330" s="8" t="inlineStr">
        <is>
          <t>17E</t>
        </is>
      </c>
      <c r="E330" s="8" t="inlineStr">
        <is>
          <t>part_x_balance_sheet.accounts_payable_eoy</t>
        </is>
      </c>
      <c r="F330" s="8" t="inlineStr">
        <is>
          <t>high</t>
        </is>
      </c>
      <c r="G330" s="9" t="n">
        <v>87324</v>
      </c>
    </row>
    <row r="331">
      <c r="A331" s="8" t="inlineStr">
        <is>
          <t>Balance sheet (detail)</t>
        </is>
      </c>
      <c r="B331" s="8" t="inlineStr">
        <is>
          <t>B29</t>
        </is>
      </c>
      <c r="C331" s="8" t="inlineStr">
        <is>
          <t>29. Capital stock or trust principal</t>
        </is>
      </c>
      <c r="D331" s="8" t="inlineStr">
        <is>
          <t>29E</t>
        </is>
      </c>
      <c r="E331" s="8" t="inlineStr">
        <is>
          <t>part_x_balance_sheet.cap_stock_eoy</t>
        </is>
      </c>
      <c r="F331" s="8" t="inlineStr">
        <is>
          <t>high</t>
        </is>
      </c>
      <c r="G331" s="9" t="n">
        <v>5656</v>
      </c>
    </row>
    <row r="332">
      <c r="A332" s="8" t="inlineStr">
        <is>
          <t>Balance sheet (detail)</t>
        </is>
      </c>
      <c r="B332" s="8" t="inlineStr">
        <is>
          <t>C29</t>
        </is>
      </c>
      <c r="C332" s="8" t="inlineStr">
        <is>
          <t>29. Capital stock or trust principal</t>
        </is>
      </c>
      <c r="D332" s="8" t="inlineStr">
        <is>
          <t>29E</t>
        </is>
      </c>
      <c r="E332" s="8" t="inlineStr">
        <is>
          <t>part_x_balance_sheet.cap_stock_eoy</t>
        </is>
      </c>
      <c r="F332" s="8" t="inlineStr">
        <is>
          <t>high</t>
        </is>
      </c>
      <c r="G332" s="9" t="n">
        <v>5656</v>
      </c>
    </row>
    <row r="333">
      <c r="A333" s="8" t="inlineStr">
        <is>
          <t>Balance sheet (detail)</t>
        </is>
      </c>
      <c r="B333" s="8" t="inlineStr">
        <is>
          <t>D29</t>
        </is>
      </c>
      <c r="C333" s="8" t="inlineStr">
        <is>
          <t>29. Capital stock or trust principal</t>
        </is>
      </c>
      <c r="D333" s="8" t="inlineStr">
        <is>
          <t>29E</t>
        </is>
      </c>
      <c r="E333" s="8" t="inlineStr">
        <is>
          <t>part_x_balance_sheet.cap_stock_eoy</t>
        </is>
      </c>
      <c r="F333" s="8" t="inlineStr">
        <is>
          <t>high</t>
        </is>
      </c>
      <c r="G333" s="9" t="n">
        <v>5656</v>
      </c>
    </row>
    <row r="334">
      <c r="A334" s="8" t="inlineStr">
        <is>
          <t>Balance sheet (detail)</t>
        </is>
      </c>
      <c r="B334" s="8" t="inlineStr">
        <is>
          <t>E29</t>
        </is>
      </c>
      <c r="C334" s="8" t="inlineStr">
        <is>
          <t>29. Capital stock or trust principal</t>
        </is>
      </c>
      <c r="D334" s="8" t="inlineStr">
        <is>
          <t>29E</t>
        </is>
      </c>
      <c r="E334" s="8" t="inlineStr">
        <is>
          <t>part_x_balance_sheet.cap_stock_eoy</t>
        </is>
      </c>
      <c r="F334" s="8" t="inlineStr">
        <is>
          <t>high</t>
        </is>
      </c>
      <c r="G334" s="9" t="n">
        <v>5656</v>
      </c>
    </row>
    <row r="335">
      <c r="A335" s="8" t="inlineStr">
        <is>
          <t>Balance sheet (detail)</t>
        </is>
      </c>
      <c r="B335" s="8" t="inlineStr">
        <is>
          <t>F29</t>
        </is>
      </c>
      <c r="C335" s="8" t="inlineStr">
        <is>
          <t>29. Capital stock or trust principal</t>
        </is>
      </c>
      <c r="D335" s="8" t="inlineStr">
        <is>
          <t>29E</t>
        </is>
      </c>
      <c r="E335" s="8" t="inlineStr">
        <is>
          <t>part_x_balance_sheet.cap_stock_eoy</t>
        </is>
      </c>
      <c r="F335" s="8" t="inlineStr">
        <is>
          <t>high</t>
        </is>
      </c>
      <c r="G335" s="9" t="n">
        <v>5656</v>
      </c>
    </row>
    <row r="336">
      <c r="A336" s="8" t="inlineStr">
        <is>
          <t>Balance sheet (detail)</t>
        </is>
      </c>
      <c r="B336" s="8" t="inlineStr">
        <is>
          <t>G29</t>
        </is>
      </c>
      <c r="C336" s="8" t="inlineStr">
        <is>
          <t>29. Capital stock or trust principal</t>
        </is>
      </c>
      <c r="D336" s="8" t="inlineStr">
        <is>
          <t>29E</t>
        </is>
      </c>
      <c r="E336" s="8" t="inlineStr">
        <is>
          <t>part_x_balance_sheet.cap_stock_eoy</t>
        </is>
      </c>
      <c r="F336" s="8" t="inlineStr">
        <is>
          <t>high</t>
        </is>
      </c>
      <c r="G336" s="9" t="n">
        <v>5656</v>
      </c>
    </row>
    <row r="337">
      <c r="A337" s="8" t="inlineStr">
        <is>
          <t>Balance sheet (detail)</t>
        </is>
      </c>
      <c r="B337" s="8" t="inlineStr">
        <is>
          <t>B30</t>
        </is>
      </c>
      <c r="C337" s="8" t="inlineStr">
        <is>
          <t>30. Paid-in or capital surplus</t>
        </is>
      </c>
      <c r="D337" s="8" t="inlineStr">
        <is>
          <t>30E</t>
        </is>
      </c>
      <c r="E337" s="8" t="inlineStr">
        <is>
          <t>part_x_balance_sheet.paid_in_capital_eoy</t>
        </is>
      </c>
      <c r="F337" s="8" t="inlineStr">
        <is>
          <t>high</t>
        </is>
      </c>
      <c r="G337" s="9" t="n">
        <v>112947</v>
      </c>
    </row>
    <row r="338">
      <c r="A338" s="8" t="inlineStr">
        <is>
          <t>Balance sheet (detail)</t>
        </is>
      </c>
      <c r="B338" s="8" t="inlineStr">
        <is>
          <t>C30</t>
        </is>
      </c>
      <c r="C338" s="8" t="inlineStr">
        <is>
          <t>30. Paid-in or capital surplus</t>
        </is>
      </c>
      <c r="D338" s="8" t="inlineStr">
        <is>
          <t>30E</t>
        </is>
      </c>
      <c r="E338" s="8" t="inlineStr">
        <is>
          <t>part_x_balance_sheet.paid_in_capital_eoy</t>
        </is>
      </c>
      <c r="F338" s="8" t="inlineStr">
        <is>
          <t>high</t>
        </is>
      </c>
      <c r="G338" s="9" t="n">
        <v>112947</v>
      </c>
    </row>
    <row r="339">
      <c r="A339" s="8" t="inlineStr">
        <is>
          <t>Balance sheet (detail)</t>
        </is>
      </c>
      <c r="B339" s="8" t="inlineStr">
        <is>
          <t>D30</t>
        </is>
      </c>
      <c r="C339" s="8" t="inlineStr">
        <is>
          <t>30. Paid-in or capital surplus</t>
        </is>
      </c>
      <c r="D339" s="8" t="inlineStr">
        <is>
          <t>30E</t>
        </is>
      </c>
      <c r="E339" s="8" t="inlineStr">
        <is>
          <t>part_x_balance_sheet.paid_in_capital_eoy</t>
        </is>
      </c>
      <c r="F339" s="8" t="inlineStr">
        <is>
          <t>high</t>
        </is>
      </c>
      <c r="G339" s="9" t="n">
        <v>112947</v>
      </c>
    </row>
    <row r="340">
      <c r="A340" s="8" t="inlineStr">
        <is>
          <t>Balance sheet (detail)</t>
        </is>
      </c>
      <c r="B340" s="8" t="inlineStr">
        <is>
          <t>E30</t>
        </is>
      </c>
      <c r="C340" s="8" t="inlineStr">
        <is>
          <t>30. Paid-in or capital surplus</t>
        </is>
      </c>
      <c r="D340" s="8" t="inlineStr">
        <is>
          <t>30E</t>
        </is>
      </c>
      <c r="E340" s="8" t="inlineStr">
        <is>
          <t>part_x_balance_sheet.paid_in_capital_eoy</t>
        </is>
      </c>
      <c r="F340" s="8" t="inlineStr">
        <is>
          <t>high</t>
        </is>
      </c>
      <c r="G340" s="9" t="n">
        <v>112947</v>
      </c>
    </row>
    <row r="341">
      <c r="A341" s="8" t="inlineStr">
        <is>
          <t>Balance sheet (detail)</t>
        </is>
      </c>
      <c r="B341" s="8" t="inlineStr">
        <is>
          <t>F30</t>
        </is>
      </c>
      <c r="C341" s="8" t="inlineStr">
        <is>
          <t>30. Paid-in or capital surplus</t>
        </is>
      </c>
      <c r="D341" s="8" t="inlineStr">
        <is>
          <t>30E</t>
        </is>
      </c>
      <c r="E341" s="8" t="inlineStr">
        <is>
          <t>part_x_balance_sheet.paid_in_capital_eoy</t>
        </is>
      </c>
      <c r="F341" s="8" t="inlineStr">
        <is>
          <t>high</t>
        </is>
      </c>
      <c r="G341" s="9" t="n">
        <v>112947</v>
      </c>
    </row>
    <row r="342">
      <c r="A342" s="8" t="inlineStr">
        <is>
          <t>Balance sheet (detail)</t>
        </is>
      </c>
      <c r="B342" s="8" t="inlineStr">
        <is>
          <t>G30</t>
        </is>
      </c>
      <c r="C342" s="8" t="inlineStr">
        <is>
          <t>30. Paid-in or capital surplus</t>
        </is>
      </c>
      <c r="D342" s="8" t="inlineStr">
        <is>
          <t>30E</t>
        </is>
      </c>
      <c r="E342" s="8" t="inlineStr">
        <is>
          <t>part_x_balance_sheet.paid_in_capital_eoy</t>
        </is>
      </c>
      <c r="F342" s="8" t="inlineStr">
        <is>
          <t>high</t>
        </is>
      </c>
      <c r="G342" s="9" t="n">
        <v>112947</v>
      </c>
    </row>
    <row r="343">
      <c r="A343" s="8" t="inlineStr">
        <is>
          <t>Balance sheet (detail)</t>
        </is>
      </c>
      <c r="B343" s="8" t="inlineStr">
        <is>
          <t>B31</t>
        </is>
      </c>
      <c r="C343" s="8" t="inlineStr">
        <is>
          <t>31. Retained earnings / accumulated funds</t>
        </is>
      </c>
      <c r="D343" s="8" t="inlineStr">
        <is>
          <t>31E</t>
        </is>
      </c>
      <c r="E343" s="8" t="inlineStr">
        <is>
          <t>part_x_balance_sheet.retained_earnings_eoy</t>
        </is>
      </c>
      <c r="F343" s="8" t="inlineStr">
        <is>
          <t>high</t>
        </is>
      </c>
      <c r="G343" s="9" t="n">
        <v>290582</v>
      </c>
    </row>
    <row r="344">
      <c r="A344" s="8" t="inlineStr">
        <is>
          <t>Balance sheet (detail)</t>
        </is>
      </c>
      <c r="B344" s="8" t="inlineStr">
        <is>
          <t>C31</t>
        </is>
      </c>
      <c r="C344" s="8" t="inlineStr">
        <is>
          <t>31. Retained earnings / accumulated funds</t>
        </is>
      </c>
      <c r="D344" s="8" t="inlineStr">
        <is>
          <t>31E</t>
        </is>
      </c>
      <c r="E344" s="8" t="inlineStr">
        <is>
          <t>part_x_balance_sheet.retained_earnings_eoy</t>
        </is>
      </c>
      <c r="F344" s="8" t="inlineStr">
        <is>
          <t>high</t>
        </is>
      </c>
      <c r="G344" s="9" t="n">
        <v>277502</v>
      </c>
    </row>
    <row r="345">
      <c r="A345" s="8" t="inlineStr">
        <is>
          <t>Balance sheet (detail)</t>
        </is>
      </c>
      <c r="B345" s="8" t="inlineStr">
        <is>
          <t>D31</t>
        </is>
      </c>
      <c r="C345" s="8" t="inlineStr">
        <is>
          <t>31. Retained earnings / accumulated funds</t>
        </is>
      </c>
      <c r="D345" s="8" t="inlineStr">
        <is>
          <t>31E</t>
        </is>
      </c>
      <c r="E345" s="8" t="inlineStr">
        <is>
          <t>part_x_balance_sheet.retained_earnings_eoy</t>
        </is>
      </c>
      <c r="F345" s="8" t="inlineStr">
        <is>
          <t>high</t>
        </is>
      </c>
      <c r="G345" s="9" t="n">
        <v>336841</v>
      </c>
    </row>
    <row r="346">
      <c r="A346" s="8" t="inlineStr">
        <is>
          <t>Balance sheet (detail)</t>
        </is>
      </c>
      <c r="B346" s="8" t="inlineStr">
        <is>
          <t>E31</t>
        </is>
      </c>
      <c r="C346" s="8" t="inlineStr">
        <is>
          <t>31. Retained earnings / accumulated funds</t>
        </is>
      </c>
      <c r="D346" s="8" t="inlineStr">
        <is>
          <t>31E</t>
        </is>
      </c>
      <c r="E346" s="8" t="inlineStr">
        <is>
          <t>part_x_balance_sheet.retained_earnings_eoy</t>
        </is>
      </c>
      <c r="F346" s="8" t="inlineStr">
        <is>
          <t>high</t>
        </is>
      </c>
      <c r="G346" s="9" t="n">
        <v>320808</v>
      </c>
    </row>
    <row r="347">
      <c r="A347" s="8" t="inlineStr">
        <is>
          <t>Balance sheet (detail)</t>
        </is>
      </c>
      <c r="B347" s="8" t="inlineStr">
        <is>
          <t>F31</t>
        </is>
      </c>
      <c r="C347" s="8" t="inlineStr">
        <is>
          <t>31. Retained earnings / accumulated funds</t>
        </is>
      </c>
      <c r="D347" s="8" t="inlineStr">
        <is>
          <t>31E</t>
        </is>
      </c>
      <c r="E347" s="8" t="inlineStr">
        <is>
          <t>part_x_balance_sheet.retained_earnings_eoy</t>
        </is>
      </c>
      <c r="F347" s="8" t="inlineStr">
        <is>
          <t>high</t>
        </is>
      </c>
      <c r="G347" s="9" t="n">
        <v>424973</v>
      </c>
    </row>
    <row r="348">
      <c r="A348" s="8" t="inlineStr">
        <is>
          <t>Balance sheet (detail)</t>
        </is>
      </c>
      <c r="B348" s="8" t="inlineStr">
        <is>
          <t>G31</t>
        </is>
      </c>
      <c r="C348" s="8" t="inlineStr">
        <is>
          <t>31. Retained earnings / accumulated funds</t>
        </is>
      </c>
      <c r="D348" s="8" t="inlineStr">
        <is>
          <t>31E</t>
        </is>
      </c>
      <c r="E348" s="8" t="inlineStr">
        <is>
          <t>part_x_balance_sheet.retained_earnings_eoy</t>
        </is>
      </c>
      <c r="F348" s="8" t="inlineStr">
        <is>
          <t>high</t>
        </is>
      </c>
      <c r="G348" s="9" t="n">
        <v>482275</v>
      </c>
    </row>
    <row r="349">
      <c r="A349" s="8" t="inlineStr">
        <is>
          <t>Net-assets reconciliation</t>
        </is>
      </c>
      <c r="B349" s="8" t="inlineStr">
        <is>
          <t>B7</t>
        </is>
      </c>
      <c r="C349" s="8" t="inlineStr">
        <is>
          <t>4. Net assets, beginning of year</t>
        </is>
      </c>
      <c r="D349" s="8" t="inlineStr">
        <is>
          <t>Part XI line 4</t>
        </is>
      </c>
      <c r="E349" s="8" t="inlineStr">
        <is>
          <t>part_xi_reconciliation.net_assets_boy</t>
        </is>
      </c>
      <c r="F349" s="8" t="inlineStr">
        <is>
          <t>high</t>
        </is>
      </c>
      <c r="G349" s="9" t="n">
        <v>409185</v>
      </c>
    </row>
    <row r="350">
      <c r="A350" s="8" t="inlineStr">
        <is>
          <t>Net-assets reconciliation</t>
        </is>
      </c>
      <c r="B350" s="8" t="inlineStr">
        <is>
          <t>C7</t>
        </is>
      </c>
      <c r="C350" s="8" t="inlineStr">
        <is>
          <t>4. Net assets, beginning of year</t>
        </is>
      </c>
      <c r="D350" s="8" t="inlineStr">
        <is>
          <t>Part XI line 4</t>
        </is>
      </c>
      <c r="E350" s="8" t="inlineStr">
        <is>
          <t>part_xi_reconciliation.net_assets_boy</t>
        </is>
      </c>
      <c r="F350" s="8" t="inlineStr">
        <is>
          <t>high</t>
        </is>
      </c>
      <c r="G350" s="9" t="n">
        <v>409185</v>
      </c>
    </row>
    <row r="351">
      <c r="A351" s="8" t="inlineStr">
        <is>
          <t>Net-assets reconciliation</t>
        </is>
      </c>
      <c r="B351" s="8" t="inlineStr">
        <is>
          <t>D7</t>
        </is>
      </c>
      <c r="C351" s="8" t="inlineStr">
        <is>
          <t>4. Net assets, beginning of year</t>
        </is>
      </c>
      <c r="D351" s="8" t="inlineStr">
        <is>
          <t>Part XI line 4</t>
        </is>
      </c>
      <c r="E351" s="8" t="inlineStr">
        <is>
          <t>part_xi_reconciliation.net_assets_boy</t>
        </is>
      </c>
      <c r="F351" s="8" t="inlineStr">
        <is>
          <t>high</t>
        </is>
      </c>
      <c r="G351" s="9" t="n">
        <v>396105</v>
      </c>
    </row>
    <row r="352">
      <c r="A352" s="8" t="inlineStr">
        <is>
          <t>Net-assets reconciliation</t>
        </is>
      </c>
      <c r="B352" s="8" t="inlineStr">
        <is>
          <t>E7</t>
        </is>
      </c>
      <c r="C352" s="8" t="inlineStr">
        <is>
          <t>4. Net assets, beginning of year</t>
        </is>
      </c>
      <c r="D352" s="8" t="inlineStr">
        <is>
          <t>Part XI line 4</t>
        </is>
      </c>
      <c r="E352" s="8" t="inlineStr">
        <is>
          <t>part_xi_reconciliation.net_assets_boy</t>
        </is>
      </c>
      <c r="F352" s="8" t="inlineStr">
        <is>
          <t>high</t>
        </is>
      </c>
      <c r="G352" s="9" t="n">
        <v>455444</v>
      </c>
    </row>
    <row r="353">
      <c r="A353" s="8" t="inlineStr">
        <is>
          <t>Net-assets reconciliation</t>
        </is>
      </c>
      <c r="B353" s="8" t="inlineStr">
        <is>
          <t>F7</t>
        </is>
      </c>
      <c r="C353" s="8" t="inlineStr">
        <is>
          <t>4. Net assets, beginning of year</t>
        </is>
      </c>
      <c r="D353" s="8" t="inlineStr">
        <is>
          <t>Part XI line 4</t>
        </is>
      </c>
      <c r="E353" s="8" t="inlineStr">
        <is>
          <t>part_xi_reconciliation.net_assets_boy</t>
        </is>
      </c>
      <c r="F353" s="8" t="inlineStr">
        <is>
          <t>high</t>
        </is>
      </c>
      <c r="G353" s="9" t="n">
        <v>439411</v>
      </c>
    </row>
    <row r="354">
      <c r="A354" s="8" t="inlineStr">
        <is>
          <t>Net-assets reconciliation</t>
        </is>
      </c>
      <c r="B354" s="8" t="inlineStr">
        <is>
          <t>G7</t>
        </is>
      </c>
      <c r="C354" s="8" t="inlineStr">
        <is>
          <t>4. Net assets, beginning of year</t>
        </is>
      </c>
      <c r="D354" s="8" t="inlineStr">
        <is>
          <t>Part XI line 4</t>
        </is>
      </c>
      <c r="E354" s="8" t="inlineStr">
        <is>
          <t>part_xi_reconciliation.net_assets_boy</t>
        </is>
      </c>
      <c r="F354" s="8" t="inlineStr">
        <is>
          <t>high</t>
        </is>
      </c>
      <c r="G354" s="9" t="n">
        <v>543576</v>
      </c>
    </row>
    <row r="355">
      <c r="A355" s="8" t="inlineStr">
        <is>
          <t>Net-assets reconciliation</t>
        </is>
      </c>
      <c r="B355" s="8" t="inlineStr">
        <is>
          <t>B8</t>
        </is>
      </c>
      <c r="C355" s="8" t="inlineStr">
        <is>
          <t>3. Revenue less expenses</t>
        </is>
      </c>
      <c r="D355" s="8" t="inlineStr">
        <is>
          <t>Part XI line 3</t>
        </is>
      </c>
      <c r="E355" s="8" t="inlineStr">
        <is>
          <t>part_xi_reconciliation.reconciliation_revenue_expenses</t>
        </is>
      </c>
      <c r="F355" s="8" t="inlineStr">
        <is>
          <t>high</t>
        </is>
      </c>
      <c r="G355" s="9" t="n">
        <v>0</v>
      </c>
    </row>
    <row r="356">
      <c r="A356" s="8" t="inlineStr">
        <is>
          <t>Net-assets reconciliation</t>
        </is>
      </c>
      <c r="B356" s="8" t="inlineStr">
        <is>
          <t>C8</t>
        </is>
      </c>
      <c r="C356" s="8" t="inlineStr">
        <is>
          <t>3. Revenue less expenses</t>
        </is>
      </c>
      <c r="D356" s="8" t="inlineStr">
        <is>
          <t>Part XI line 3</t>
        </is>
      </c>
      <c r="E356" s="8" t="inlineStr">
        <is>
          <t>part_xi_reconciliation.reconciliation_revenue_expenses</t>
        </is>
      </c>
      <c r="F356" s="8" t="inlineStr">
        <is>
          <t>high</t>
        </is>
      </c>
      <c r="G356" s="9" t="n">
        <v>-40153</v>
      </c>
    </row>
    <row r="357">
      <c r="A357" s="8" t="inlineStr">
        <is>
          <t>Net-assets reconciliation</t>
        </is>
      </c>
      <c r="B357" s="8" t="inlineStr">
        <is>
          <t>D8</t>
        </is>
      </c>
      <c r="C357" s="8" t="inlineStr">
        <is>
          <t>3. Revenue less expenses</t>
        </is>
      </c>
      <c r="D357" s="8" t="inlineStr">
        <is>
          <t>Part XI line 3</t>
        </is>
      </c>
      <c r="E357" s="8" t="inlineStr">
        <is>
          <t>part_xi_reconciliation.reconciliation_revenue_expenses</t>
        </is>
      </c>
      <c r="F357" s="8" t="inlineStr">
        <is>
          <t>high</t>
        </is>
      </c>
      <c r="G357" s="9" t="n">
        <v>32171</v>
      </c>
    </row>
    <row r="358">
      <c r="A358" s="8" t="inlineStr">
        <is>
          <t>Net-assets reconciliation</t>
        </is>
      </c>
      <c r="B358" s="8" t="inlineStr">
        <is>
          <t>E8</t>
        </is>
      </c>
      <c r="C358" s="8" t="inlineStr">
        <is>
          <t>3. Revenue less expenses</t>
        </is>
      </c>
      <c r="D358" s="8" t="inlineStr">
        <is>
          <t>Part XI line 3</t>
        </is>
      </c>
      <c r="E358" s="8" t="inlineStr">
        <is>
          <t>part_xi_reconciliation.reconciliation_revenue_expenses</t>
        </is>
      </c>
      <c r="F358" s="8" t="inlineStr">
        <is>
          <t>high</t>
        </is>
      </c>
      <c r="G358" s="9" t="n">
        <v>-43106</v>
      </c>
    </row>
    <row r="359">
      <c r="A359" s="8" t="inlineStr">
        <is>
          <t>Net-assets reconciliation</t>
        </is>
      </c>
      <c r="B359" s="8" t="inlineStr">
        <is>
          <t>F8</t>
        </is>
      </c>
      <c r="C359" s="8" t="inlineStr">
        <is>
          <t>3. Revenue less expenses</t>
        </is>
      </c>
      <c r="D359" s="8" t="inlineStr">
        <is>
          <t>Part XI line 3</t>
        </is>
      </c>
      <c r="E359" s="8" t="inlineStr">
        <is>
          <t>part_xi_reconciliation.reconciliation_revenue_expenses</t>
        </is>
      </c>
      <c r="F359" s="8" t="inlineStr">
        <is>
          <t>high</t>
        </is>
      </c>
      <c r="G359" s="9" t="n">
        <v>77092</v>
      </c>
    </row>
    <row r="360">
      <c r="A360" s="8" t="inlineStr">
        <is>
          <t>Net-assets reconciliation</t>
        </is>
      </c>
      <c r="B360" s="8" t="inlineStr">
        <is>
          <t>G8</t>
        </is>
      </c>
      <c r="C360" s="8" t="inlineStr">
        <is>
          <t>3. Revenue less expenses</t>
        </is>
      </c>
      <c r="D360" s="8" t="inlineStr">
        <is>
          <t>Part XI line 3</t>
        </is>
      </c>
      <c r="E360" s="8" t="inlineStr">
        <is>
          <t>part_xi_reconciliation.reconciliation_revenue_expenses</t>
        </is>
      </c>
      <c r="F360" s="8" t="inlineStr">
        <is>
          <t>high</t>
        </is>
      </c>
      <c r="G360" s="9" t="n">
        <v>30229</v>
      </c>
    </row>
    <row r="361">
      <c r="A361" s="8" t="inlineStr">
        <is>
          <t>Net-assets reconciliation</t>
        </is>
      </c>
      <c r="B361" s="8" t="inlineStr">
        <is>
          <t>C10</t>
        </is>
      </c>
      <c r="C361" s="8" t="inlineStr">
        <is>
          <t>9. Other changes in net assets</t>
        </is>
      </c>
      <c r="D361" s="8" t="inlineStr">
        <is>
          <t>Part XI line 9</t>
        </is>
      </c>
      <c r="E361" s="8" t="inlineStr">
        <is>
          <t>part_xi_reconciliation.other_changes_net_assets</t>
        </is>
      </c>
      <c r="F361" s="8" t="inlineStr">
        <is>
          <t>high</t>
        </is>
      </c>
      <c r="G361" s="9" t="n">
        <v>27073</v>
      </c>
    </row>
    <row r="362">
      <c r="A362" s="8" t="inlineStr">
        <is>
          <t>Net-assets reconciliation</t>
        </is>
      </c>
      <c r="B362" s="8" t="inlineStr">
        <is>
          <t>D10</t>
        </is>
      </c>
      <c r="C362" s="8" t="inlineStr">
        <is>
          <t>9. Other changes in net assets</t>
        </is>
      </c>
      <c r="D362" s="8" t="inlineStr">
        <is>
          <t>Part XI line 9</t>
        </is>
      </c>
      <c r="E362" s="8" t="inlineStr">
        <is>
          <t>part_xi_reconciliation.other_changes_net_assets</t>
        </is>
      </c>
      <c r="F362" s="8" t="inlineStr">
        <is>
          <t>high</t>
        </is>
      </c>
      <c r="G362" s="9" t="n">
        <v>27168</v>
      </c>
    </row>
    <row r="363">
      <c r="A363" s="8" t="inlineStr">
        <is>
          <t>Net-assets reconciliation</t>
        </is>
      </c>
      <c r="B363" s="8" t="inlineStr">
        <is>
          <t>E10</t>
        </is>
      </c>
      <c r="C363" s="8" t="inlineStr">
        <is>
          <t>9. Other changes in net assets</t>
        </is>
      </c>
      <c r="D363" s="8" t="inlineStr">
        <is>
          <t>Part XI line 9</t>
        </is>
      </c>
      <c r="E363" s="8" t="inlineStr">
        <is>
          <t>part_xi_reconciliation.other_changes_net_assets</t>
        </is>
      </c>
      <c r="F363" s="8" t="inlineStr">
        <is>
          <t>high</t>
        </is>
      </c>
      <c r="G363" s="9" t="n">
        <v>27073</v>
      </c>
    </row>
    <row r="364">
      <c r="A364" s="8" t="inlineStr">
        <is>
          <t>Net-assets reconciliation</t>
        </is>
      </c>
      <c r="B364" s="8" t="inlineStr">
        <is>
          <t>F10</t>
        </is>
      </c>
      <c r="C364" s="8" t="inlineStr">
        <is>
          <t>9. Other changes in net assets</t>
        </is>
      </c>
      <c r="D364" s="8" t="inlineStr">
        <is>
          <t>Part XI line 9</t>
        </is>
      </c>
      <c r="E364" s="8" t="inlineStr">
        <is>
          <t>part_xi_reconciliation.other_changes_net_assets</t>
        </is>
      </c>
      <c r="F364" s="8" t="inlineStr">
        <is>
          <t>high</t>
        </is>
      </c>
      <c r="G364" s="9" t="n">
        <v>27073</v>
      </c>
    </row>
    <row r="365">
      <c r="A365" s="8" t="inlineStr">
        <is>
          <t>Net-assets reconciliation</t>
        </is>
      </c>
      <c r="B365" s="8" t="inlineStr">
        <is>
          <t>G10</t>
        </is>
      </c>
      <c r="C365" s="8" t="inlineStr">
        <is>
          <t>9. Other changes in net assets</t>
        </is>
      </c>
      <c r="D365" s="8" t="inlineStr">
        <is>
          <t>Part XI line 9</t>
        </is>
      </c>
      <c r="E365" s="8" t="inlineStr">
        <is>
          <t>part_xi_reconciliation.other_changes_net_assets</t>
        </is>
      </c>
      <c r="F365" s="8" t="inlineStr">
        <is>
          <t>high</t>
        </is>
      </c>
      <c r="G365" s="9" t="n">
        <v>27073</v>
      </c>
    </row>
    <row r="367">
      <c r="A367" s="31" t="inlineStr">
        <is>
          <t>C. Tie-out checks (filed vs computed; any nonzero variance is flagged red)</t>
        </is>
      </c>
      <c r="B367" s="7" t="n"/>
      <c r="C367" s="7" t="n"/>
      <c r="D367" s="7" t="n"/>
      <c r="E367" s="7" t="n"/>
      <c r="F367" s="7" t="n"/>
      <c r="G367" s="7" t="n"/>
      <c r="H367" s="7" t="n"/>
      <c r="I367" s="7" t="n"/>
      <c r="J367" s="7" t="n"/>
      <c r="K367" s="7" t="n"/>
    </row>
    <row r="368">
      <c r="A368" s="5" t="inlineStr">
        <is>
          <t>Tab</t>
        </is>
      </c>
      <c r="B368" s="5" t="inlineStr">
        <is>
          <t>Check</t>
        </is>
      </c>
      <c r="C368" s="5" t="inlineStr">
        <is>
          <t>Fiscal year</t>
        </is>
      </c>
      <c r="D368" s="5" t="inlineStr">
        <is>
          <t>Filed</t>
        </is>
      </c>
      <c r="E368" s="5" t="inlineStr">
        <is>
          <t>Computed</t>
        </is>
      </c>
      <c r="F368" s="5" t="inlineStr">
        <is>
          <t>Variance (computed - filed)</t>
        </is>
      </c>
    </row>
    <row r="369">
      <c r="A369" s="18" t="inlineStr">
        <is>
          <t>Revenue (detail)</t>
        </is>
      </c>
      <c r="B369" s="18" t="inlineStr">
        <is>
          <t>12. Total revenue</t>
        </is>
      </c>
      <c r="C369" s="18" t="inlineStr">
        <is>
          <t>FY2020</t>
        </is>
      </c>
      <c r="D369" s="9" t="n">
        <v>251282</v>
      </c>
      <c r="E369" s="9">
        <f>'Revenue (detail)'!B13</f>
        <v/>
      </c>
      <c r="F369" s="9">
        <f>E369-D369</f>
        <v/>
      </c>
    </row>
    <row r="370">
      <c r="A370" s="18" t="inlineStr">
        <is>
          <t>Revenue (detail)</t>
        </is>
      </c>
      <c r="B370" s="18" t="inlineStr">
        <is>
          <t>12. Total revenue</t>
        </is>
      </c>
      <c r="C370" s="18" t="inlineStr">
        <is>
          <t>FY2021</t>
        </is>
      </c>
      <c r="D370" s="9" t="n">
        <v>257555</v>
      </c>
      <c r="E370" s="9">
        <f>'Revenue (detail)'!C13</f>
        <v/>
      </c>
      <c r="F370" s="9">
        <f>E370-D370</f>
        <v/>
      </c>
    </row>
    <row r="371">
      <c r="A371" s="18" t="inlineStr">
        <is>
          <t>Revenue (detail)</t>
        </is>
      </c>
      <c r="B371" s="18" t="inlineStr">
        <is>
          <t>12. Total revenue</t>
        </is>
      </c>
      <c r="C371" s="18" t="inlineStr">
        <is>
          <t>FY2022</t>
        </is>
      </c>
      <c r="D371" s="9" t="n">
        <v>341470</v>
      </c>
      <c r="E371" s="9">
        <f>'Revenue (detail)'!D13</f>
        <v/>
      </c>
      <c r="F371" s="9">
        <f>E371-D371</f>
        <v/>
      </c>
    </row>
    <row r="372">
      <c r="A372" s="18" t="inlineStr">
        <is>
          <t>Revenue (detail)</t>
        </is>
      </c>
      <c r="B372" s="18" t="inlineStr">
        <is>
          <t>12. Total revenue</t>
        </is>
      </c>
      <c r="C372" s="18" t="inlineStr">
        <is>
          <t>FY2023</t>
        </is>
      </c>
      <c r="D372" s="9" t="n">
        <v>262072</v>
      </c>
      <c r="E372" s="9">
        <f>'Revenue (detail)'!E13</f>
        <v/>
      </c>
      <c r="F372" s="9">
        <f>E372-D372</f>
        <v/>
      </c>
    </row>
    <row r="373">
      <c r="A373" s="18" t="inlineStr">
        <is>
          <t>Revenue (detail)</t>
        </is>
      </c>
      <c r="B373" s="18" t="inlineStr">
        <is>
          <t>12. Total revenue</t>
        </is>
      </c>
      <c r="C373" s="18" t="inlineStr">
        <is>
          <t>FY2024</t>
        </is>
      </c>
      <c r="D373" s="9" t="n">
        <v>387865</v>
      </c>
      <c r="E373" s="9">
        <f>'Revenue (detail)'!F13</f>
        <v/>
      </c>
      <c r="F373" s="9">
        <f>E373-D373</f>
        <v/>
      </c>
    </row>
    <row r="374">
      <c r="A374" s="18" t="inlineStr">
        <is>
          <t>Revenue (detail)</t>
        </is>
      </c>
      <c r="B374" s="18" t="inlineStr">
        <is>
          <t>12. Total revenue</t>
        </is>
      </c>
      <c r="C374" s="18" t="inlineStr">
        <is>
          <t>FY2025</t>
        </is>
      </c>
      <c r="D374" s="9" t="n">
        <v>346455</v>
      </c>
      <c r="E374" s="9">
        <f>'Revenue (detail)'!G13</f>
        <v/>
      </c>
      <c r="F374" s="9">
        <f>E374-D374</f>
        <v/>
      </c>
    </row>
    <row r="375">
      <c r="A375" s="18" t="inlineStr">
        <is>
          <t>Revenue (detail)</t>
        </is>
      </c>
      <c r="B375" s="18" t="inlineStr">
        <is>
          <t>2g program service revenue = sum of lines 2a-2f (FY2025)</t>
        </is>
      </c>
      <c r="C375" s="18" t="inlineStr">
        <is>
          <t>FY2025</t>
        </is>
      </c>
      <c r="D375" s="9" t="n">
        <v>346455</v>
      </c>
      <c r="E375" s="9">
        <f>SUM('Revenue (detail)'!C17:C17)</f>
        <v/>
      </c>
      <c r="F375" s="9">
        <f>E375-D375</f>
        <v/>
      </c>
    </row>
    <row r="376">
      <c r="A376" s="18" t="inlineStr">
        <is>
          <t>Operating expenses (detail)</t>
        </is>
      </c>
      <c r="B376" s="18" t="inlineStr">
        <is>
          <t>25. Total functional expenses</t>
        </is>
      </c>
      <c r="C376" s="18" t="inlineStr">
        <is>
          <t>FY2020</t>
        </is>
      </c>
      <c r="D376" s="9" t="n">
        <v>251282</v>
      </c>
      <c r="E376" s="9">
        <f>'Operating expenses (detail)'!B41</f>
        <v/>
      </c>
      <c r="F376" s="9">
        <f>E376-D376</f>
        <v/>
      </c>
    </row>
    <row r="377">
      <c r="A377" s="18" t="inlineStr">
        <is>
          <t>Operating expenses (detail)</t>
        </is>
      </c>
      <c r="B377" s="18" t="inlineStr">
        <is>
          <t>25. Total functional expenses</t>
        </is>
      </c>
      <c r="C377" s="18" t="inlineStr">
        <is>
          <t>FY2021</t>
        </is>
      </c>
      <c r="D377" s="9" t="n">
        <v>297708</v>
      </c>
      <c r="E377" s="9">
        <f>'Operating expenses (detail)'!C41</f>
        <v/>
      </c>
      <c r="F377" s="9">
        <f>E377-D377</f>
        <v/>
      </c>
    </row>
    <row r="378">
      <c r="A378" s="18" t="inlineStr">
        <is>
          <t>Operating expenses (detail)</t>
        </is>
      </c>
      <c r="B378" s="18" t="inlineStr">
        <is>
          <t>25. Total functional expenses</t>
        </is>
      </c>
      <c r="C378" s="18" t="inlineStr">
        <is>
          <t>FY2022</t>
        </is>
      </c>
      <c r="D378" s="9" t="n">
        <v>309299</v>
      </c>
      <c r="E378" s="9">
        <f>'Operating expenses (detail)'!D41</f>
        <v/>
      </c>
      <c r="F378" s="9">
        <f>E378-D378</f>
        <v/>
      </c>
    </row>
    <row r="379">
      <c r="A379" s="18" t="inlineStr">
        <is>
          <t>Operating expenses (detail)</t>
        </is>
      </c>
      <c r="B379" s="18" t="inlineStr">
        <is>
          <t>25. Total functional expenses</t>
        </is>
      </c>
      <c r="C379" s="18" t="inlineStr">
        <is>
          <t>FY2023</t>
        </is>
      </c>
      <c r="D379" s="9" t="n">
        <v>305178</v>
      </c>
      <c r="E379" s="9">
        <f>'Operating expenses (detail)'!E41</f>
        <v/>
      </c>
      <c r="F379" s="9">
        <f>E379-D379</f>
        <v/>
      </c>
    </row>
    <row r="380">
      <c r="A380" s="18" t="inlineStr">
        <is>
          <t>Operating expenses (detail)</t>
        </is>
      </c>
      <c r="B380" s="18" t="inlineStr">
        <is>
          <t>25. Total functional expenses</t>
        </is>
      </c>
      <c r="C380" s="18" t="inlineStr">
        <is>
          <t>FY2024</t>
        </is>
      </c>
      <c r="D380" s="9" t="n">
        <v>310773</v>
      </c>
      <c r="E380" s="9">
        <f>'Operating expenses (detail)'!F41</f>
        <v/>
      </c>
      <c r="F380" s="9">
        <f>E380-D380</f>
        <v/>
      </c>
    </row>
    <row r="381">
      <c r="A381" s="18" t="inlineStr">
        <is>
          <t>Operating expenses (detail)</t>
        </is>
      </c>
      <c r="B381" s="18" t="inlineStr">
        <is>
          <t>25. Total functional expenses</t>
        </is>
      </c>
      <c r="C381" s="18" t="inlineStr">
        <is>
          <t>FY2025</t>
        </is>
      </c>
      <c r="D381" s="9" t="n">
        <v>316226</v>
      </c>
      <c r="E381" s="9">
        <f>'Operating expenses (detail)'!G41</f>
        <v/>
      </c>
      <c r="F381" s="9">
        <f>E381-D381</f>
        <v/>
      </c>
    </row>
    <row r="382">
      <c r="A382" s="18" t="inlineStr">
        <is>
          <t>Operating expenses (detail)</t>
        </is>
      </c>
      <c r="B382" s="18" t="inlineStr">
        <is>
          <t>Part IX column split: col A = B + C + D (FY2025)</t>
        </is>
      </c>
      <c r="C382" s="18" t="inlineStr">
        <is>
          <t>FY2025</t>
        </is>
      </c>
      <c r="D382" s="9">
        <f>'Operating expenses (detail)'!B74</f>
        <v/>
      </c>
      <c r="E382" s="9">
        <f>'Operating expenses (detail)'!C74+'Operating expenses (detail)'!D74+'Operating expenses (detail)'!E74</f>
        <v/>
      </c>
      <c r="F382" s="9">
        <f>E382-D382</f>
        <v/>
      </c>
    </row>
    <row r="383">
      <c r="A383" s="18" t="inlineStr">
        <is>
          <t>Balance sheet (detail)</t>
        </is>
      </c>
      <c r="B383" s="18" t="inlineStr">
        <is>
          <t>16. Total assets</t>
        </is>
      </c>
      <c r="C383" s="18" t="inlineStr">
        <is>
          <t>FY2020</t>
        </is>
      </c>
      <c r="D383" s="9" t="n">
        <v>456929</v>
      </c>
      <c r="E383" s="9">
        <f>'Balance sheet (detail)'!B22</f>
        <v/>
      </c>
      <c r="F383" s="9">
        <f>E383-D383</f>
        <v/>
      </c>
    </row>
    <row r="384">
      <c r="A384" s="18" t="inlineStr">
        <is>
          <t>Balance sheet (detail)</t>
        </is>
      </c>
      <c r="B384" s="18" t="inlineStr">
        <is>
          <t>16. Total assets</t>
        </is>
      </c>
      <c r="C384" s="18" t="inlineStr">
        <is>
          <t>FY2021</t>
        </is>
      </c>
      <c r="D384" s="9" t="n">
        <v>434901</v>
      </c>
      <c r="E384" s="9">
        <f>'Balance sheet (detail)'!C22</f>
        <v/>
      </c>
      <c r="F384" s="9">
        <f>E384-D384</f>
        <v/>
      </c>
    </row>
    <row r="385">
      <c r="A385" s="18" t="inlineStr">
        <is>
          <t>Balance sheet (detail)</t>
        </is>
      </c>
      <c r="B385" s="18" t="inlineStr">
        <is>
          <t>16. Total assets</t>
        </is>
      </c>
      <c r="C385" s="18" t="inlineStr">
        <is>
          <t>FY2022</t>
        </is>
      </c>
      <c r="D385" s="9" t="n">
        <v>497245</v>
      </c>
      <c r="E385" s="9">
        <f>'Balance sheet (detail)'!D22</f>
        <v/>
      </c>
      <c r="F385" s="9">
        <f>E385-D385</f>
        <v/>
      </c>
    </row>
    <row r="386">
      <c r="A386" s="18" t="inlineStr">
        <is>
          <t>Balance sheet (detail)</t>
        </is>
      </c>
      <c r="B386" s="18" t="inlineStr">
        <is>
          <t>16. Total assets</t>
        </is>
      </c>
      <c r="C386" s="18" t="inlineStr">
        <is>
          <t>FY2023</t>
        </is>
      </c>
      <c r="D386" s="9" t="n">
        <v>501654</v>
      </c>
      <c r="E386" s="9">
        <f>'Balance sheet (detail)'!E22</f>
        <v/>
      </c>
      <c r="F386" s="9">
        <f>E386-D386</f>
        <v/>
      </c>
    </row>
    <row r="387">
      <c r="A387" s="18" t="inlineStr">
        <is>
          <t>Balance sheet (detail)</t>
        </is>
      </c>
      <c r="B387" s="18" t="inlineStr">
        <is>
          <t>16. Total assets</t>
        </is>
      </c>
      <c r="C387" s="18" t="inlineStr">
        <is>
          <t>FY2024</t>
        </is>
      </c>
      <c r="D387" s="9" t="n">
        <v>680946</v>
      </c>
      <c r="E387" s="9">
        <f>'Balance sheet (detail)'!F22</f>
        <v/>
      </c>
      <c r="F387" s="9">
        <f>E387-D387</f>
        <v/>
      </c>
    </row>
    <row r="388">
      <c r="A388" s="18" t="inlineStr">
        <is>
          <t>Balance sheet (detail)</t>
        </is>
      </c>
      <c r="B388" s="18" t="inlineStr">
        <is>
          <t>16. Total assets</t>
        </is>
      </c>
      <c r="C388" s="18" t="inlineStr">
        <is>
          <t>FY2025</t>
        </is>
      </c>
      <c r="D388" s="9" t="n">
        <v>688202</v>
      </c>
      <c r="E388" s="9">
        <f>'Balance sheet (detail)'!G22</f>
        <v/>
      </c>
      <c r="F388" s="9">
        <f>E388-D388</f>
        <v/>
      </c>
    </row>
    <row r="389">
      <c r="A389" s="18" t="inlineStr">
        <is>
          <t>Balance sheet (detail)</t>
        </is>
      </c>
      <c r="B389" s="18" t="inlineStr">
        <is>
          <t>26. Total liabilities</t>
        </is>
      </c>
      <c r="C389" s="18" t="inlineStr">
        <is>
          <t>FY2020</t>
        </is>
      </c>
      <c r="D389" s="9" t="n">
        <v>47744</v>
      </c>
      <c r="E389" s="9">
        <f>'Balance sheet (detail)'!B26</f>
        <v/>
      </c>
      <c r="F389" s="9">
        <f>E389-D389</f>
        <v/>
      </c>
    </row>
    <row r="390">
      <c r="A390" s="18" t="inlineStr">
        <is>
          <t>Balance sheet (detail)</t>
        </is>
      </c>
      <c r="B390" s="18" t="inlineStr">
        <is>
          <t>26. Total liabilities</t>
        </is>
      </c>
      <c r="C390" s="18" t="inlineStr">
        <is>
          <t>FY2021</t>
        </is>
      </c>
      <c r="D390" s="9" t="n">
        <v>38796</v>
      </c>
      <c r="E390" s="9">
        <f>'Balance sheet (detail)'!C26</f>
        <v/>
      </c>
      <c r="F390" s="9">
        <f>E390-D390</f>
        <v/>
      </c>
    </row>
    <row r="391">
      <c r="A391" s="18" t="inlineStr">
        <is>
          <t>Balance sheet (detail)</t>
        </is>
      </c>
      <c r="B391" s="18" t="inlineStr">
        <is>
          <t>26. Total liabilities</t>
        </is>
      </c>
      <c r="C391" s="18" t="inlineStr">
        <is>
          <t>FY2022</t>
        </is>
      </c>
      <c r="D391" s="9" t="n">
        <v>41801</v>
      </c>
      <c r="E391" s="9">
        <f>'Balance sheet (detail)'!D26</f>
        <v/>
      </c>
      <c r="F391" s="9">
        <f>E391-D391</f>
        <v/>
      </c>
    </row>
    <row r="392">
      <c r="A392" s="18" t="inlineStr">
        <is>
          <t>Balance sheet (detail)</t>
        </is>
      </c>
      <c r="B392" s="18" t="inlineStr">
        <is>
          <t>26. Total liabilities</t>
        </is>
      </c>
      <c r="C392" s="18" t="inlineStr">
        <is>
          <t>FY2023</t>
        </is>
      </c>
      <c r="D392" s="9" t="n">
        <v>62243</v>
      </c>
      <c r="E392" s="9">
        <f>'Balance sheet (detail)'!E26</f>
        <v/>
      </c>
      <c r="F392" s="9">
        <f>E392-D392</f>
        <v/>
      </c>
    </row>
    <row r="393">
      <c r="A393" s="18" t="inlineStr">
        <is>
          <t>Balance sheet (detail)</t>
        </is>
      </c>
      <c r="B393" s="18" t="inlineStr">
        <is>
          <t>26. Total liabilities</t>
        </is>
      </c>
      <c r="C393" s="18" t="inlineStr">
        <is>
          <t>FY2024</t>
        </is>
      </c>
      <c r="D393" s="9" t="n">
        <v>137370</v>
      </c>
      <c r="E393" s="9">
        <f>'Balance sheet (detail)'!F26</f>
        <v/>
      </c>
      <c r="F393" s="9">
        <f>E393-D393</f>
        <v/>
      </c>
    </row>
    <row r="394">
      <c r="A394" s="18" t="inlineStr">
        <is>
          <t>Balance sheet (detail)</t>
        </is>
      </c>
      <c r="B394" s="18" t="inlineStr">
        <is>
          <t>26. Total liabilities</t>
        </is>
      </c>
      <c r="C394" s="18" t="inlineStr">
        <is>
          <t>FY2025</t>
        </is>
      </c>
      <c r="D394" s="9" t="n">
        <v>87324</v>
      </c>
      <c r="E394" s="9">
        <f>'Balance sheet (detail)'!G26</f>
        <v/>
      </c>
      <c r="F394" s="9">
        <f>E394-D394</f>
        <v/>
      </c>
    </row>
    <row r="395">
      <c r="A395" s="18" t="inlineStr">
        <is>
          <t>Balance sheet (detail)</t>
        </is>
      </c>
      <c r="B395" s="18" t="inlineStr">
        <is>
          <t>32. Total net assets / fund balances</t>
        </is>
      </c>
      <c r="C395" s="18" t="inlineStr">
        <is>
          <t>FY2020</t>
        </is>
      </c>
      <c r="D395" s="9" t="n">
        <v>409185</v>
      </c>
      <c r="E395" s="9">
        <f>'Balance sheet (detail)'!B32</f>
        <v/>
      </c>
      <c r="F395" s="9">
        <f>E395-D395</f>
        <v/>
      </c>
    </row>
    <row r="396">
      <c r="A396" s="18" t="inlineStr">
        <is>
          <t>Balance sheet (detail)</t>
        </is>
      </c>
      <c r="B396" s="18" t="inlineStr">
        <is>
          <t>32. Total net assets / fund balances</t>
        </is>
      </c>
      <c r="C396" s="18" t="inlineStr">
        <is>
          <t>FY2021</t>
        </is>
      </c>
      <c r="D396" s="9" t="n">
        <v>396105</v>
      </c>
      <c r="E396" s="9">
        <f>'Balance sheet (detail)'!C32</f>
        <v/>
      </c>
      <c r="F396" s="9">
        <f>E396-D396</f>
        <v/>
      </c>
    </row>
    <row r="397">
      <c r="A397" s="18" t="inlineStr">
        <is>
          <t>Balance sheet (detail)</t>
        </is>
      </c>
      <c r="B397" s="18" t="inlineStr">
        <is>
          <t>32. Total net assets / fund balances</t>
        </is>
      </c>
      <c r="C397" s="18" t="inlineStr">
        <is>
          <t>FY2022</t>
        </is>
      </c>
      <c r="D397" s="9" t="n">
        <v>455444</v>
      </c>
      <c r="E397" s="9">
        <f>'Balance sheet (detail)'!D32</f>
        <v/>
      </c>
      <c r="F397" s="9">
        <f>E397-D397</f>
        <v/>
      </c>
    </row>
    <row r="398">
      <c r="A398" s="18" t="inlineStr">
        <is>
          <t>Balance sheet (detail)</t>
        </is>
      </c>
      <c r="B398" s="18" t="inlineStr">
        <is>
          <t>32. Total net assets / fund balances</t>
        </is>
      </c>
      <c r="C398" s="18" t="inlineStr">
        <is>
          <t>FY2023</t>
        </is>
      </c>
      <c r="D398" s="9" t="n">
        <v>439411</v>
      </c>
      <c r="E398" s="9">
        <f>'Balance sheet (detail)'!E32</f>
        <v/>
      </c>
      <c r="F398" s="9">
        <f>E398-D398</f>
        <v/>
      </c>
    </row>
    <row r="399">
      <c r="A399" s="18" t="inlineStr">
        <is>
          <t>Balance sheet (detail)</t>
        </is>
      </c>
      <c r="B399" s="18" t="inlineStr">
        <is>
          <t>32. Total net assets / fund balances</t>
        </is>
      </c>
      <c r="C399" s="18" t="inlineStr">
        <is>
          <t>FY2024</t>
        </is>
      </c>
      <c r="D399" s="9" t="n">
        <v>543576</v>
      </c>
      <c r="E399" s="9">
        <f>'Balance sheet (detail)'!F32</f>
        <v/>
      </c>
      <c r="F399" s="9">
        <f>E399-D399</f>
        <v/>
      </c>
    </row>
    <row r="400">
      <c r="A400" s="18" t="inlineStr">
        <is>
          <t>Balance sheet (detail)</t>
        </is>
      </c>
      <c r="B400" s="18" t="inlineStr">
        <is>
          <t>32. Total net assets / fund balances</t>
        </is>
      </c>
      <c r="C400" s="18" t="inlineStr">
        <is>
          <t>FY2025</t>
        </is>
      </c>
      <c r="D400" s="9" t="n">
        <v>600878</v>
      </c>
      <c r="E400" s="9">
        <f>'Balance sheet (detail)'!G32</f>
        <v/>
      </c>
      <c r="F400" s="9">
        <f>E400-D400</f>
        <v/>
      </c>
    </row>
    <row r="401">
      <c r="A401" s="18" t="inlineStr">
        <is>
          <t>Balance sheet (detail)</t>
        </is>
      </c>
      <c r="B401" s="18" t="inlineStr">
        <is>
          <t>Balance sheet identity: line 16 = line 26 + line 32 (EOY)</t>
        </is>
      </c>
      <c r="C401" s="18" t="inlineStr">
        <is>
          <t>FY2020</t>
        </is>
      </c>
      <c r="D401" s="9">
        <f>'Balance sheet (detail)'!B22</f>
        <v/>
      </c>
      <c r="E401" s="9">
        <f>SUM('Balance sheet (detail)'!B26,'Balance sheet (detail)'!B32)</f>
        <v/>
      </c>
      <c r="F401" s="9">
        <f>E401-D401</f>
        <v/>
      </c>
    </row>
    <row r="402">
      <c r="A402" s="18" t="inlineStr">
        <is>
          <t>Balance sheet (detail)</t>
        </is>
      </c>
      <c r="B402" s="18" t="inlineStr">
        <is>
          <t>Balance sheet identity: line 16 = line 26 + line 32 (EOY)</t>
        </is>
      </c>
      <c r="C402" s="18" t="inlineStr">
        <is>
          <t>FY2021</t>
        </is>
      </c>
      <c r="D402" s="9">
        <f>'Balance sheet (detail)'!C22</f>
        <v/>
      </c>
      <c r="E402" s="9">
        <f>SUM('Balance sheet (detail)'!C26,'Balance sheet (detail)'!C32)</f>
        <v/>
      </c>
      <c r="F402" s="9">
        <f>E402-D402</f>
        <v/>
      </c>
    </row>
    <row r="403">
      <c r="A403" s="18" t="inlineStr">
        <is>
          <t>Balance sheet (detail)</t>
        </is>
      </c>
      <c r="B403" s="18" t="inlineStr">
        <is>
          <t>Balance sheet identity: line 16 = line 26 + line 32 (EOY)</t>
        </is>
      </c>
      <c r="C403" s="18" t="inlineStr">
        <is>
          <t>FY2022</t>
        </is>
      </c>
      <c r="D403" s="9">
        <f>'Balance sheet (detail)'!D22</f>
        <v/>
      </c>
      <c r="E403" s="9">
        <f>SUM('Balance sheet (detail)'!D26,'Balance sheet (detail)'!D32)</f>
        <v/>
      </c>
      <c r="F403" s="9">
        <f>E403-D403</f>
        <v/>
      </c>
    </row>
    <row r="404">
      <c r="A404" s="18" t="inlineStr">
        <is>
          <t>Balance sheet (detail)</t>
        </is>
      </c>
      <c r="B404" s="18" t="inlineStr">
        <is>
          <t>Balance sheet identity: line 16 = line 26 + line 32 (EOY)</t>
        </is>
      </c>
      <c r="C404" s="18" t="inlineStr">
        <is>
          <t>FY2023</t>
        </is>
      </c>
      <c r="D404" s="9">
        <f>'Balance sheet (detail)'!E22</f>
        <v/>
      </c>
      <c r="E404" s="9">
        <f>SUM('Balance sheet (detail)'!E26,'Balance sheet (detail)'!E32)</f>
        <v/>
      </c>
      <c r="F404" s="9">
        <f>E404-D404</f>
        <v/>
      </c>
    </row>
    <row r="405">
      <c r="A405" s="18" t="inlineStr">
        <is>
          <t>Balance sheet (detail)</t>
        </is>
      </c>
      <c r="B405" s="18" t="inlineStr">
        <is>
          <t>Balance sheet identity: line 16 = line 26 + line 32 (EOY)</t>
        </is>
      </c>
      <c r="C405" s="18" t="inlineStr">
        <is>
          <t>FY2024</t>
        </is>
      </c>
      <c r="D405" s="9">
        <f>'Balance sheet (detail)'!F22</f>
        <v/>
      </c>
      <c r="E405" s="9">
        <f>SUM('Balance sheet (detail)'!F26,'Balance sheet (detail)'!F32)</f>
        <v/>
      </c>
      <c r="F405" s="9">
        <f>E405-D405</f>
        <v/>
      </c>
    </row>
    <row r="406">
      <c r="A406" s="18" t="inlineStr">
        <is>
          <t>Balance sheet (detail)</t>
        </is>
      </c>
      <c r="B406" s="18" t="inlineStr">
        <is>
          <t>Balance sheet identity: line 16 = line 26 + line 32 (EOY)</t>
        </is>
      </c>
      <c r="C406" s="18" t="inlineStr">
        <is>
          <t>FY2025</t>
        </is>
      </c>
      <c r="D406" s="9">
        <f>'Balance sheet (detail)'!G22</f>
        <v/>
      </c>
      <c r="E406" s="9">
        <f>SUM('Balance sheet (detail)'!G26,'Balance sheet (detail)'!G32)</f>
        <v/>
      </c>
      <c r="F406" s="9">
        <f>E406-D406</f>
        <v/>
      </c>
    </row>
    <row r="407">
      <c r="A407" s="18" t="inlineStr">
        <is>
          <t>Net-assets reconciliation</t>
        </is>
      </c>
      <c r="B407" s="18" t="inlineStr">
        <is>
          <t>10. Net assets, end of year</t>
        </is>
      </c>
      <c r="C407" s="18" t="inlineStr">
        <is>
          <t>FY2020</t>
        </is>
      </c>
      <c r="D407" s="9" t="n">
        <v>409185</v>
      </c>
      <c r="E407" s="9">
        <f>'Net-assets reconciliation'!B11</f>
        <v/>
      </c>
      <c r="F407" s="9">
        <f>E407-D407</f>
        <v/>
      </c>
    </row>
    <row r="408">
      <c r="A408" s="18" t="inlineStr">
        <is>
          <t>Net-assets reconciliation</t>
        </is>
      </c>
      <c r="B408" s="18" t="inlineStr">
        <is>
          <t>10. Net assets, end of year</t>
        </is>
      </c>
      <c r="C408" s="18" t="inlineStr">
        <is>
          <t>FY2021</t>
        </is>
      </c>
      <c r="D408" s="9" t="n">
        <v>396105</v>
      </c>
      <c r="E408" s="9">
        <f>'Net-assets reconciliation'!C11</f>
        <v/>
      </c>
      <c r="F408" s="9">
        <f>E408-D408</f>
        <v/>
      </c>
    </row>
    <row r="409">
      <c r="A409" s="18" t="inlineStr">
        <is>
          <t>Net-assets reconciliation</t>
        </is>
      </c>
      <c r="B409" s="18" t="inlineStr">
        <is>
          <t>10. Net assets, end of year</t>
        </is>
      </c>
      <c r="C409" s="18" t="inlineStr">
        <is>
          <t>FY2022</t>
        </is>
      </c>
      <c r="D409" s="9" t="n">
        <v>455444</v>
      </c>
      <c r="E409" s="9">
        <f>'Net-assets reconciliation'!D11</f>
        <v/>
      </c>
      <c r="F409" s="9">
        <f>E409-D409</f>
        <v/>
      </c>
    </row>
    <row r="410">
      <c r="A410" s="18" t="inlineStr">
        <is>
          <t>Net-assets reconciliation</t>
        </is>
      </c>
      <c r="B410" s="18" t="inlineStr">
        <is>
          <t>10. Net assets, end of year</t>
        </is>
      </c>
      <c r="C410" s="18" t="inlineStr">
        <is>
          <t>FY2023</t>
        </is>
      </c>
      <c r="D410" s="9" t="n">
        <v>439411</v>
      </c>
      <c r="E410" s="9">
        <f>'Net-assets reconciliation'!E11</f>
        <v/>
      </c>
      <c r="F410" s="9">
        <f>E410-D410</f>
        <v/>
      </c>
    </row>
    <row r="411">
      <c r="A411" s="18" t="inlineStr">
        <is>
          <t>Net-assets reconciliation</t>
        </is>
      </c>
      <c r="B411" s="18" t="inlineStr">
        <is>
          <t>10. Net assets, end of year</t>
        </is>
      </c>
      <c r="C411" s="18" t="inlineStr">
        <is>
          <t>FY2024</t>
        </is>
      </c>
      <c r="D411" s="9" t="n">
        <v>543576</v>
      </c>
      <c r="E411" s="9">
        <f>'Net-assets reconciliation'!F11</f>
        <v/>
      </c>
      <c r="F411" s="9">
        <f>E411-D411</f>
        <v/>
      </c>
    </row>
    <row r="412">
      <c r="A412" s="18" t="inlineStr">
        <is>
          <t>Net-assets reconciliation</t>
        </is>
      </c>
      <c r="B412" s="18" t="inlineStr">
        <is>
          <t>10. Net assets, end of year</t>
        </is>
      </c>
      <c r="C412" s="18" t="inlineStr">
        <is>
          <t>FY2025</t>
        </is>
      </c>
      <c r="D412" s="9" t="n">
        <v>600878</v>
      </c>
      <c r="E412" s="9">
        <f>'Net-assets reconciliation'!G11</f>
        <v/>
      </c>
      <c r="F412" s="9">
        <f>E412-D412</f>
        <v/>
      </c>
    </row>
    <row r="414">
      <c r="A414" s="31" t="inlineStr">
        <is>
          <t>D. Preparer / auditor trail (one row per fiscal year, as filed)</t>
        </is>
      </c>
      <c r="B414" s="7" t="n"/>
      <c r="C414" s="7" t="n"/>
      <c r="D414" s="7" t="n"/>
      <c r="E414" s="7" t="n"/>
      <c r="F414" s="7" t="n"/>
      <c r="G414" s="7" t="n"/>
      <c r="H414" s="7" t="n"/>
      <c r="I414" s="7" t="n"/>
      <c r="J414" s="7" t="n"/>
      <c r="K414" s="7" t="n"/>
    </row>
    <row r="415">
      <c r="A415" s="5" t="inlineStr">
        <is>
          <t>Fiscal year</t>
        </is>
      </c>
      <c r="B415" s="5" t="inlineStr">
        <is>
          <t>Paid preparer</t>
        </is>
      </c>
      <c r="C415" s="5" t="inlineStr">
        <is>
          <t>Preparer firm</t>
        </is>
      </c>
      <c r="D415" s="5" t="inlineStr">
        <is>
          <t>Independent auditor</t>
        </is>
      </c>
      <c r="E415" s="5" t="inlineStr">
        <is>
          <t>Citation</t>
        </is>
      </c>
    </row>
    <row r="416" ht="42" customHeight="1">
      <c r="A416" s="32" t="inlineStr">
        <is>
          <t>FY2020</t>
        </is>
      </c>
      <c r="B416" s="8" t="inlineStr">
        <is>
          <t>Sharon Iler Roberts</t>
        </is>
      </c>
      <c r="C416" s="8" t="inlineStr">
        <is>
          <t>SOARES SANDALL BERNACCHI AND PETROVICH LLP</t>
        </is>
      </c>
      <c r="D416" s="35" t="inlineStr">
        <is>
          <t>not reported</t>
        </is>
      </c>
      <c r="E416" s="23" t="inlineStr">
        <is>
          <t>Form 990 Return Header, Paid Preparer block (return_header.preparer_person_name / preparer_firm_name); auditor: Part XII line 2 reports audited financial statements but does not name the firm.</t>
        </is>
      </c>
    </row>
    <row r="417" ht="42" customHeight="1">
      <c r="A417" s="32" t="inlineStr">
        <is>
          <t>FY2021</t>
        </is>
      </c>
      <c r="B417" s="8" t="inlineStr">
        <is>
          <t>Rajju Bajracharya</t>
        </is>
      </c>
      <c r="C417" s="8" t="inlineStr">
        <is>
          <t>SOARES SANDALL BERNACCHI AND PETROVICH LLP</t>
        </is>
      </c>
      <c r="D417" s="35" t="inlineStr">
        <is>
          <t>not reported</t>
        </is>
      </c>
      <c r="E417" s="23" t="inlineStr">
        <is>
          <t>Form 990 Return Header, Paid Preparer block (return_header.preparer_person_name / preparer_firm_name); auditor: Part XII line 2 reports audited financial statements but does not name the firm.</t>
        </is>
      </c>
    </row>
    <row r="418" ht="42" customHeight="1">
      <c r="A418" s="32" t="inlineStr">
        <is>
          <t>FY2022</t>
        </is>
      </c>
      <c r="B418" s="8" t="inlineStr">
        <is>
          <t>Rajju Bajracharya</t>
        </is>
      </c>
      <c r="C418" s="8" t="inlineStr">
        <is>
          <t>SOARES SANDALL BERNACCHI PETROVICH</t>
        </is>
      </c>
      <c r="D418" s="35" t="inlineStr">
        <is>
          <t>not reported</t>
        </is>
      </c>
      <c r="E418" s="23" t="inlineStr">
        <is>
          <t>Form 990 Return Header, Paid Preparer block (return_header.preparer_person_name / preparer_firm_name); auditor: Part XII line 2 reports audited financial statements but does not name the firm.</t>
        </is>
      </c>
    </row>
    <row r="419" ht="42" customHeight="1">
      <c r="A419" s="32" t="inlineStr">
        <is>
          <t>FY2023</t>
        </is>
      </c>
      <c r="B419" s="8" t="inlineStr">
        <is>
          <t>Rajju Bajracharya</t>
        </is>
      </c>
      <c r="C419" s="8" t="inlineStr">
        <is>
          <t>SOARES SANDALL BERNACCHI PETROVICH</t>
        </is>
      </c>
      <c r="D419" s="35" t="inlineStr">
        <is>
          <t>not reported</t>
        </is>
      </c>
      <c r="E419" s="23" t="inlineStr">
        <is>
          <t>Form 990 Return Header, Paid Preparer block (return_header.preparer_person_name / preparer_firm_name); auditor: Part XII line 2 reports audited financial statements but does not name the firm.</t>
        </is>
      </c>
    </row>
    <row r="420" ht="42" customHeight="1">
      <c r="A420" s="32" t="inlineStr">
        <is>
          <t>FY2024</t>
        </is>
      </c>
      <c r="B420" s="8" t="inlineStr">
        <is>
          <t>Rajju Bajracharya</t>
        </is>
      </c>
      <c r="C420" s="8" t="inlineStr">
        <is>
          <t>SOARES SANDALL BERNACCHI PETROVICH</t>
        </is>
      </c>
      <c r="D420" s="35" t="inlineStr">
        <is>
          <t>not reported</t>
        </is>
      </c>
      <c r="E420" s="23" t="inlineStr">
        <is>
          <t>Form 990 Return Header, Paid Preparer block (return_header.preparer_person_name / preparer_firm_name); auditor: Part XII line 2 reports audited financial statements but does not name the firm.</t>
        </is>
      </c>
    </row>
    <row r="421" ht="42" customHeight="1">
      <c r="A421" s="32" t="inlineStr">
        <is>
          <t>FY2025</t>
        </is>
      </c>
      <c r="B421" s="8" t="inlineStr">
        <is>
          <t>Rajju Bajracharya</t>
        </is>
      </c>
      <c r="C421" s="8" t="inlineStr">
        <is>
          <t>SOARES SANDALL BERNACCHI PETROVICH</t>
        </is>
      </c>
      <c r="D421" s="35" t="inlineStr">
        <is>
          <t>not reported</t>
        </is>
      </c>
      <c r="E421" s="23" t="inlineStr">
        <is>
          <t>Form 990 Return Header, Paid Preparer block (return_header.preparer_person_name / preparer_firm_name); auditor: Part XII line 2 reports audited financial statements but does not name the firm.</t>
        </is>
      </c>
    </row>
    <row r="423" ht="42" customHeight="1">
      <c r="A42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423:K423"/>
    <mergeCell ref="A2:K2"/>
    <mergeCell ref="A5:K5"/>
    <mergeCell ref="A1:K1"/>
  </mergeCells>
  <conditionalFormatting sqref="F369:F412">
    <cfRule type="cellIs" priority="1" operator="notEqual" dxfId="0">
      <formula>0</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