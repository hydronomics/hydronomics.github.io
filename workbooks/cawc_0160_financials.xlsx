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Caspar South Service Company</t>
        </is>
      </c>
    </row>
    <row r="2">
      <c r="A2" s="2" t="inlineStr">
        <is>
          <t>Financial Summary - multi-year overview (USD)</t>
        </is>
      </c>
    </row>
    <row r="3">
      <c r="A3" s="2" t="inlineStr">
        <is>
          <t>Entity ID: cawc_0160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175645</v>
      </c>
      <c r="C10" s="9" t="n">
        <v>185422</v>
      </c>
      <c r="D10" s="9" t="n">
        <v>189237</v>
      </c>
      <c r="E10" s="9" t="n">
        <v>189368</v>
      </c>
      <c r="F10" s="9" t="n">
        <v>176339</v>
      </c>
    </row>
    <row r="11">
      <c r="A11" s="8" t="inlineStr">
        <is>
          <t xml:space="preserve">    Total expenses</t>
        </is>
      </c>
      <c r="B11" s="9" t="n">
        <v>79663</v>
      </c>
      <c r="C11" s="9" t="n">
        <v>99260</v>
      </c>
      <c r="D11" s="9" t="n">
        <v>84884</v>
      </c>
      <c r="E11" s="9" t="n">
        <v>89310</v>
      </c>
      <c r="F11" s="9" t="n">
        <v>94848</v>
      </c>
    </row>
    <row r="12">
      <c r="A12" s="10" t="inlineStr">
        <is>
          <t xml:space="preserve">    Net income</t>
        </is>
      </c>
      <c r="B12" s="11" t="n">
        <v>95982</v>
      </c>
      <c r="C12" s="11" t="n">
        <v>86162</v>
      </c>
      <c r="D12" s="11" t="n">
        <v>104353</v>
      </c>
      <c r="E12" s="11" t="n">
        <v>100058</v>
      </c>
      <c r="F12" s="11" t="n">
        <v>81491</v>
      </c>
    </row>
    <row r="14">
      <c r="A14" s="6" t="inlineStr">
        <is>
          <t>Financial position (USD, end of year)</t>
        </is>
      </c>
      <c r="B14" s="7" t="n"/>
      <c r="C14" s="7" t="n"/>
      <c r="D14" s="7" t="n"/>
      <c r="E14" s="7" t="n"/>
      <c r="F14" s="7" t="n"/>
    </row>
    <row r="15">
      <c r="A15" s="8" t="inlineStr">
        <is>
          <t xml:space="preserve">    Total assets</t>
        </is>
      </c>
      <c r="B15" s="9" t="n">
        <v>697447</v>
      </c>
      <c r="C15" s="9" t="n">
        <v>895453</v>
      </c>
      <c r="D15" s="9" t="n">
        <v>905923</v>
      </c>
      <c r="E15" s="9" t="n">
        <v>981280</v>
      </c>
      <c r="F15" s="9" t="n">
        <v>1132187</v>
      </c>
    </row>
    <row r="16">
      <c r="A16" s="8" t="inlineStr">
        <is>
          <t xml:space="preserve">    Total liabilities</t>
        </is>
      </c>
      <c r="B16" s="9" t="n">
        <v>1</v>
      </c>
      <c r="C16" s="9" t="n">
        <v>0</v>
      </c>
      <c r="D16" s="9" t="n">
        <v>1</v>
      </c>
      <c r="E16" s="9" t="n">
        <v>0</v>
      </c>
      <c r="F16" s="9" t="n">
        <v>1</v>
      </c>
    </row>
    <row r="17">
      <c r="A17" s="10" t="inlineStr">
        <is>
          <t xml:space="preserve">    Net assets</t>
        </is>
      </c>
      <c r="B17" s="11" t="n">
        <v>697446</v>
      </c>
      <c r="C17" s="11" t="n">
        <v>895453</v>
      </c>
      <c r="D17" s="11" t="n">
        <v>905922</v>
      </c>
      <c r="E17" s="11" t="n">
        <v>981280</v>
      </c>
      <c r="F17" s="11" t="n">
        <v>1132186</v>
      </c>
    </row>
    <row r="19">
      <c r="A19" s="6" t="inlineStr">
        <is>
          <t>Headline ratios</t>
        </is>
      </c>
      <c r="B19" s="7" t="n"/>
      <c r="C19" s="7" t="n"/>
      <c r="D19" s="7" t="n"/>
      <c r="E19" s="7" t="n"/>
      <c r="F19" s="7" t="n"/>
    </row>
    <row r="20">
      <c r="A20" s="8" t="inlineStr">
        <is>
          <t xml:space="preserve">    Operating margin</t>
        </is>
      </c>
      <c r="B20" s="12" t="n">
        <v>0.5464544962851206</v>
      </c>
      <c r="C20" s="12" t="n">
        <v>0.4646805664915706</v>
      </c>
      <c r="D20" s="12" t="n">
        <v>0.5514407858928222</v>
      </c>
      <c r="E20" s="12" t="n">
        <v>0.5283786067339783</v>
      </c>
      <c r="F20" s="12" t="n">
        <v>0.4621269259778041</v>
      </c>
    </row>
    <row r="21">
      <c r="A21" s="8" t="inlineStr">
        <is>
          <t xml:space="preserve">    Revenue growth (YoY)</t>
        </is>
      </c>
      <c r="B21" s="12" t="n">
        <v>0.06819881895749585</v>
      </c>
      <c r="C21" s="12" t="n">
        <v>0.05566341199578696</v>
      </c>
      <c r="D21" s="12" t="n">
        <v>0.02057468908759478</v>
      </c>
      <c r="E21" s="12" t="n">
        <v>0.0006922536290471736</v>
      </c>
      <c r="F21" s="12" t="n">
        <v>-0.06880254319631617</v>
      </c>
    </row>
    <row r="22">
      <c r="A22" s="8" t="inlineStr">
        <is>
          <t xml:space="preserve">    Return on assets</t>
        </is>
      </c>
      <c r="B22" s="12" t="n">
        <v>0.1376190592260057</v>
      </c>
      <c r="C22" s="12" t="n">
        <v>0.09622168891052908</v>
      </c>
      <c r="D22" s="12" t="n">
        <v>0.1151897015530017</v>
      </c>
      <c r="E22" s="12" t="n">
        <v>0.1019668188488505</v>
      </c>
      <c r="F22" s="12" t="n">
        <v>0.07197662576941795</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Caspar South Service Company</t>
        </is>
      </c>
    </row>
    <row r="2">
      <c r="A2" s="2" t="inlineStr">
        <is>
          <t>Financial Statements - income statement, balance sheet, cash flow, member income test (USD)</t>
        </is>
      </c>
    </row>
    <row r="3">
      <c r="A3" s="2" t="inlineStr">
        <is>
          <t>Entity ID: cawc_0160   |   Fiscal year ends April 30.</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154857</v>
      </c>
      <c r="C8" s="9" t="n">
        <v>159131</v>
      </c>
      <c r="D8" s="9" t="n">
        <v>154694</v>
      </c>
      <c r="E8" s="9" t="n">
        <v>156022</v>
      </c>
      <c r="F8" s="9" t="n">
        <v>134908</v>
      </c>
    </row>
    <row r="9">
      <c r="A9" s="8" t="inlineStr">
        <is>
          <t xml:space="preserve">    Investment income</t>
        </is>
      </c>
      <c r="B9" s="9" t="n">
        <v>20788</v>
      </c>
      <c r="C9" s="9" t="n">
        <v>26291</v>
      </c>
      <c r="D9" s="9" t="n">
        <v>34543</v>
      </c>
      <c r="E9" s="9" t="n">
        <v>33346</v>
      </c>
      <c r="F9" s="9" t="n">
        <v>41431</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175645</v>
      </c>
      <c r="C14" s="11" t="n">
        <v>185422</v>
      </c>
      <c r="D14" s="11" t="n">
        <v>189237</v>
      </c>
      <c r="E14" s="11" t="n">
        <v>189368</v>
      </c>
      <c r="F14" s="11" t="n">
        <v>176339</v>
      </c>
    </row>
    <row r="16">
      <c r="A16" s="6" t="inlineStr">
        <is>
          <t>Expenses</t>
        </is>
      </c>
      <c r="B16" s="7" t="n"/>
      <c r="C16" s="7" t="n"/>
      <c r="D16" s="7" t="n"/>
      <c r="E16" s="7" t="n"/>
      <c r="F16" s="7" t="n"/>
    </row>
    <row r="17">
      <c r="A17" s="8" t="inlineStr">
        <is>
          <t xml:space="preserve">    Depreciation</t>
        </is>
      </c>
      <c r="B17" s="9" t="n">
        <v>1908</v>
      </c>
      <c r="C17" s="9" t="n">
        <v>1908</v>
      </c>
      <c r="D17" s="9" t="n">
        <v>728</v>
      </c>
      <c r="E17" s="9" t="n">
        <v>728</v>
      </c>
      <c r="F17" s="9" t="n">
        <v>728</v>
      </c>
    </row>
    <row r="18">
      <c r="A18" s="8" t="inlineStr">
        <is>
          <t xml:space="preserve">    Interest expense</t>
        </is>
      </c>
      <c r="B18" s="9" t="n">
        <v>0</v>
      </c>
      <c r="C18" s="9" t="n">
        <v>0</v>
      </c>
      <c r="D18" s="9" t="n">
        <v>0</v>
      </c>
      <c r="E18" s="9" t="n">
        <v>0</v>
      </c>
      <c r="F18" s="9" t="n">
        <v>0</v>
      </c>
    </row>
    <row r="19">
      <c r="A19" s="10" t="inlineStr">
        <is>
          <t>Total expenses</t>
        </is>
      </c>
      <c r="B19" s="11" t="n">
        <v>79663</v>
      </c>
      <c r="C19" s="11" t="n">
        <v>99260</v>
      </c>
      <c r="D19" s="11" t="n">
        <v>84884</v>
      </c>
      <c r="E19" s="11" t="n">
        <v>89310</v>
      </c>
      <c r="F19" s="11" t="n">
        <v>94848</v>
      </c>
    </row>
    <row r="21">
      <c r="A21" s="10" t="inlineStr">
        <is>
          <t>Net income</t>
        </is>
      </c>
      <c r="B21" s="11" t="n">
        <v>95982</v>
      </c>
      <c r="C21" s="11" t="n">
        <v>86162</v>
      </c>
      <c r="D21" s="11" t="n">
        <v>104353</v>
      </c>
      <c r="E21" s="11" t="n">
        <v>100058</v>
      </c>
      <c r="F21" s="11" t="n">
        <v>81491</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14537</v>
      </c>
      <c r="C27" s="9" t="n">
        <v>41773</v>
      </c>
      <c r="D27" s="9" t="n">
        <v>7535</v>
      </c>
      <c r="E27" s="9" t="n">
        <v>24234</v>
      </c>
      <c r="F27" s="9" t="n">
        <v>6743</v>
      </c>
    </row>
    <row r="28">
      <c r="A28" s="8" t="inlineStr">
        <is>
          <t xml:space="preserve">    Savings &amp; temporary investments</t>
        </is>
      </c>
      <c r="B28" s="9" t="n">
        <v>14860</v>
      </c>
      <c r="C28" s="9" t="n">
        <v>14868</v>
      </c>
      <c r="D28" s="9" t="n">
        <v>14875</v>
      </c>
      <c r="E28" s="9" t="n">
        <v>14882</v>
      </c>
      <c r="F28" s="9" t="n">
        <v>7890</v>
      </c>
    </row>
    <row r="29">
      <c r="A29" s="8" t="inlineStr">
        <is>
          <t xml:space="preserve">    Accounts receivable</t>
        </is>
      </c>
      <c r="B29" s="9" t="n">
        <v>11609</v>
      </c>
      <c r="C29" s="9" t="n">
        <v>11609</v>
      </c>
      <c r="D29" s="9" t="n">
        <v>9102</v>
      </c>
      <c r="E29" s="9" t="n">
        <v>0</v>
      </c>
      <c r="F29" s="9" t="n">
        <v>0</v>
      </c>
    </row>
    <row r="30">
      <c r="A30" s="8" t="inlineStr">
        <is>
          <t xml:space="preserve">    Inventories</t>
        </is>
      </c>
      <c r="B30" s="9" t="n">
        <v>0</v>
      </c>
      <c r="C30" s="9" t="n">
        <v>0</v>
      </c>
      <c r="D30" s="9" t="n">
        <v>0</v>
      </c>
      <c r="E30" s="9" t="n">
        <v>0</v>
      </c>
      <c r="F30" s="9" t="n">
        <v>0</v>
      </c>
    </row>
    <row r="31">
      <c r="A31" s="8" t="inlineStr">
        <is>
          <t xml:space="preserve">    Prepaid expenses</t>
        </is>
      </c>
      <c r="B31" s="9" t="n">
        <v>0</v>
      </c>
      <c r="C31" s="9" t="n">
        <v>0</v>
      </c>
      <c r="D31" s="9" t="n">
        <v>0</v>
      </c>
      <c r="E31" s="9" t="n">
        <v>0</v>
      </c>
      <c r="F31" s="9" t="n">
        <v>0</v>
      </c>
    </row>
    <row r="32">
      <c r="A32" s="8" t="inlineStr">
        <is>
          <t xml:space="preserve">    Property, plant &amp; equipment (gross)</t>
        </is>
      </c>
      <c r="B32" s="9" t="n">
        <v>404978</v>
      </c>
      <c r="C32" s="9" t="n">
        <v>404978</v>
      </c>
      <c r="D32" s="9" t="n">
        <v>404978</v>
      </c>
      <c r="E32" s="9" t="n">
        <v>404978</v>
      </c>
      <c r="F32" s="9" t="n">
        <v>404978</v>
      </c>
    </row>
    <row r="33">
      <c r="A33" s="8" t="inlineStr">
        <is>
          <t xml:space="preserve">    Less: accumulated depreciation</t>
        </is>
      </c>
      <c r="B33" s="9" t="n">
        <v>-348131</v>
      </c>
      <c r="C33" s="9" t="n">
        <v>-350039</v>
      </c>
      <c r="D33" s="9" t="n">
        <v>-350767</v>
      </c>
      <c r="E33" s="9" t="n">
        <v>-351495</v>
      </c>
      <c r="F33" s="9" t="n">
        <v>-352223</v>
      </c>
    </row>
    <row r="34">
      <c r="A34" s="10" t="inlineStr">
        <is>
          <t xml:space="preserve">    Net property, plant &amp; equipment</t>
        </is>
      </c>
      <c r="B34" s="11" t="n">
        <v>56847</v>
      </c>
      <c r="C34" s="11" t="n">
        <v>54939</v>
      </c>
      <c r="D34" s="11" t="n">
        <v>54211</v>
      </c>
      <c r="E34" s="11" t="n">
        <v>53483</v>
      </c>
      <c r="F34" s="11" t="n">
        <v>52755</v>
      </c>
    </row>
    <row r="35">
      <c r="A35" s="10" t="inlineStr">
        <is>
          <t>Total assets</t>
        </is>
      </c>
      <c r="B35" s="11" t="n">
        <v>697447</v>
      </c>
      <c r="C35" s="11" t="n">
        <v>895453</v>
      </c>
      <c r="D35" s="11" t="n">
        <v>905923</v>
      </c>
      <c r="E35" s="11" t="n">
        <v>981280</v>
      </c>
      <c r="F35" s="11" t="n">
        <v>1132187</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1</v>
      </c>
      <c r="C40" s="11" t="n">
        <v>0</v>
      </c>
      <c r="D40" s="11" t="n">
        <v>1</v>
      </c>
      <c r="E40" s="11" t="n">
        <v>0</v>
      </c>
      <c r="F40" s="11" t="n">
        <v>1</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v>697446</v>
      </c>
      <c r="C45" s="9" t="n">
        <v>895453</v>
      </c>
      <c r="D45" s="9" t="n">
        <v>905922</v>
      </c>
      <c r="E45" s="9" t="n">
        <v>981280</v>
      </c>
      <c r="F45" s="9" t="n">
        <v>1132186</v>
      </c>
    </row>
    <row r="46">
      <c r="A46" s="10" t="inlineStr">
        <is>
          <t>Net assets</t>
        </is>
      </c>
      <c r="B46" s="11" t="n">
        <v>697446</v>
      </c>
      <c r="C46" s="11" t="n">
        <v>895453</v>
      </c>
      <c r="D46" s="11" t="n">
        <v>905922</v>
      </c>
      <c r="E46" s="11" t="n">
        <v>981280</v>
      </c>
      <c r="F46" s="11" t="n">
        <v>1132186</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95982</v>
      </c>
      <c r="C52" s="9" t="n">
        <v>86162</v>
      </c>
      <c r="D52" s="9" t="n">
        <v>104353</v>
      </c>
      <c r="E52" s="9" t="n">
        <v>100058</v>
      </c>
      <c r="F52" s="9" t="n">
        <v>81491</v>
      </c>
    </row>
    <row r="53">
      <c r="A53" s="8" t="inlineStr">
        <is>
          <t xml:space="preserve">    + Depreciation (reported)</t>
        </is>
      </c>
      <c r="B53" s="9" t="n">
        <v>1908</v>
      </c>
      <c r="C53" s="9" t="n">
        <v>1908</v>
      </c>
      <c r="D53" s="9" t="n">
        <v>728</v>
      </c>
      <c r="E53" s="9" t="n">
        <v>728</v>
      </c>
      <c r="F53" s="9" t="n">
        <v>728</v>
      </c>
    </row>
    <row r="54">
      <c r="A54" s="8" t="inlineStr">
        <is>
          <t xml:space="preserve">    − Δ Accounts receivable</t>
        </is>
      </c>
      <c r="B54" s="9" t="n"/>
      <c r="C54" s="9" t="n">
        <v>0</v>
      </c>
      <c r="D54" s="9" t="n">
        <v>2507</v>
      </c>
      <c r="E54" s="9" t="n">
        <v>9102</v>
      </c>
      <c r="F54" s="9" t="n">
        <v>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0</v>
      </c>
      <c r="D56" s="9" t="n">
        <v>0</v>
      </c>
      <c r="E56" s="9" t="n">
        <v>0</v>
      </c>
      <c r="F56" s="9" t="n">
        <v>0</v>
      </c>
    </row>
    <row r="57">
      <c r="A57" s="8" t="inlineStr">
        <is>
          <t xml:space="preserve">    + Δ Accounts payable</t>
        </is>
      </c>
      <c r="B57" s="9" t="n"/>
      <c r="C57" s="9" t="n"/>
      <c r="D57" s="9" t="n"/>
      <c r="E57" s="9" t="n"/>
      <c r="F57" s="9" t="n"/>
    </row>
    <row r="58">
      <c r="A58" s="10" t="inlineStr">
        <is>
          <t xml:space="preserve">    Operating cash flow proxy</t>
        </is>
      </c>
      <c r="B58" s="11" t="n"/>
      <c r="C58" s="11" t="n">
        <v>88070</v>
      </c>
      <c r="D58" s="11" t="n">
        <v>107588</v>
      </c>
      <c r="E58" s="11" t="n">
        <v>109888</v>
      </c>
      <c r="F58" s="11" t="n">
        <v>82219</v>
      </c>
    </row>
    <row r="60">
      <c r="A60" s="6" t="inlineStr">
        <is>
          <t>Investing</t>
        </is>
      </c>
      <c r="B60" s="7" t="n"/>
      <c r="C60" s="7" t="n"/>
      <c r="D60" s="7" t="n"/>
      <c r="E60" s="7" t="n"/>
      <c r="F60" s="7" t="n"/>
    </row>
    <row r="61">
      <c r="A61" s="8" t="inlineStr">
        <is>
          <t xml:space="preserve">    − Δ PP&amp;E gross (capex proxy)</t>
        </is>
      </c>
      <c r="B61" s="9" t="n"/>
      <c r="C61" s="9" t="n">
        <v>0</v>
      </c>
      <c r="D61" s="9" t="n">
        <v>0</v>
      </c>
      <c r="E61" s="9" t="n">
        <v>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27244</v>
      </c>
      <c r="D67" s="11" t="n">
        <v>-34231</v>
      </c>
      <c r="E67" s="11" t="n">
        <v>16706</v>
      </c>
      <c r="F67" s="11" t="n">
        <v>-24483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154857</v>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9" t="n">
        <v>20788</v>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Caspar South Service Company</t>
        </is>
      </c>
    </row>
    <row r="2">
      <c r="A2" s="2" t="inlineStr">
        <is>
          <t>Balance Sheet - as reported (USD, end of year)</t>
        </is>
      </c>
    </row>
    <row r="3">
      <c r="A3" s="2" t="inlineStr">
        <is>
          <t>Entity ID: cawc_0160   |   Fiscal year ends April 30.</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14537</v>
      </c>
      <c r="C7" s="9" t="n">
        <v>41773</v>
      </c>
      <c r="D7" s="9" t="n">
        <v>7535</v>
      </c>
      <c r="E7" s="9" t="n">
        <v>24234</v>
      </c>
      <c r="F7" s="9" t="n">
        <v>6743</v>
      </c>
    </row>
    <row r="8">
      <c r="A8" s="8" t="inlineStr">
        <is>
          <t xml:space="preserve">    Savings &amp; temporary investments</t>
        </is>
      </c>
      <c r="B8" s="9" t="n">
        <v>14860</v>
      </c>
      <c r="C8" s="9" t="n">
        <v>14868</v>
      </c>
      <c r="D8" s="9" t="n">
        <v>14875</v>
      </c>
      <c r="E8" s="9" t="n">
        <v>14882</v>
      </c>
      <c r="F8" s="9" t="n">
        <v>7890</v>
      </c>
    </row>
    <row r="9">
      <c r="A9" s="8" t="inlineStr">
        <is>
          <t xml:space="preserve">    Accounts receivable</t>
        </is>
      </c>
      <c r="B9" s="9" t="n">
        <v>11609</v>
      </c>
      <c r="C9" s="9" t="n">
        <v>11609</v>
      </c>
      <c r="D9" s="9" t="n">
        <v>9102</v>
      </c>
      <c r="E9" s="9" t="n">
        <v>0</v>
      </c>
      <c r="F9" s="9" t="n">
        <v>0</v>
      </c>
    </row>
    <row r="10">
      <c r="A10" s="8" t="inlineStr">
        <is>
          <t xml:space="preserve">    Inventories</t>
        </is>
      </c>
      <c r="B10" s="9" t="n">
        <v>0</v>
      </c>
      <c r="C10" s="9" t="n">
        <v>0</v>
      </c>
      <c r="D10" s="9" t="n">
        <v>0</v>
      </c>
      <c r="E10" s="9" t="n">
        <v>0</v>
      </c>
      <c r="F10" s="9" t="n">
        <v>0</v>
      </c>
    </row>
    <row r="11">
      <c r="A11" s="8" t="inlineStr">
        <is>
          <t xml:space="preserve">    Prepaid expenses</t>
        </is>
      </c>
      <c r="B11" s="9" t="n">
        <v>0</v>
      </c>
      <c r="C11" s="9" t="n">
        <v>0</v>
      </c>
      <c r="D11" s="9" t="n">
        <v>0</v>
      </c>
      <c r="E11" s="9" t="n">
        <v>0</v>
      </c>
      <c r="F11" s="9" t="n">
        <v>0</v>
      </c>
    </row>
    <row r="12">
      <c r="A12" s="8" t="inlineStr">
        <is>
          <t xml:space="preserve">    Property, plant &amp; equipment (gross)</t>
        </is>
      </c>
      <c r="B12" s="9" t="n">
        <v>404978</v>
      </c>
      <c r="C12" s="9" t="n">
        <v>404978</v>
      </c>
      <c r="D12" s="9" t="n">
        <v>404978</v>
      </c>
      <c r="E12" s="9" t="n">
        <v>404978</v>
      </c>
      <c r="F12" s="9" t="n">
        <v>404978</v>
      </c>
    </row>
    <row r="13">
      <c r="A13" s="8" t="inlineStr">
        <is>
          <t xml:space="preserve">    Less: accumulated depreciation</t>
        </is>
      </c>
      <c r="B13" s="9" t="n">
        <v>-348131</v>
      </c>
      <c r="C13" s="9" t="n">
        <v>-350039</v>
      </c>
      <c r="D13" s="9" t="n">
        <v>-350767</v>
      </c>
      <c r="E13" s="9" t="n">
        <v>-351495</v>
      </c>
      <c r="F13" s="9" t="n">
        <v>-352223</v>
      </c>
    </row>
    <row r="14">
      <c r="A14" s="10" t="inlineStr">
        <is>
          <t xml:space="preserve">    Net property, plant &amp; equipment</t>
        </is>
      </c>
      <c r="B14" s="11" t="n">
        <v>56847</v>
      </c>
      <c r="C14" s="11" t="n">
        <v>54939</v>
      </c>
      <c r="D14" s="11" t="n">
        <v>54211</v>
      </c>
      <c r="E14" s="11" t="n">
        <v>53483</v>
      </c>
      <c r="F14" s="11" t="n">
        <v>52755</v>
      </c>
    </row>
    <row r="15">
      <c r="A15" s="10" t="inlineStr">
        <is>
          <t>Total assets</t>
        </is>
      </c>
      <c r="B15" s="11" t="n">
        <v>697447</v>
      </c>
      <c r="C15" s="11" t="n">
        <v>895453</v>
      </c>
      <c r="D15" s="11" t="n">
        <v>905923</v>
      </c>
      <c r="E15" s="11" t="n">
        <v>981280</v>
      </c>
      <c r="F15" s="11" t="n">
        <v>1132187</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1</v>
      </c>
      <c r="C20" s="11" t="n">
        <v>0</v>
      </c>
      <c r="D20" s="11" t="n">
        <v>1</v>
      </c>
      <c r="E20" s="11" t="n">
        <v>0</v>
      </c>
      <c r="F20" s="11" t="n">
        <v>1</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v>697446</v>
      </c>
      <c r="C25" s="9" t="n">
        <v>895453</v>
      </c>
      <c r="D25" s="9" t="n">
        <v>905922</v>
      </c>
      <c r="E25" s="9" t="n">
        <v>981280</v>
      </c>
      <c r="F25" s="9" t="n">
        <v>1132186</v>
      </c>
    </row>
    <row r="26">
      <c r="A26" s="10" t="inlineStr">
        <is>
          <t>Net assets</t>
        </is>
      </c>
      <c r="B26" s="11" t="n">
        <v>697446</v>
      </c>
      <c r="C26" s="11" t="n">
        <v>895453</v>
      </c>
      <c r="D26" s="11" t="n">
        <v>905922</v>
      </c>
      <c r="E26" s="11" t="n">
        <v>981280</v>
      </c>
      <c r="F26" s="11" t="n">
        <v>1132186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Caspar South Service Company</t>
        </is>
      </c>
    </row>
    <row r="2">
      <c r="A2" s="2" t="inlineStr">
        <is>
          <t>Officers, Directors &amp; Contractors - Form 990 Part VII (FY2024; USD)</t>
        </is>
      </c>
    </row>
    <row r="3">
      <c r="A3" s="2" t="inlineStr">
        <is>
          <t>Entity ID: cawc_0160   |   Fiscal year ends April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Marlene Demery</t>
        </is>
      </c>
      <c r="B7" s="18" t="inlineStr">
        <is>
          <t>Receiver</t>
        </is>
      </c>
      <c r="C7" s="19" t="n">
        <v>13694</v>
      </c>
      <c r="D7" s="19" t="n">
        <v>0</v>
      </c>
      <c r="E7" s="19" t="n">
        <v>0</v>
      </c>
      <c r="F7" s="19" t="n">
        <v>13694</v>
      </c>
    </row>
    <row r="9">
      <c r="A9" s="6" t="inlineStr">
        <is>
          <t>Section B - Independent contractors (over $100,000)</t>
        </is>
      </c>
      <c r="B9" s="7" t="n"/>
      <c r="C9" s="7" t="n"/>
      <c r="D9" s="7" t="n"/>
      <c r="E9" s="7" t="n"/>
      <c r="F9" s="7" t="n"/>
    </row>
    <row r="10">
      <c r="A10" s="5" t="inlineStr">
        <is>
          <t>Contractor</t>
        </is>
      </c>
      <c r="B10" s="5" t="inlineStr">
        <is>
          <t>Services</t>
        </is>
      </c>
      <c r="C10" s="5" t="inlineStr">
        <is>
          <t>Compensation</t>
        </is>
      </c>
    </row>
    <row r="12" ht="42" customHeight="1">
      <c r="A12"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2:F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Caspar South Service Company</t>
        </is>
      </c>
    </row>
    <row r="2">
      <c r="A2" s="2" t="inlineStr">
        <is>
          <t>Revenue - Form 990 Part VIII (USD)</t>
        </is>
      </c>
    </row>
    <row r="3">
      <c r="A3" s="2" t="inlineStr">
        <is>
          <t>Entity ID: cawc_0160   |   Fiscal year ends April 30.</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154857</v>
      </c>
      <c r="C8" s="9" t="n">
        <v>159131</v>
      </c>
      <c r="D8" s="9" t="n">
        <v>154694</v>
      </c>
      <c r="E8" s="9" t="n">
        <v>156022</v>
      </c>
      <c r="F8" s="9" t="n">
        <v>134908</v>
      </c>
    </row>
    <row r="9">
      <c r="A9" s="8" t="inlineStr">
        <is>
          <t xml:space="preserve">    3. Investment income</t>
        </is>
      </c>
      <c r="B9" s="9" t="n">
        <v>20788</v>
      </c>
      <c r="C9" s="9" t="n">
        <v>26291</v>
      </c>
      <c r="D9" s="9" t="n">
        <v>34543</v>
      </c>
      <c r="E9" s="9" t="n">
        <v>33346</v>
      </c>
      <c r="F9" s="9" t="n">
        <v>41431</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delivery System</t>
        </is>
      </c>
      <c r="B17" s="8" t="n"/>
      <c r="C17" s="9" t="n">
        <v>134908</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Caspar South Service Company</t>
        </is>
      </c>
    </row>
    <row r="2">
      <c r="A2" s="2" t="inlineStr">
        <is>
          <t>Statement of Functional Expenses - Form 990 Part IX (USD)</t>
        </is>
      </c>
    </row>
    <row r="3">
      <c r="A3" s="2" t="inlineStr">
        <is>
          <t>Entity ID: cawc_0160   |   Fiscal year ends April 30.</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12503</v>
      </c>
      <c r="C11" s="9" t="n">
        <v>19346</v>
      </c>
      <c r="D11" s="9" t="n">
        <v>14916</v>
      </c>
      <c r="E11" s="9" t="n">
        <v>14049</v>
      </c>
      <c r="F11" s="9" t="n">
        <v>13694</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0</v>
      </c>
      <c r="F18" s="9" t="n">
        <v>0</v>
      </c>
    </row>
    <row r="19">
      <c r="A19" s="8" t="inlineStr">
        <is>
          <t xml:space="preserve">    11c. Fees for services: accounting</t>
        </is>
      </c>
      <c r="B19" s="9" t="n">
        <v>7819</v>
      </c>
      <c r="C19" s="9" t="n">
        <v>8448</v>
      </c>
      <c r="D19" s="9" t="n">
        <v>6338</v>
      </c>
      <c r="E19" s="9" t="n">
        <v>7597</v>
      </c>
      <c r="F19" s="9" t="n">
        <v>5859</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4743</v>
      </c>
      <c r="C22" s="9" t="n">
        <v>10382</v>
      </c>
      <c r="D22" s="9" t="n">
        <v>7717</v>
      </c>
      <c r="E22" s="9" t="n">
        <v>10158</v>
      </c>
      <c r="F22" s="9" t="n">
        <v>14720</v>
      </c>
    </row>
    <row r="23">
      <c r="A23" s="8" t="inlineStr">
        <is>
          <t xml:space="preserve">    11g. Fees for services: other</t>
        </is>
      </c>
      <c r="B23" s="9" t="n">
        <v>11324</v>
      </c>
      <c r="C23" s="9" t="n">
        <v>11653</v>
      </c>
      <c r="D23" s="9" t="n">
        <v>11400</v>
      </c>
      <c r="E23" s="9" t="n">
        <v>11926</v>
      </c>
      <c r="F23" s="9" t="n">
        <v>10200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886</v>
      </c>
      <c r="C25" s="9" t="n">
        <v>990</v>
      </c>
      <c r="D25" s="9" t="n">
        <v>477</v>
      </c>
      <c r="E25" s="9" t="n">
        <v>565</v>
      </c>
      <c r="F25" s="9" t="n">
        <v>0</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5495</v>
      </c>
      <c r="C28" s="9" t="n">
        <v>5208</v>
      </c>
      <c r="D28" s="9" t="n">
        <v>5588</v>
      </c>
      <c r="E28" s="9" t="n">
        <v>5510</v>
      </c>
      <c r="F28" s="9" t="n">
        <v>5524</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1908</v>
      </c>
      <c r="C34" s="9" t="n">
        <v>1908</v>
      </c>
      <c r="D34" s="9" t="n">
        <v>728</v>
      </c>
      <c r="E34" s="9" t="n">
        <v>728</v>
      </c>
      <c r="F34" s="9" t="n">
        <v>728</v>
      </c>
    </row>
    <row r="35">
      <c r="A35" s="8" t="inlineStr">
        <is>
          <t xml:space="preserve">    23. Insurance</t>
        </is>
      </c>
      <c r="B35" s="9" t="n">
        <v>8208</v>
      </c>
      <c r="C35" s="9" t="n">
        <v>9095</v>
      </c>
      <c r="D35" s="9" t="n">
        <v>7788</v>
      </c>
      <c r="E35" s="9" t="n">
        <v>9339</v>
      </c>
      <c r="F35" s="9" t="n">
        <v>10481</v>
      </c>
    </row>
    <row r="36">
      <c r="A36" s="8" t="inlineStr">
        <is>
          <t xml:space="preserve">    24. Repairs &amp; Maintenance</t>
        </is>
      </c>
      <c r="B36" s="9" t="n">
        <v>17538</v>
      </c>
      <c r="C36" s="9" t="n">
        <v>20306</v>
      </c>
      <c r="D36" s="9" t="n">
        <v>15214</v>
      </c>
      <c r="E36" s="9" t="n">
        <v>15200</v>
      </c>
      <c r="F36" s="9" t="n">
        <v>16641</v>
      </c>
    </row>
    <row r="37">
      <c r="A37" s="8" t="inlineStr">
        <is>
          <t xml:space="preserve">    24. Water Treatment Supplies</t>
        </is>
      </c>
      <c r="B37" s="9" t="n">
        <v>5313</v>
      </c>
      <c r="C37" s="9" t="n">
        <v>7863</v>
      </c>
      <c r="D37" s="9" t="n">
        <v>8973</v>
      </c>
      <c r="E37" s="9" t="n">
        <v>7282</v>
      </c>
      <c r="F37" s="9" t="n">
        <v>8427</v>
      </c>
    </row>
    <row r="38">
      <c r="A38" s="8" t="inlineStr">
        <is>
          <t xml:space="preserve">    24. Water Testing</t>
        </is>
      </c>
      <c r="B38" s="9" t="n">
        <v>2700</v>
      </c>
      <c r="C38" s="9" t="n">
        <v>2345</v>
      </c>
      <c r="D38" s="9" t="n">
        <v>4035</v>
      </c>
      <c r="E38" s="9" t="n">
        <v>3660</v>
      </c>
      <c r="F38" s="9" t="n">
        <v>2145</v>
      </c>
    </row>
    <row r="39">
      <c r="A39" s="8" t="inlineStr">
        <is>
          <t xml:space="preserve">    24. Licenses &amp; Permits</t>
        </is>
      </c>
      <c r="B39" s="9" t="n">
        <v>1014</v>
      </c>
      <c r="C39" s="9" t="n">
        <v>1014</v>
      </c>
      <c r="D39" s="9" t="n">
        <v>1710</v>
      </c>
      <c r="E39" s="9" t="n">
        <v>1804</v>
      </c>
      <c r="F39" s="14" t="inlineStr">
        <is>
          <t>not reported</t>
        </is>
      </c>
    </row>
    <row r="40">
      <c r="A40" s="8" t="inlineStr">
        <is>
          <t xml:space="preserve">    24. Meters</t>
        </is>
      </c>
      <c r="B40" s="14" t="inlineStr">
        <is>
          <t>not reported</t>
        </is>
      </c>
      <c r="C40" s="14" t="inlineStr">
        <is>
          <t>not reported</t>
        </is>
      </c>
      <c r="D40" s="14" t="inlineStr">
        <is>
          <t>not reported</t>
        </is>
      </c>
      <c r="E40" s="14" t="inlineStr">
        <is>
          <t>not reported</t>
        </is>
      </c>
      <c r="F40" s="9" t="n">
        <v>3707</v>
      </c>
    </row>
    <row r="41">
      <c r="A41" s="8" t="inlineStr">
        <is>
          <t xml:space="preserve">    24e. All other expenses</t>
        </is>
      </c>
      <c r="B41" s="9" t="n">
        <v>212</v>
      </c>
      <c r="C41" s="9" t="n">
        <v>702</v>
      </c>
      <c r="D41" s="9" t="n">
        <v>0</v>
      </c>
      <c r="E41" s="9" t="n">
        <v>1492</v>
      </c>
      <c r="F41" s="9" t="n">
        <v>2722</v>
      </c>
    </row>
    <row r="42">
      <c r="A42" s="10" t="inlineStr">
        <is>
          <t>25. Total functional expenses</t>
        </is>
      </c>
      <c r="B42" s="11">
        <f>SUM(B7:B41)</f>
        <v/>
      </c>
      <c r="C42" s="11">
        <f>SUM(C7:C41)</f>
        <v/>
      </c>
      <c r="D42" s="11">
        <f>SUM(D7:D41)</f>
        <v/>
      </c>
      <c r="E42" s="11">
        <f>SUM(E7:E41)</f>
        <v/>
      </c>
      <c r="F42" s="11">
        <f>SUM(F7:F41)</f>
        <v/>
      </c>
    </row>
    <row r="44">
      <c r="A44" s="6" t="inlineStr">
        <is>
          <t>Functional column split - FY2024 (col A = B + C + D)</t>
        </is>
      </c>
      <c r="B44" s="7" t="n"/>
      <c r="C44" s="7" t="n"/>
      <c r="D44" s="7" t="n"/>
      <c r="E44" s="7" t="n"/>
      <c r="F44" s="7" t="n"/>
    </row>
    <row r="45">
      <c r="A45" s="5" t="inlineStr">
        <is>
          <t>Part IX line</t>
        </is>
      </c>
      <c r="B45" s="5" t="inlineStr">
        <is>
          <t>A. Total</t>
        </is>
      </c>
      <c r="C45" s="5" t="inlineStr">
        <is>
          <t>B. Program services</t>
        </is>
      </c>
      <c r="D45" s="5" t="inlineStr">
        <is>
          <t>C. Management &amp; general</t>
        </is>
      </c>
      <c r="E45" s="5" t="inlineStr">
        <is>
          <t>D. Fundraising</t>
        </is>
      </c>
    </row>
    <row r="46">
      <c r="A46" s="20" t="inlineStr">
        <is>
          <t>1. Grants to domestic organizations and governments</t>
        </is>
      </c>
      <c r="B46" s="9" t="n">
        <v>0</v>
      </c>
      <c r="C46" s="9" t="n"/>
      <c r="D46" s="9" t="n"/>
      <c r="E46" s="9" t="n"/>
    </row>
    <row r="47">
      <c r="A47" s="20" t="inlineStr">
        <is>
          <t>2. Grants to domestic individuals</t>
        </is>
      </c>
      <c r="B47" s="9" t="n">
        <v>0</v>
      </c>
      <c r="C47" s="9" t="n"/>
      <c r="D47" s="9" t="n"/>
      <c r="E47" s="9" t="n"/>
    </row>
    <row r="48">
      <c r="A48" s="20" t="inlineStr">
        <is>
          <t>3. Grants to foreign organizations and individuals</t>
        </is>
      </c>
      <c r="B48" s="9" t="n">
        <v>0</v>
      </c>
      <c r="C48" s="9" t="n"/>
      <c r="D48" s="9" t="n"/>
      <c r="E48" s="9" t="n"/>
    </row>
    <row r="49">
      <c r="A49" s="20" t="inlineStr">
        <is>
          <t>4. Benefits paid to or for members</t>
        </is>
      </c>
      <c r="B49" s="9" t="n">
        <v>0</v>
      </c>
      <c r="C49" s="9" t="n"/>
      <c r="D49" s="9" t="n"/>
      <c r="E49" s="9" t="n"/>
    </row>
    <row r="50">
      <c r="A50" s="20" t="inlineStr">
        <is>
          <t>5. Compensation of current officers, directors, trustees</t>
        </is>
      </c>
      <c r="B50" s="9" t="n">
        <v>13694</v>
      </c>
      <c r="C50" s="9" t="n">
        <v>13694</v>
      </c>
      <c r="D50" s="9" t="n"/>
      <c r="E50" s="9" t="n"/>
    </row>
    <row r="51">
      <c r="A51" s="20" t="inlineStr">
        <is>
          <t>6. Compensation to disqualified persons</t>
        </is>
      </c>
      <c r="B51" s="9" t="n">
        <v>0</v>
      </c>
      <c r="C51" s="9" t="n"/>
      <c r="D51" s="9" t="n"/>
      <c r="E51" s="9" t="n"/>
    </row>
    <row r="52">
      <c r="A52" s="20" t="inlineStr">
        <is>
          <t>7. Other salaries and wages</t>
        </is>
      </c>
      <c r="B52" s="9" t="n">
        <v>0</v>
      </c>
      <c r="C52" s="9" t="n"/>
      <c r="D52" s="9" t="n"/>
      <c r="E52" s="9" t="n"/>
    </row>
    <row r="53">
      <c r="A53" s="20" t="inlineStr">
        <is>
          <t>8. Pension plan accruals and contributions</t>
        </is>
      </c>
      <c r="B53" s="9" t="n">
        <v>0</v>
      </c>
      <c r="C53" s="9" t="n"/>
      <c r="D53" s="9" t="n"/>
      <c r="E53" s="9" t="n"/>
    </row>
    <row r="54">
      <c r="A54" s="20" t="inlineStr">
        <is>
          <t>9. Other employee benefits</t>
        </is>
      </c>
      <c r="B54" s="9" t="n">
        <v>0</v>
      </c>
      <c r="C54" s="9" t="n"/>
      <c r="D54" s="9" t="n"/>
      <c r="E54" s="9" t="n"/>
    </row>
    <row r="55">
      <c r="A55" s="20" t="inlineStr">
        <is>
          <t>10. Payroll taxes</t>
        </is>
      </c>
      <c r="B55" s="9" t="n">
        <v>0</v>
      </c>
      <c r="C55" s="9" t="n"/>
      <c r="D55" s="9" t="n"/>
      <c r="E55" s="9" t="n"/>
    </row>
    <row r="56">
      <c r="A56" s="20" t="inlineStr">
        <is>
          <t>11a. Fees for services: management</t>
        </is>
      </c>
      <c r="B56" s="9" t="n">
        <v>0</v>
      </c>
      <c r="C56" s="9" t="n"/>
      <c r="D56" s="9" t="n"/>
      <c r="E56" s="9" t="n"/>
    </row>
    <row r="57">
      <c r="A57" s="20" t="inlineStr">
        <is>
          <t>11b. Fees for services: legal</t>
        </is>
      </c>
      <c r="B57" s="9" t="n">
        <v>0</v>
      </c>
      <c r="C57" s="9" t="n"/>
      <c r="D57" s="9" t="n"/>
      <c r="E57" s="9" t="n"/>
    </row>
    <row r="58">
      <c r="A58" s="20" t="inlineStr">
        <is>
          <t>11c. Fees for services: accounting</t>
        </is>
      </c>
      <c r="B58" s="9" t="n">
        <v>5859</v>
      </c>
      <c r="C58" s="9" t="n">
        <v>5273</v>
      </c>
      <c r="D58" s="9" t="n">
        <v>586</v>
      </c>
      <c r="E58" s="9" t="n"/>
    </row>
    <row r="59">
      <c r="A59" s="20" t="inlineStr">
        <is>
          <t>11d. Fees for services: lobbying</t>
        </is>
      </c>
      <c r="B59" s="9" t="n">
        <v>0</v>
      </c>
      <c r="C59" s="9" t="n"/>
      <c r="D59" s="9" t="n"/>
      <c r="E59" s="9" t="n"/>
    </row>
    <row r="60">
      <c r="A60" s="20" t="inlineStr">
        <is>
          <t>11e. Fees for services: professional fundraising</t>
        </is>
      </c>
      <c r="B60" s="9" t="n">
        <v>0</v>
      </c>
      <c r="C60" s="9" t="n"/>
      <c r="D60" s="9" t="n"/>
      <c r="E60" s="9" t="n"/>
    </row>
    <row r="61">
      <c r="A61" s="20" t="inlineStr">
        <is>
          <t>11f. Fees for services: investment management</t>
        </is>
      </c>
      <c r="B61" s="9" t="n">
        <v>14720</v>
      </c>
      <c r="C61" s="9" t="n">
        <v>13248</v>
      </c>
      <c r="D61" s="9" t="n">
        <v>1472</v>
      </c>
      <c r="E61" s="9" t="n"/>
    </row>
    <row r="62">
      <c r="A62" s="20" t="inlineStr">
        <is>
          <t>11g. Fees for services: other</t>
        </is>
      </c>
      <c r="B62" s="9" t="n">
        <v>10200</v>
      </c>
      <c r="C62" s="9" t="n">
        <v>9180</v>
      </c>
      <c r="D62" s="9" t="n">
        <v>1020</v>
      </c>
      <c r="E62" s="9" t="n"/>
    </row>
    <row r="63">
      <c r="A63" s="20" t="inlineStr">
        <is>
          <t>12. Advertising and promotion</t>
        </is>
      </c>
      <c r="B63" s="9" t="n">
        <v>0</v>
      </c>
      <c r="C63" s="9" t="n"/>
      <c r="D63" s="9" t="n"/>
      <c r="E63" s="9" t="n"/>
    </row>
    <row r="64">
      <c r="A64" s="20" t="inlineStr">
        <is>
          <t>13. Office expenses</t>
        </is>
      </c>
      <c r="B64" s="9" t="n">
        <v>0</v>
      </c>
      <c r="C64" s="9" t="n"/>
      <c r="D64" s="9" t="n"/>
      <c r="E64" s="9" t="n"/>
    </row>
    <row r="65">
      <c r="A65" s="20" t="inlineStr">
        <is>
          <t>14. Information technology</t>
        </is>
      </c>
      <c r="B65" s="9" t="n">
        <v>0</v>
      </c>
      <c r="C65" s="9" t="n"/>
      <c r="D65" s="9" t="n"/>
      <c r="E65" s="9" t="n"/>
    </row>
    <row r="66">
      <c r="A66" s="20" t="inlineStr">
        <is>
          <t>15. Royalties</t>
        </is>
      </c>
      <c r="B66" s="9" t="n">
        <v>0</v>
      </c>
      <c r="C66" s="9" t="n"/>
      <c r="D66" s="9" t="n"/>
      <c r="E66" s="9" t="n"/>
    </row>
    <row r="67">
      <c r="A67" s="20" t="inlineStr">
        <is>
          <t>16. Occupancy</t>
        </is>
      </c>
      <c r="B67" s="9" t="n">
        <v>5524</v>
      </c>
      <c r="C67" s="9" t="n">
        <v>4972</v>
      </c>
      <c r="D67" s="9" t="n">
        <v>552</v>
      </c>
      <c r="E67" s="9" t="n"/>
    </row>
    <row r="68">
      <c r="A68" s="20" t="inlineStr">
        <is>
          <t>17. Travel</t>
        </is>
      </c>
      <c r="B68" s="9" t="n">
        <v>0</v>
      </c>
      <c r="C68" s="9" t="n"/>
      <c r="D68" s="9" t="n"/>
      <c r="E68" s="9" t="n"/>
    </row>
    <row r="69">
      <c r="A69" s="20" t="inlineStr">
        <is>
          <t>18. Payments of travel/entertainment for public officials</t>
        </is>
      </c>
      <c r="B69" s="9" t="n">
        <v>0</v>
      </c>
      <c r="C69" s="9" t="n"/>
      <c r="D69" s="9" t="n"/>
      <c r="E69" s="9" t="n"/>
    </row>
    <row r="70">
      <c r="A70" s="20" t="inlineStr">
        <is>
          <t>19. Conferences, conventions, and meetings</t>
        </is>
      </c>
      <c r="B70" s="9" t="n">
        <v>0</v>
      </c>
      <c r="C70" s="9" t="n"/>
      <c r="D70" s="9" t="n"/>
      <c r="E70" s="9" t="n"/>
    </row>
    <row r="71">
      <c r="A71" s="20" t="inlineStr">
        <is>
          <t>20. Interest</t>
        </is>
      </c>
      <c r="B71" s="9" t="n">
        <v>0</v>
      </c>
      <c r="C71" s="9" t="n"/>
      <c r="D71" s="9" t="n"/>
      <c r="E71" s="9" t="n"/>
    </row>
    <row r="72">
      <c r="A72" s="20" t="inlineStr">
        <is>
          <t>21. Payments to affiliates</t>
        </is>
      </c>
      <c r="B72" s="9" t="n">
        <v>0</v>
      </c>
      <c r="C72" s="9" t="n"/>
      <c r="D72" s="9" t="n"/>
      <c r="E72" s="9" t="n"/>
    </row>
    <row r="73">
      <c r="A73" s="20" t="inlineStr">
        <is>
          <t>22. Depreciation, depletion, and amortization</t>
        </is>
      </c>
      <c r="B73" s="9" t="n">
        <v>728</v>
      </c>
      <c r="C73" s="9" t="n">
        <v>655</v>
      </c>
      <c r="D73" s="9" t="n">
        <v>73</v>
      </c>
      <c r="E73" s="9" t="n"/>
    </row>
    <row r="74">
      <c r="A74" s="20" t="inlineStr">
        <is>
          <t>23. Insurance</t>
        </is>
      </c>
      <c r="B74" s="9" t="n">
        <v>10481</v>
      </c>
      <c r="C74" s="9" t="n">
        <v>9433</v>
      </c>
      <c r="D74" s="9" t="n">
        <v>1048</v>
      </c>
      <c r="E74" s="9" t="n"/>
    </row>
    <row r="75">
      <c r="A75" s="10" t="inlineStr">
        <is>
          <t>25. Total (filed col A / B / C / D)</t>
        </is>
      </c>
      <c r="B75" s="11" t="n">
        <v>94848</v>
      </c>
      <c r="C75" s="11" t="n">
        <v>86733</v>
      </c>
      <c r="D75" s="11" t="n">
        <v>8115</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7:F77"/>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Caspar South Service Company</t>
        </is>
      </c>
    </row>
    <row r="2">
      <c r="A2" s="2" t="inlineStr">
        <is>
          <t>Balance Sheet - Form 990 Part X (end of year, USD)</t>
        </is>
      </c>
    </row>
    <row r="3">
      <c r="A3" s="2" t="inlineStr">
        <is>
          <t>Entity ID: cawc_0160   |   Fiscal year ends April 30.</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14537</v>
      </c>
      <c r="C7" s="9" t="n">
        <v>41773</v>
      </c>
      <c r="D7" s="9" t="n">
        <v>7535</v>
      </c>
      <c r="E7" s="9" t="n">
        <v>24234</v>
      </c>
      <c r="F7" s="9" t="n">
        <v>6743</v>
      </c>
    </row>
    <row r="8">
      <c r="A8" s="8" t="inlineStr">
        <is>
          <t xml:space="preserve">    2. Savings and temporary cash investments</t>
        </is>
      </c>
      <c r="B8" s="9" t="n">
        <v>14860</v>
      </c>
      <c r="C8" s="9" t="n">
        <v>14868</v>
      </c>
      <c r="D8" s="9" t="n">
        <v>14875</v>
      </c>
      <c r="E8" s="9" t="n">
        <v>14882</v>
      </c>
      <c r="F8" s="9" t="n">
        <v>7890</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11609</v>
      </c>
      <c r="C10" s="9" t="n">
        <v>11609</v>
      </c>
      <c r="D10" s="9" t="n">
        <v>9102</v>
      </c>
      <c r="E10" s="9" t="n">
        <v>0</v>
      </c>
      <c r="F10" s="9" t="n">
        <v>0</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0</v>
      </c>
      <c r="C15" s="9" t="n">
        <v>0</v>
      </c>
      <c r="D15" s="9" t="n">
        <v>0</v>
      </c>
      <c r="E15" s="9" t="n">
        <v>0</v>
      </c>
      <c r="F15" s="9" t="n">
        <v>0</v>
      </c>
    </row>
    <row r="16">
      <c r="A16" s="8" t="inlineStr">
        <is>
          <t xml:space="preserve">    10c. Land, buildings, and equipment, net</t>
        </is>
      </c>
      <c r="B16" s="9" t="n">
        <v>56847</v>
      </c>
      <c r="C16" s="9" t="n">
        <v>54939</v>
      </c>
      <c r="D16" s="9" t="n">
        <v>54211</v>
      </c>
      <c r="E16" s="9" t="n">
        <v>53483</v>
      </c>
      <c r="F16" s="9" t="n">
        <v>52755</v>
      </c>
    </row>
    <row r="17">
      <c r="A17" s="8" t="inlineStr">
        <is>
          <t xml:space="preserve">    11. Investments - publicly traded securities</t>
        </is>
      </c>
      <c r="B17" s="9" t="n">
        <v>599594</v>
      </c>
      <c r="C17" s="9" t="n">
        <v>772264</v>
      </c>
      <c r="D17" s="9" t="n">
        <v>820200</v>
      </c>
      <c r="E17" s="9" t="n">
        <v>888680</v>
      </c>
      <c r="F17" s="9" t="n">
        <v>1064799</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0</v>
      </c>
      <c r="C21" s="9" t="n">
        <v>0</v>
      </c>
      <c r="D21" s="9" t="n">
        <v>0</v>
      </c>
      <c r="E21" s="9" t="n">
        <v>1</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25. Other liabilities</t>
        </is>
      </c>
      <c r="B25" s="9" t="n">
        <v>1</v>
      </c>
      <c r="C25" s="14" t="inlineStr">
        <is>
          <t>not reported</t>
        </is>
      </c>
      <c r="D25" s="9" t="n">
        <v>1</v>
      </c>
      <c r="E25" s="14" t="inlineStr">
        <is>
          <t>not reported</t>
        </is>
      </c>
      <c r="F25" s="9" t="n">
        <v>1</v>
      </c>
    </row>
    <row r="26">
      <c r="A26" s="10" t="inlineStr">
        <is>
          <t>26. Total liabilities</t>
        </is>
      </c>
      <c r="B26" s="11">
        <f>SUM(B25:B25)</f>
        <v/>
      </c>
      <c r="C26" s="11">
        <f>SUM(C25:C25)</f>
        <v/>
      </c>
      <c r="D26" s="11">
        <f>SUM(D25:D25)</f>
        <v/>
      </c>
      <c r="E26" s="11">
        <f>SUM(E25:E25)</f>
        <v/>
      </c>
      <c r="F26" s="11">
        <f>SUM(F25:F25)</f>
        <v/>
      </c>
    </row>
    <row r="28">
      <c r="A28" s="6" t="inlineStr">
        <is>
          <t>Net assets / fund balances</t>
        </is>
      </c>
      <c r="B28" s="7" t="n"/>
      <c r="C28" s="7" t="n"/>
      <c r="D28" s="7" t="n"/>
      <c r="E28" s="7" t="n"/>
      <c r="F28" s="7" t="n"/>
    </row>
    <row r="29">
      <c r="A29" s="8" t="inlineStr">
        <is>
          <t xml:space="preserve">    31. Retained earnings / accumulated funds</t>
        </is>
      </c>
      <c r="B29" s="9" t="n">
        <v>697446</v>
      </c>
      <c r="C29" s="9" t="n">
        <v>895453</v>
      </c>
      <c r="D29" s="9" t="n">
        <v>905922</v>
      </c>
      <c r="E29" s="9" t="n">
        <v>981280</v>
      </c>
      <c r="F29" s="9" t="n">
        <v>1132186</v>
      </c>
    </row>
    <row r="30">
      <c r="A30" s="10" t="inlineStr">
        <is>
          <t>32. Total net assets / fund balances</t>
        </is>
      </c>
      <c r="B30" s="11">
        <f>SUM(B29:B29)</f>
        <v/>
      </c>
      <c r="C30" s="11">
        <f>SUM(C29:C29)</f>
        <v/>
      </c>
      <c r="D30" s="11">
        <f>SUM(D29:D29)</f>
        <v/>
      </c>
      <c r="E30" s="11">
        <f>SUM(E29:E29)</f>
        <v/>
      </c>
      <c r="F30" s="11">
        <f>SUM(F29:F29)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2:F3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Caspar South Service Company</t>
        </is>
      </c>
    </row>
    <row r="2">
      <c r="A2" s="2" t="inlineStr">
        <is>
          <t>Reconciliation of Net Assets - Form 990 Part XI (USD)</t>
        </is>
      </c>
    </row>
    <row r="3">
      <c r="A3" s="2" t="inlineStr">
        <is>
          <t>Entity ID: cawc_0160   |   Fiscal year ends April 30.</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602714</v>
      </c>
      <c r="C7" s="9" t="n">
        <v>697446</v>
      </c>
      <c r="D7" s="9" t="n">
        <v>895453</v>
      </c>
      <c r="E7" s="9" t="n">
        <v>905922</v>
      </c>
      <c r="F7" s="9" t="n">
        <v>981280</v>
      </c>
    </row>
    <row r="8">
      <c r="A8" s="8" t="inlineStr">
        <is>
          <t xml:space="preserve">    3. Revenue less expenses</t>
        </is>
      </c>
      <c r="B8" s="9" t="n">
        <v>95982</v>
      </c>
      <c r="C8" s="9" t="n">
        <v>86162</v>
      </c>
      <c r="D8" s="9" t="n">
        <v>104353</v>
      </c>
      <c r="E8" s="9" t="n">
        <v>100058</v>
      </c>
      <c r="F8" s="9" t="n">
        <v>81491</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Caspar South Service Company</t>
        </is>
      </c>
    </row>
    <row r="2">
      <c r="A2" s="2" t="inlineStr">
        <is>
          <t>Cash Flow Proxies - derived (USD)</t>
        </is>
      </c>
    </row>
    <row r="3">
      <c r="A3" s="2" t="inlineStr">
        <is>
          <t>Entity ID: cawc_0160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95982</v>
      </c>
      <c r="C9" s="9" t="n">
        <v>86162</v>
      </c>
      <c r="D9" s="9" t="n">
        <v>104353</v>
      </c>
      <c r="E9" s="9" t="n">
        <v>100058</v>
      </c>
      <c r="F9" s="9" t="n">
        <v>81491</v>
      </c>
    </row>
    <row r="10">
      <c r="A10" s="8" t="inlineStr">
        <is>
          <t xml:space="preserve">    + Depreciation (reported)</t>
        </is>
      </c>
      <c r="B10" s="9" t="n">
        <v>1908</v>
      </c>
      <c r="C10" s="9" t="n">
        <v>1908</v>
      </c>
      <c r="D10" s="9" t="n">
        <v>728</v>
      </c>
      <c r="E10" s="9" t="n">
        <v>728</v>
      </c>
      <c r="F10" s="9" t="n">
        <v>728</v>
      </c>
    </row>
    <row r="11">
      <c r="A11" s="8" t="inlineStr">
        <is>
          <t xml:space="preserve">    − Δ Accounts receivable</t>
        </is>
      </c>
      <c r="B11" s="9" t="n"/>
      <c r="C11" s="9" t="n">
        <v>0</v>
      </c>
      <c r="D11" s="9" t="n">
        <v>2507</v>
      </c>
      <c r="E11" s="9" t="n">
        <v>9102</v>
      </c>
      <c r="F11" s="9" t="n">
        <v>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0</v>
      </c>
      <c r="D13" s="9" t="n">
        <v>0</v>
      </c>
      <c r="E13" s="9" t="n">
        <v>0</v>
      </c>
      <c r="F13" s="9" t="n">
        <v>0</v>
      </c>
    </row>
    <row r="14">
      <c r="A14" s="8" t="inlineStr">
        <is>
          <t xml:space="preserve">    + Δ Accounts payable</t>
        </is>
      </c>
      <c r="B14" s="9" t="n"/>
      <c r="C14" s="9" t="n"/>
      <c r="D14" s="9" t="n"/>
      <c r="E14" s="9" t="n"/>
      <c r="F14" s="9" t="n"/>
    </row>
    <row r="15">
      <c r="A15" s="10" t="inlineStr">
        <is>
          <t xml:space="preserve">    Operating cash flow proxy</t>
        </is>
      </c>
      <c r="B15" s="11" t="n"/>
      <c r="C15" s="11" t="n">
        <v>88070</v>
      </c>
      <c r="D15" s="11" t="n">
        <v>107588</v>
      </c>
      <c r="E15" s="11" t="n">
        <v>109888</v>
      </c>
      <c r="F15" s="11" t="n">
        <v>82219</v>
      </c>
    </row>
    <row r="17">
      <c r="A17" s="6" t="inlineStr">
        <is>
          <t>Investing</t>
        </is>
      </c>
      <c r="B17" s="7" t="n"/>
      <c r="C17" s="7" t="n"/>
      <c r="D17" s="7" t="n"/>
      <c r="E17" s="7" t="n"/>
      <c r="F17" s="7" t="n"/>
    </row>
    <row r="18">
      <c r="A18" s="8" t="inlineStr">
        <is>
          <t xml:space="preserve">    − Δ PP&amp;E gross (capex proxy)</t>
        </is>
      </c>
      <c r="B18" s="9" t="n"/>
      <c r="C18" s="9" t="n">
        <v>0</v>
      </c>
      <c r="D18" s="9" t="n">
        <v>0</v>
      </c>
      <c r="E18" s="9" t="n">
        <v>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27244</v>
      </c>
      <c r="D24" s="11" t="n">
        <v>-34231</v>
      </c>
      <c r="E24" s="11" t="n">
        <v>16706</v>
      </c>
      <c r="F24" s="11" t="n">
        <v>-24483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Caspar South Service Company</t>
        </is>
      </c>
    </row>
    <row r="2">
      <c r="A2" s="2" t="inlineStr">
        <is>
          <t>Financial Ratios</t>
        </is>
      </c>
    </row>
    <row r="3">
      <c r="A3" s="2" t="inlineStr">
        <is>
          <t>Entity ID: cawc_0160   |   Fiscal year ends April 30.</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0.5464544962851206</v>
      </c>
      <c r="C7" s="12" t="n">
        <v>0.4646805664915706</v>
      </c>
      <c r="D7" s="12" t="n">
        <v>0.5514407858928222</v>
      </c>
      <c r="E7" s="12" t="n">
        <v>0.5283786067339783</v>
      </c>
      <c r="F7" s="12" t="n">
        <v>0.4621269259778041</v>
      </c>
    </row>
    <row r="8">
      <c r="A8" s="8" t="inlineStr">
        <is>
          <t xml:space="preserve">    Expense ratio (expenses / revenue)</t>
        </is>
      </c>
      <c r="B8" s="12" t="n">
        <v>0.4535455037148794</v>
      </c>
      <c r="C8" s="12" t="n">
        <v>0.5353194335084294</v>
      </c>
      <c r="D8" s="12" t="n">
        <v>0.4485592141071778</v>
      </c>
      <c r="E8" s="12" t="n">
        <v>0.4716213932660217</v>
      </c>
      <c r="F8" s="12" t="n">
        <v>0.5378730740221959</v>
      </c>
    </row>
    <row r="9">
      <c r="A9" s="8" t="inlineStr">
        <is>
          <t xml:space="preserve">    Return on assets (NI / assets)</t>
        </is>
      </c>
      <c r="B9" s="12" t="n">
        <v>0.1376190592260057</v>
      </c>
      <c r="C9" s="12" t="n">
        <v>0.09622168891052908</v>
      </c>
      <c r="D9" s="12" t="n">
        <v>0.1151897015530017</v>
      </c>
      <c r="E9" s="12" t="n">
        <v>0.1019668188488505</v>
      </c>
      <c r="F9" s="12" t="n">
        <v>0.07197662576941795</v>
      </c>
    </row>
    <row r="10">
      <c r="A10" s="8" t="inlineStr">
        <is>
          <t xml:space="preserve">    Revenue growth (YoY)</t>
        </is>
      </c>
      <c r="B10" s="12" t="n">
        <v>0.06819881895749585</v>
      </c>
      <c r="C10" s="12" t="n">
        <v>0.05566341199578696</v>
      </c>
      <c r="D10" s="12" t="n">
        <v>0.02057468908759478</v>
      </c>
      <c r="E10" s="12" t="n">
        <v>0.0006922536290471736</v>
      </c>
      <c r="F10" s="12" t="n">
        <v>-0.06880254319631617</v>
      </c>
    </row>
    <row r="12">
      <c r="A12" s="6" t="inlineStr">
        <is>
          <t>Leverage &amp; solvency</t>
        </is>
      </c>
      <c r="B12" s="7" t="n"/>
      <c r="C12" s="7" t="n"/>
      <c r="D12" s="7" t="n"/>
      <c r="E12" s="7" t="n"/>
      <c r="F12" s="7" t="n"/>
    </row>
    <row r="13">
      <c r="A13" s="8" t="inlineStr">
        <is>
          <t xml:space="preserve">    Debt-to-assets (liab. / assets)</t>
        </is>
      </c>
      <c r="B13" s="12" t="n">
        <v>1.433800704569666e-06</v>
      </c>
      <c r="C13" s="12" t="n">
        <v>0</v>
      </c>
      <c r="D13" s="12" t="n">
        <v>1.103846574156965e-06</v>
      </c>
      <c r="E13" s="12" t="n">
        <v>0</v>
      </c>
      <c r="F13" s="12" t="n">
        <v>8.832463188501546e-07</v>
      </c>
    </row>
    <row r="14">
      <c r="A14" s="8" t="inlineStr">
        <is>
          <t xml:space="preserve">    Equity ratio (net assets / assets)</t>
        </is>
      </c>
      <c r="B14" s="12" t="n">
        <v>0.9999985661992954</v>
      </c>
      <c r="C14" s="12" t="n">
        <v>1</v>
      </c>
      <c r="D14" s="12" t="n">
        <v>0.9999988961534259</v>
      </c>
      <c r="E14" s="12" t="n">
        <v>1</v>
      </c>
      <c r="F14" s="12" t="n">
        <v>0.9999991167536811</v>
      </c>
    </row>
    <row r="16">
      <c r="A16" s="6" t="inlineStr">
        <is>
          <t>Liquidity &amp; asset profile (derived here)</t>
        </is>
      </c>
      <c r="B16" s="7" t="n"/>
      <c r="C16" s="7" t="n"/>
      <c r="D16" s="7" t="n"/>
      <c r="E16" s="7" t="n"/>
      <c r="F16" s="7" t="n"/>
    </row>
    <row r="17">
      <c r="A17" s="8" t="inlineStr">
        <is>
          <t xml:space="preserve">    Current ratio (current assets / AP)</t>
        </is>
      </c>
      <c r="B17" s="21" t="n"/>
      <c r="C17" s="21" t="n"/>
      <c r="D17" s="21" t="n"/>
      <c r="E17" s="21" t="n"/>
      <c r="F17" s="21" t="n"/>
    </row>
    <row r="18">
      <c r="A18" s="8" t="inlineStr">
        <is>
          <t xml:space="preserve">    Cash ratio ((cash+temp inv.) / total liab.)</t>
        </is>
      </c>
      <c r="B18" s="21" t="n">
        <v>29397</v>
      </c>
      <c r="C18" s="21" t="n"/>
      <c r="D18" s="21" t="n">
        <v>22410</v>
      </c>
      <c r="E18" s="21" t="n"/>
      <c r="F18" s="21" t="n">
        <v>14633</v>
      </c>
    </row>
    <row r="19">
      <c r="A19" s="8" t="inlineStr">
        <is>
          <t xml:space="preserve">    Asset age proxy (accum. deprec. / gross PP&amp;E)</t>
        </is>
      </c>
      <c r="B19" s="12" t="n">
        <v>0.8596294119680575</v>
      </c>
      <c r="C19" s="12" t="n">
        <v>0.8643407790052793</v>
      </c>
      <c r="D19" s="12" t="n">
        <v>0.8661384075184331</v>
      </c>
      <c r="E19" s="12" t="n">
        <v>0.8679360360315869</v>
      </c>
      <c r="F19" s="12" t="n">
        <v>0.8697336645447407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Caspar South Service Company</t>
        </is>
      </c>
    </row>
    <row r="2">
      <c r="A2" s="2" t="inlineStr">
        <is>
          <t>Unit economics - per-customer revenue by category (USD)</t>
        </is>
      </c>
    </row>
    <row r="3">
      <c r="A3" s="2" t="inlineStr">
        <is>
          <t>Entity ID: cawc_0160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Caspar South Service Company</t>
        </is>
      </c>
    </row>
    <row r="2">
      <c r="A2" s="2" t="inlineStr">
        <is>
          <t>Rate structure and representative bill - eAR Section 8a</t>
        </is>
      </c>
    </row>
    <row r="3">
      <c r="A3" s="2" t="inlineStr">
        <is>
          <t>Entity ID: cawc_0160   |   Fiscal year ends April 30.</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Caspar South Service Company</t>
        </is>
      </c>
    </row>
    <row r="2">
      <c r="A2" s="2" t="inlineStr">
        <is>
          <t>Operational metrics - plant per acre, density, terrain</t>
        </is>
      </c>
    </row>
    <row r="3">
      <c r="A3" s="2" t="inlineStr">
        <is>
          <t>Entity ID: cawc_0160   |   Fiscal year ends April 30.</t>
        </is>
      </c>
    </row>
    <row r="5">
      <c r="A5" s="6" t="inlineStr">
        <is>
          <t>Plant assets per acre</t>
        </is>
      </c>
      <c r="B5" s="7" t="n"/>
      <c r="C5" s="7" t="n"/>
    </row>
    <row r="6">
      <c r="A6" s="22" t="inlineStr">
        <is>
          <t>Service-area acres</t>
        </is>
      </c>
      <c r="B6" s="28" t="n">
        <v>100.9</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4013.6571</v>
      </c>
      <c r="C8" s="9" t="n">
        <v>563.3994</v>
      </c>
    </row>
    <row r="9">
      <c r="A9" s="20" t="inlineStr">
        <is>
          <t>FY2021</t>
        </is>
      </c>
      <c r="B9" s="9" t="n">
        <v>4013.6571</v>
      </c>
      <c r="C9" s="9" t="n">
        <v>544.4896</v>
      </c>
    </row>
    <row r="10">
      <c r="A10" s="20" t="inlineStr">
        <is>
          <t>FY2022</t>
        </is>
      </c>
      <c r="B10" s="9" t="n">
        <v>4013.6571</v>
      </c>
      <c r="C10" s="9" t="n">
        <v>537.2745</v>
      </c>
    </row>
    <row r="11">
      <c r="A11" s="20" t="inlineStr">
        <is>
          <t>FY2023</t>
        </is>
      </c>
      <c r="B11" s="9" t="n">
        <v>4013.6571</v>
      </c>
      <c r="C11" s="9" t="n">
        <v>530.0595</v>
      </c>
    </row>
    <row r="12">
      <c r="A12" s="20" t="inlineStr">
        <is>
          <t>FY2024</t>
        </is>
      </c>
      <c r="B12" s="9" t="n">
        <v>4013.6571</v>
      </c>
      <c r="C12" s="9" t="n">
        <v>522.8444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0.9399999999999999</v>
      </c>
      <c r="C19" s="24" t="inlineStr">
        <is>
          <t>95 connections / 100.9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Caspar South Service Company</t>
        </is>
      </c>
    </row>
    <row r="2">
      <c r="A2" s="2" t="inlineStr">
        <is>
          <t>Supply and weather indicators (DWR water year)</t>
        </is>
      </c>
    </row>
    <row r="3">
      <c r="A3" s="2" t="inlineStr">
        <is>
          <t>Entity ID: cawc_0160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9" t="inlineStr">
        <is>
          <t>Dry</t>
        </is>
      </c>
      <c r="C8" s="29" t="inlineStr">
        <is>
          <t>Critical</t>
        </is>
      </c>
      <c r="D8" s="29" t="inlineStr">
        <is>
          <t>Critical</t>
        </is>
      </c>
      <c r="E8" s="29" t="inlineStr">
        <is>
          <t>Wet</t>
        </is>
      </c>
      <c r="F8" s="29" t="inlineStr">
        <is>
          <t>Above Normal</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63</t>
        </is>
      </c>
      <c r="C10" s="29" t="inlineStr">
        <is>
          <t>48</t>
        </is>
      </c>
      <c r="D10" s="29" t="inlineStr">
        <is>
          <t>86</t>
        </is>
      </c>
      <c r="E10" s="29" t="inlineStr">
        <is>
          <t>133</t>
        </is>
      </c>
      <c r="F10" s="29" t="inlineStr">
        <is>
          <t>96</t>
        </is>
      </c>
    </row>
    <row r="11">
      <c r="A11" s="8" t="inlineStr">
        <is>
          <t>Snowpack, April 1 percent of average</t>
        </is>
      </c>
      <c r="B11" s="29" t="inlineStr">
        <is>
          <t>53%</t>
        </is>
      </c>
      <c r="C11" s="29" t="inlineStr">
        <is>
          <t>59%</t>
        </is>
      </c>
      <c r="D11" s="29" t="inlineStr">
        <is>
          <t>38%</t>
        </is>
      </c>
      <c r="E11" s="29" t="inlineStr">
        <is>
          <t>237%</t>
        </is>
      </c>
      <c r="F11" s="29" t="inlineStr">
        <is>
          <t>110%</t>
        </is>
      </c>
    </row>
    <row r="12">
      <c r="A12" s="8" t="inlineStr">
        <is>
          <t>State Water Project allocation</t>
        </is>
      </c>
      <c r="B12" s="29" t="inlineStr">
        <is>
          <t>20%</t>
        </is>
      </c>
      <c r="C12" s="29" t="inlineStr">
        <is>
          <t>5%</t>
        </is>
      </c>
      <c r="D12" s="29" t="inlineStr">
        <is>
          <t>5%</t>
        </is>
      </c>
      <c r="E12" s="29" t="inlineStr">
        <is>
          <t>100%</t>
        </is>
      </c>
      <c r="F12" s="29"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Caspar South Service Company</t>
        </is>
      </c>
    </row>
    <row r="2">
      <c r="A2" s="2" t="inlineStr">
        <is>
          <t>How this was built - forensic lineage</t>
        </is>
      </c>
    </row>
    <row r="3">
      <c r="A3" s="2" t="inlineStr">
        <is>
          <t>Entity ID: cawc_0160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4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Caspar South Service Company</t>
        </is>
      </c>
    </row>
    <row r="2">
      <c r="A2" s="2" t="inlineStr">
        <is>
          <t>Sources &amp; audit - full provenance and tie-outs (kept off the statements so they read clean)</t>
        </is>
      </c>
    </row>
    <row r="3">
      <c r="A3" s="2" t="inlineStr">
        <is>
          <t>Entity ID: cawc_0160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2020-04-30</t>
        </is>
      </c>
      <c r="C10" s="8" t="inlineStr">
        <is>
          <t>990</t>
        </is>
      </c>
      <c r="D10" s="8" t="inlineStr">
        <is>
          <t>high</t>
        </is>
      </c>
      <c r="E10" s="8" t="inlineStr">
        <is>
          <t>f38a68fb-a714-4032-a3d7-c8371f6aba8a</t>
        </is>
      </c>
      <c r="F10" s="8" t="inlineStr">
        <is>
          <t>202130389349300203</t>
        </is>
      </c>
      <c r="G10" s="8" t="inlineStr">
        <is>
          <t>claude-opus-5</t>
        </is>
      </c>
      <c r="H10" s="8" t="inlineStr">
        <is>
          <t>2026-10-05T16:06:09+00:00</t>
        </is>
      </c>
      <c r="I10" s="8" t="inlineStr">
        <is>
          <t>https://apps.irs.gov/pub/epostcard/990/xml/2021/2021_TEOS_XML_01A.zip#202130389349300203_public.xml</t>
        </is>
      </c>
    </row>
    <row r="11">
      <c r="A11" s="29" t="inlineStr">
        <is>
          <t>FY2021</t>
        </is>
      </c>
      <c r="B11" s="8" t="inlineStr">
        <is>
          <t>2021-04-30</t>
        </is>
      </c>
      <c r="C11" s="8" t="inlineStr">
        <is>
          <t>990</t>
        </is>
      </c>
      <c r="D11" s="8" t="inlineStr">
        <is>
          <t>high</t>
        </is>
      </c>
      <c r="E11" s="8" t="inlineStr">
        <is>
          <t>1ed1ecdd-bd65-429b-b3c9-fa5f197fdca8</t>
        </is>
      </c>
      <c r="F11" s="8" t="inlineStr">
        <is>
          <t>202132569349301523</t>
        </is>
      </c>
      <c r="G11" s="8" t="inlineStr">
        <is>
          <t>claude-opus-5</t>
        </is>
      </c>
      <c r="H11" s="8" t="inlineStr">
        <is>
          <t>2026-10-05T16:06:09+00:00</t>
        </is>
      </c>
      <c r="I11" s="8" t="inlineStr">
        <is>
          <t>https://apps.irs.gov/pub/epostcard/990/xml/2021/2021_TEOS_XML_01A.zip#202132569349301523_public.xml</t>
        </is>
      </c>
    </row>
    <row r="12">
      <c r="A12" s="29" t="inlineStr">
        <is>
          <t>FY2022</t>
        </is>
      </c>
      <c r="B12" s="8" t="inlineStr">
        <is>
          <t>2022-04-30</t>
        </is>
      </c>
      <c r="C12" s="8" t="inlineStr">
        <is>
          <t>990</t>
        </is>
      </c>
      <c r="D12" s="8" t="inlineStr">
        <is>
          <t>high</t>
        </is>
      </c>
      <c r="E12" s="8" t="inlineStr">
        <is>
          <t>c3456bf5-4cfc-435d-ae38-3516cecd4a04</t>
        </is>
      </c>
      <c r="F12" s="8" t="inlineStr">
        <is>
          <t>202330129349303343</t>
        </is>
      </c>
      <c r="G12" s="8" t="inlineStr">
        <is>
          <t>claude-opus-5</t>
        </is>
      </c>
      <c r="H12" s="8" t="inlineStr">
        <is>
          <t>2026-10-05T16:06:09+00:00</t>
        </is>
      </c>
      <c r="I12" s="8" t="inlineStr">
        <is>
          <t>https://apps.irs.gov/pub/epostcard/990/xml/2023/2023_TEOS_XML_01A.zip#202330129349303343_public.xml</t>
        </is>
      </c>
    </row>
    <row r="13">
      <c r="A13" s="29" t="inlineStr">
        <is>
          <t>FY2023</t>
        </is>
      </c>
      <c r="B13" s="8" t="inlineStr">
        <is>
          <t>2023-04-30</t>
        </is>
      </c>
      <c r="C13" s="8" t="inlineStr">
        <is>
          <t>990</t>
        </is>
      </c>
      <c r="D13" s="8" t="inlineStr">
        <is>
          <t>high</t>
        </is>
      </c>
      <c r="E13" s="8" t="inlineStr">
        <is>
          <t>608eb6ff-6267-433a-958b-5908e40ef8bb</t>
        </is>
      </c>
      <c r="F13" s="8" t="inlineStr">
        <is>
          <t>202302409349301095</t>
        </is>
      </c>
      <c r="G13" s="8" t="inlineStr">
        <is>
          <t>claude-opus-5</t>
        </is>
      </c>
      <c r="H13" s="8" t="inlineStr">
        <is>
          <t>2026-10-05T16:06:09+00:00</t>
        </is>
      </c>
      <c r="I13" s="8" t="inlineStr">
        <is>
          <t>https://apps.irs.gov/pub/epostcard/990/xml/2023/2023_TEOS_XML_09A.zip#202302409349301095_public.xml</t>
        </is>
      </c>
    </row>
    <row r="14">
      <c r="A14" s="29" t="inlineStr">
        <is>
          <t>FY2024</t>
        </is>
      </c>
      <c r="B14" s="8" t="inlineStr">
        <is>
          <t>2024-04-30</t>
        </is>
      </c>
      <c r="C14" s="8" t="inlineStr">
        <is>
          <t>990</t>
        </is>
      </c>
      <c r="D14" s="8" t="inlineStr">
        <is>
          <t>high</t>
        </is>
      </c>
      <c r="E14" s="8" t="inlineStr">
        <is>
          <t>345cebf2-f8cb-4233-92a8-c03a1d639a36</t>
        </is>
      </c>
      <c r="F14" s="8" t="inlineStr">
        <is>
          <t>202432609349300798</t>
        </is>
      </c>
      <c r="G14" s="8" t="inlineStr">
        <is>
          <t>claude-opus-5</t>
        </is>
      </c>
      <c r="H14" s="8" t="inlineStr">
        <is>
          <t>2026-10-05T16:06:09+00:00</t>
        </is>
      </c>
      <c r="I14" s="8" t="inlineStr">
        <is>
          <t>https://apps.irs.gov/pub/epostcard/990/xml/2024/2024_TEOS_XML_09A.zip#202432609349300798_public.xml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154857</v>
      </c>
    </row>
    <row r="19">
      <c r="A19" s="8" t="inlineStr">
        <is>
          <t>Financial Statements</t>
        </is>
      </c>
      <c r="B19" s="8" t="inlineStr">
        <is>
          <t>B74</t>
        </is>
      </c>
      <c r="C19" s="8" t="inlineStr">
        <is>
          <t>11b. Gross income from other sources</t>
        </is>
      </c>
      <c r="D19" s="8" t="inlineStr">
        <is>
          <t>11b</t>
        </is>
      </c>
      <c r="E19" s="8" t="inlineStr">
        <is>
          <t>part_v_other_irs_filings.other_sources_gross_income</t>
        </is>
      </c>
      <c r="F19" s="8" t="inlineStr">
        <is>
          <t>high</t>
        </is>
      </c>
      <c r="G19" s="9" t="n">
        <v>20788</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154857</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159131</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154694</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156022</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134908</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20788</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26291</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34543</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33346</v>
      </c>
    </row>
    <row r="34">
      <c r="A34" s="8" t="inlineStr">
        <is>
          <t>Revenue (detail)</t>
        </is>
      </c>
      <c r="B34" s="8" t="inlineStr">
        <is>
          <t>F9</t>
        </is>
      </c>
      <c r="C34" s="8" t="inlineStr">
        <is>
          <t>3. Investment income</t>
        </is>
      </c>
      <c r="D34" s="8" t="inlineStr">
        <is>
          <t>3</t>
        </is>
      </c>
      <c r="E34" s="8" t="inlineStr">
        <is>
          <t>part_viii_revenue.investment_income</t>
        </is>
      </c>
      <c r="F34" s="8" t="inlineStr">
        <is>
          <t>high</t>
        </is>
      </c>
      <c r="G34" s="9" t="n">
        <v>41431</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C10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D10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E10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F10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B11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D11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E11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F11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B12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C12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D12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E12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F12</t>
        </is>
      </c>
      <c r="C49" s="8" t="inlineStr">
        <is>
          <t>11e. Other revenue</t>
        </is>
      </c>
      <c r="D49" s="8" t="inlineStr">
        <is>
          <t>11e</t>
        </is>
      </c>
      <c r="E49" s="8" t="inlineStr">
        <is>
          <t>part_viii_revenue.other_revenue_total</t>
        </is>
      </c>
      <c r="F49" s="8" t="inlineStr">
        <is>
          <t>high</t>
        </is>
      </c>
      <c r="G49" s="9" t="n">
        <v>0</v>
      </c>
    </row>
    <row r="50">
      <c r="A50" s="8" t="inlineStr">
        <is>
          <t>Operating expenses (detail)</t>
        </is>
      </c>
      <c r="B50" s="8" t="inlineStr">
        <is>
          <t>B7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C7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D7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E7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F7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E8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F8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B9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C9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D9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E9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F9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B10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C10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D10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E10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F10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B11</t>
        </is>
      </c>
      <c r="C70" s="8" t="inlineStr">
        <is>
          <t>5. Compensation of current officers, directors, trustees</t>
        </is>
      </c>
      <c r="D70" s="8" t="inlineStr">
        <is>
          <t>5</t>
        </is>
      </c>
      <c r="E70" s="8" t="inlineStr">
        <is>
          <t>part_ix_expenses.comp_current_officers</t>
        </is>
      </c>
      <c r="F70" s="8" t="inlineStr">
        <is>
          <t>high</t>
        </is>
      </c>
      <c r="G70" s="9" t="n">
        <v>12503</v>
      </c>
    </row>
    <row r="71">
      <c r="A71" s="8" t="inlineStr">
        <is>
          <t>Operating expenses (detail)</t>
        </is>
      </c>
      <c r="B71" s="8" t="inlineStr">
        <is>
          <t>C11</t>
        </is>
      </c>
      <c r="C71" s="8" t="inlineStr">
        <is>
          <t>5. Compensation of current officers, directors, trustees</t>
        </is>
      </c>
      <c r="D71" s="8" t="inlineStr">
        <is>
          <t>5</t>
        </is>
      </c>
      <c r="E71" s="8" t="inlineStr">
        <is>
          <t>part_ix_expenses.comp_current_officers</t>
        </is>
      </c>
      <c r="F71" s="8" t="inlineStr">
        <is>
          <t>high</t>
        </is>
      </c>
      <c r="G71" s="9" t="n">
        <v>19346</v>
      </c>
    </row>
    <row r="72">
      <c r="A72" s="8" t="inlineStr">
        <is>
          <t>Operating expenses (detail)</t>
        </is>
      </c>
      <c r="B72" s="8" t="inlineStr">
        <is>
          <t>D11</t>
        </is>
      </c>
      <c r="C72" s="8" t="inlineStr">
        <is>
          <t>5. Compensation of current officers, directors, trustees</t>
        </is>
      </c>
      <c r="D72" s="8" t="inlineStr">
        <is>
          <t>5</t>
        </is>
      </c>
      <c r="E72" s="8" t="inlineStr">
        <is>
          <t>part_ix_expenses.comp_current_officers</t>
        </is>
      </c>
      <c r="F72" s="8" t="inlineStr">
        <is>
          <t>high</t>
        </is>
      </c>
      <c r="G72" s="9" t="n">
        <v>14916</v>
      </c>
    </row>
    <row r="73">
      <c r="A73" s="8" t="inlineStr">
        <is>
          <t>Operating expenses (detail)</t>
        </is>
      </c>
      <c r="B73" s="8" t="inlineStr">
        <is>
          <t>E11</t>
        </is>
      </c>
      <c r="C73" s="8" t="inlineStr">
        <is>
          <t>5. Compensation of current officers, directors, trustees</t>
        </is>
      </c>
      <c r="D73" s="8" t="inlineStr">
        <is>
          <t>5</t>
        </is>
      </c>
      <c r="E73" s="8" t="inlineStr">
        <is>
          <t>part_ix_expenses.comp_current_officers</t>
        </is>
      </c>
      <c r="F73" s="8" t="inlineStr">
        <is>
          <t>high</t>
        </is>
      </c>
      <c r="G73" s="9" t="n">
        <v>14049</v>
      </c>
    </row>
    <row r="74">
      <c r="A74" s="8" t="inlineStr">
        <is>
          <t>Operating expenses (detail)</t>
        </is>
      </c>
      <c r="B74" s="8" t="inlineStr">
        <is>
          <t>F11</t>
        </is>
      </c>
      <c r="C74" s="8" t="inlineStr">
        <is>
          <t>5. Compensation of current officers, directors, trustees</t>
        </is>
      </c>
      <c r="D74" s="8" t="inlineStr">
        <is>
          <t>5</t>
        </is>
      </c>
      <c r="E74" s="8" t="inlineStr">
        <is>
          <t>part_ix_expenses.comp_current_officers</t>
        </is>
      </c>
      <c r="F74" s="8" t="inlineStr">
        <is>
          <t>high</t>
        </is>
      </c>
      <c r="G74" s="9" t="n">
        <v>13694</v>
      </c>
    </row>
    <row r="75">
      <c r="A75" s="8" t="inlineStr">
        <is>
          <t>Operating expenses (detail)</t>
        </is>
      </c>
      <c r="B75" s="8" t="inlineStr">
        <is>
          <t>B12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C12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D12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E12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F12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B13</t>
        </is>
      </c>
      <c r="C80" s="8" t="inlineStr">
        <is>
          <t>7. Other salaries and wages</t>
        </is>
      </c>
      <c r="D80" s="8" t="inlineStr">
        <is>
          <t>7</t>
        </is>
      </c>
      <c r="E80" s="8" t="inlineStr">
        <is>
          <t>part_ix_expenses.other_salaries_and_wages</t>
        </is>
      </c>
      <c r="F80" s="8" t="inlineStr">
        <is>
          <t>high</t>
        </is>
      </c>
      <c r="G80" s="9" t="n">
        <v>0</v>
      </c>
    </row>
    <row r="81">
      <c r="A81" s="8" t="inlineStr">
        <is>
          <t>Operating expenses (detail)</t>
        </is>
      </c>
      <c r="B81" s="8" t="inlineStr">
        <is>
          <t>C13</t>
        </is>
      </c>
      <c r="C81" s="8" t="inlineStr">
        <is>
          <t>7. Other salaries and wages</t>
        </is>
      </c>
      <c r="D81" s="8" t="inlineStr">
        <is>
          <t>7</t>
        </is>
      </c>
      <c r="E81" s="8" t="inlineStr">
        <is>
          <t>part_ix_expenses.other_salaries_and_wages</t>
        </is>
      </c>
      <c r="F81" s="8" t="inlineStr">
        <is>
          <t>high</t>
        </is>
      </c>
      <c r="G81" s="9" t="n">
        <v>0</v>
      </c>
    </row>
    <row r="82">
      <c r="A82" s="8" t="inlineStr">
        <is>
          <t>Operating expenses (detail)</t>
        </is>
      </c>
      <c r="B82" s="8" t="inlineStr">
        <is>
          <t>D13</t>
        </is>
      </c>
      <c r="C82" s="8" t="inlineStr">
        <is>
          <t>7. Other salaries and wages</t>
        </is>
      </c>
      <c r="D82" s="8" t="inlineStr">
        <is>
          <t>7</t>
        </is>
      </c>
      <c r="E82" s="8" t="inlineStr">
        <is>
          <t>part_ix_expenses.other_salaries_and_wages</t>
        </is>
      </c>
      <c r="F82" s="8" t="inlineStr">
        <is>
          <t>high</t>
        </is>
      </c>
      <c r="G82" s="9" t="n">
        <v>0</v>
      </c>
    </row>
    <row r="83">
      <c r="A83" s="8" t="inlineStr">
        <is>
          <t>Operating expenses (detail)</t>
        </is>
      </c>
      <c r="B83" s="8" t="inlineStr">
        <is>
          <t>E13</t>
        </is>
      </c>
      <c r="C83" s="8" t="inlineStr">
        <is>
          <t>7. Other salaries and wages</t>
        </is>
      </c>
      <c r="D83" s="8" t="inlineStr">
        <is>
          <t>7</t>
        </is>
      </c>
      <c r="E83" s="8" t="inlineStr">
        <is>
          <t>part_ix_expenses.other_salaries_and_wages</t>
        </is>
      </c>
      <c r="F83" s="8" t="inlineStr">
        <is>
          <t>high</t>
        </is>
      </c>
      <c r="G83" s="9" t="n">
        <v>0</v>
      </c>
    </row>
    <row r="84">
      <c r="A84" s="8" t="inlineStr">
        <is>
          <t>Operating expenses (detail)</t>
        </is>
      </c>
      <c r="B84" s="8" t="inlineStr">
        <is>
          <t>F13</t>
        </is>
      </c>
      <c r="C84" s="8" t="inlineStr">
        <is>
          <t>7. Other salaries and wages</t>
        </is>
      </c>
      <c r="D84" s="8" t="inlineStr">
        <is>
          <t>7</t>
        </is>
      </c>
      <c r="E84" s="8" t="inlineStr">
        <is>
          <t>part_ix_expenses.other_salaries_and_wages</t>
        </is>
      </c>
      <c r="F84" s="8" t="inlineStr">
        <is>
          <t>high</t>
        </is>
      </c>
      <c r="G84" s="9" t="n">
        <v>0</v>
      </c>
    </row>
    <row r="85">
      <c r="A85" s="8" t="inlineStr">
        <is>
          <t>Operating expenses (detail)</t>
        </is>
      </c>
      <c r="B85" s="8" t="inlineStr">
        <is>
          <t>B14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C14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D14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E14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F14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B15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C15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D15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E15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F15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B16</t>
        </is>
      </c>
      <c r="C95" s="8" t="inlineStr">
        <is>
          <t>10. Payroll taxes</t>
        </is>
      </c>
      <c r="D95" s="8" t="inlineStr">
        <is>
          <t>10</t>
        </is>
      </c>
      <c r="E95" s="8" t="inlineStr">
        <is>
          <t>part_ix_expenses.payroll_taxes</t>
        </is>
      </c>
      <c r="F95" s="8" t="inlineStr">
        <is>
          <t>high</t>
        </is>
      </c>
      <c r="G95" s="9" t="n">
        <v>0</v>
      </c>
    </row>
    <row r="96">
      <c r="A96" s="8" t="inlineStr">
        <is>
          <t>Operating expenses (detail)</t>
        </is>
      </c>
      <c r="B96" s="8" t="inlineStr">
        <is>
          <t>C16</t>
        </is>
      </c>
      <c r="C96" s="8" t="inlineStr">
        <is>
          <t>10. Payroll taxes</t>
        </is>
      </c>
      <c r="D96" s="8" t="inlineStr">
        <is>
          <t>10</t>
        </is>
      </c>
      <c r="E96" s="8" t="inlineStr">
        <is>
          <t>part_ix_expenses.payroll_taxes</t>
        </is>
      </c>
      <c r="F96" s="8" t="inlineStr">
        <is>
          <t>high</t>
        </is>
      </c>
      <c r="G96" s="9" t="n">
        <v>0</v>
      </c>
    </row>
    <row r="97">
      <c r="A97" s="8" t="inlineStr">
        <is>
          <t>Operating expenses (detail)</t>
        </is>
      </c>
      <c r="B97" s="8" t="inlineStr">
        <is>
          <t>D16</t>
        </is>
      </c>
      <c r="C97" s="8" t="inlineStr">
        <is>
          <t>10. Payroll taxes</t>
        </is>
      </c>
      <c r="D97" s="8" t="inlineStr">
        <is>
          <t>10</t>
        </is>
      </c>
      <c r="E97" s="8" t="inlineStr">
        <is>
          <t>part_ix_expenses.payroll_taxes</t>
        </is>
      </c>
      <c r="F97" s="8" t="inlineStr">
        <is>
          <t>high</t>
        </is>
      </c>
      <c r="G97" s="9" t="n">
        <v>0</v>
      </c>
    </row>
    <row r="98">
      <c r="A98" s="8" t="inlineStr">
        <is>
          <t>Operating expenses (detail)</t>
        </is>
      </c>
      <c r="B98" s="8" t="inlineStr">
        <is>
          <t>E16</t>
        </is>
      </c>
      <c r="C98" s="8" t="inlineStr">
        <is>
          <t>10. Payroll taxes</t>
        </is>
      </c>
      <c r="D98" s="8" t="inlineStr">
        <is>
          <t>10</t>
        </is>
      </c>
      <c r="E98" s="8" t="inlineStr">
        <is>
          <t>part_ix_expenses.payroll_taxes</t>
        </is>
      </c>
      <c r="F98" s="8" t="inlineStr">
        <is>
          <t>high</t>
        </is>
      </c>
      <c r="G98" s="9" t="n">
        <v>0</v>
      </c>
    </row>
    <row r="99">
      <c r="A99" s="8" t="inlineStr">
        <is>
          <t>Operating expenses (detail)</t>
        </is>
      </c>
      <c r="B99" s="8" t="inlineStr">
        <is>
          <t>F16</t>
        </is>
      </c>
      <c r="C99" s="8" t="inlineStr">
        <is>
          <t>10. Payroll taxes</t>
        </is>
      </c>
      <c r="D99" s="8" t="inlineStr">
        <is>
          <t>10</t>
        </is>
      </c>
      <c r="E99" s="8" t="inlineStr">
        <is>
          <t>part_ix_expenses.payroll_taxes</t>
        </is>
      </c>
      <c r="F99" s="8" t="inlineStr">
        <is>
          <t>high</t>
        </is>
      </c>
      <c r="G99" s="9" t="n">
        <v>0</v>
      </c>
    </row>
    <row r="100">
      <c r="A100" s="8" t="inlineStr">
        <is>
          <t>Operating expenses (detail)</t>
        </is>
      </c>
      <c r="B100" s="8" t="inlineStr">
        <is>
          <t>B17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C17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D17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E17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F17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B18</t>
        </is>
      </c>
      <c r="C105" s="8" t="inlineStr">
        <is>
          <t>11b. Fees for services: legal</t>
        </is>
      </c>
      <c r="D105" s="8" t="inlineStr">
        <is>
          <t>11b</t>
        </is>
      </c>
      <c r="E105" s="8" t="inlineStr">
        <is>
          <t>part_ix_expenses.fees_legal</t>
        </is>
      </c>
      <c r="F105" s="8" t="inlineStr">
        <is>
          <t>high</t>
        </is>
      </c>
      <c r="G105" s="9" t="n">
        <v>0</v>
      </c>
    </row>
    <row r="106">
      <c r="A106" s="8" t="inlineStr">
        <is>
          <t>Operating expenses (detail)</t>
        </is>
      </c>
      <c r="B106" s="8" t="inlineStr">
        <is>
          <t>C18</t>
        </is>
      </c>
      <c r="C106" s="8" t="inlineStr">
        <is>
          <t>11b. Fees for services: legal</t>
        </is>
      </c>
      <c r="D106" s="8" t="inlineStr">
        <is>
          <t>11b</t>
        </is>
      </c>
      <c r="E106" s="8" t="inlineStr">
        <is>
          <t>part_ix_expenses.fees_legal</t>
        </is>
      </c>
      <c r="F106" s="8" t="inlineStr">
        <is>
          <t>high</t>
        </is>
      </c>
      <c r="G106" s="9" t="n">
        <v>0</v>
      </c>
    </row>
    <row r="107">
      <c r="A107" s="8" t="inlineStr">
        <is>
          <t>Operating expenses (detail)</t>
        </is>
      </c>
      <c r="B107" s="8" t="inlineStr">
        <is>
          <t>D18</t>
        </is>
      </c>
      <c r="C107" s="8" t="inlineStr">
        <is>
          <t>11b. Fees for services: legal</t>
        </is>
      </c>
      <c r="D107" s="8" t="inlineStr">
        <is>
          <t>11b</t>
        </is>
      </c>
      <c r="E107" s="8" t="inlineStr">
        <is>
          <t>part_ix_expenses.fees_legal</t>
        </is>
      </c>
      <c r="F107" s="8" t="inlineStr">
        <is>
          <t>high</t>
        </is>
      </c>
      <c r="G107" s="9" t="n">
        <v>0</v>
      </c>
    </row>
    <row r="108">
      <c r="A108" s="8" t="inlineStr">
        <is>
          <t>Operating expenses (detail)</t>
        </is>
      </c>
      <c r="B108" s="8" t="inlineStr">
        <is>
          <t>E18</t>
        </is>
      </c>
      <c r="C108" s="8" t="inlineStr">
        <is>
          <t>11b. Fees for services: legal</t>
        </is>
      </c>
      <c r="D108" s="8" t="inlineStr">
        <is>
          <t>11b</t>
        </is>
      </c>
      <c r="E108" s="8" t="inlineStr">
        <is>
          <t>part_ix_expenses.fees_legal</t>
        </is>
      </c>
      <c r="F108" s="8" t="inlineStr">
        <is>
          <t>high</t>
        </is>
      </c>
      <c r="G108" s="9" t="n">
        <v>0</v>
      </c>
    </row>
    <row r="109">
      <c r="A109" s="8" t="inlineStr">
        <is>
          <t>Operating expenses (detail)</t>
        </is>
      </c>
      <c r="B109" s="8" t="inlineStr">
        <is>
          <t>F18</t>
        </is>
      </c>
      <c r="C109" s="8" t="inlineStr">
        <is>
          <t>11b. Fees for services: legal</t>
        </is>
      </c>
      <c r="D109" s="8" t="inlineStr">
        <is>
          <t>11b</t>
        </is>
      </c>
      <c r="E109" s="8" t="inlineStr">
        <is>
          <t>part_ix_expenses.fees_legal</t>
        </is>
      </c>
      <c r="F109" s="8" t="inlineStr">
        <is>
          <t>high</t>
        </is>
      </c>
      <c r="G109" s="9" t="n">
        <v>0</v>
      </c>
    </row>
    <row r="110">
      <c r="A110" s="8" t="inlineStr">
        <is>
          <t>Operating expenses (detail)</t>
        </is>
      </c>
      <c r="B110" s="8" t="inlineStr">
        <is>
          <t>B19</t>
        </is>
      </c>
      <c r="C110" s="8" t="inlineStr">
        <is>
          <t>11c. Fees for services: accounting</t>
        </is>
      </c>
      <c r="D110" s="8" t="inlineStr">
        <is>
          <t>11c</t>
        </is>
      </c>
      <c r="E110" s="8" t="inlineStr">
        <is>
          <t>part_ix_expenses.fees_accounting</t>
        </is>
      </c>
      <c r="F110" s="8" t="inlineStr">
        <is>
          <t>high</t>
        </is>
      </c>
      <c r="G110" s="9" t="n">
        <v>7819</v>
      </c>
    </row>
    <row r="111">
      <c r="A111" s="8" t="inlineStr">
        <is>
          <t>Operating expenses (detail)</t>
        </is>
      </c>
      <c r="B111" s="8" t="inlineStr">
        <is>
          <t>C19</t>
        </is>
      </c>
      <c r="C111" s="8" t="inlineStr">
        <is>
          <t>11c. Fees for services: accounting</t>
        </is>
      </c>
      <c r="D111" s="8" t="inlineStr">
        <is>
          <t>11c</t>
        </is>
      </c>
      <c r="E111" s="8" t="inlineStr">
        <is>
          <t>part_ix_expenses.fees_accounting</t>
        </is>
      </c>
      <c r="F111" s="8" t="inlineStr">
        <is>
          <t>high</t>
        </is>
      </c>
      <c r="G111" s="9" t="n">
        <v>8448</v>
      </c>
    </row>
    <row r="112">
      <c r="A112" s="8" t="inlineStr">
        <is>
          <t>Operating expenses (detail)</t>
        </is>
      </c>
      <c r="B112" s="8" t="inlineStr">
        <is>
          <t>D19</t>
        </is>
      </c>
      <c r="C112" s="8" t="inlineStr">
        <is>
          <t>11c. Fees for services: accounting</t>
        </is>
      </c>
      <c r="D112" s="8" t="inlineStr">
        <is>
          <t>11c</t>
        </is>
      </c>
      <c r="E112" s="8" t="inlineStr">
        <is>
          <t>part_ix_expenses.fees_accounting</t>
        </is>
      </c>
      <c r="F112" s="8" t="inlineStr">
        <is>
          <t>high</t>
        </is>
      </c>
      <c r="G112" s="9" t="n">
        <v>6338</v>
      </c>
    </row>
    <row r="113">
      <c r="A113" s="8" t="inlineStr">
        <is>
          <t>Operating expenses (detail)</t>
        </is>
      </c>
      <c r="B113" s="8" t="inlineStr">
        <is>
          <t>E19</t>
        </is>
      </c>
      <c r="C113" s="8" t="inlineStr">
        <is>
          <t>11c. Fees for services: accounting</t>
        </is>
      </c>
      <c r="D113" s="8" t="inlineStr">
        <is>
          <t>11c</t>
        </is>
      </c>
      <c r="E113" s="8" t="inlineStr">
        <is>
          <t>part_ix_expenses.fees_accounting</t>
        </is>
      </c>
      <c r="F113" s="8" t="inlineStr">
        <is>
          <t>high</t>
        </is>
      </c>
      <c r="G113" s="9" t="n">
        <v>7597</v>
      </c>
    </row>
    <row r="114">
      <c r="A114" s="8" t="inlineStr">
        <is>
          <t>Operating expenses (detail)</t>
        </is>
      </c>
      <c r="B114" s="8" t="inlineStr">
        <is>
          <t>F19</t>
        </is>
      </c>
      <c r="C114" s="8" t="inlineStr">
        <is>
          <t>11c. Fees for services: accounting</t>
        </is>
      </c>
      <c r="D114" s="8" t="inlineStr">
        <is>
          <t>11c</t>
        </is>
      </c>
      <c r="E114" s="8" t="inlineStr">
        <is>
          <t>part_ix_expenses.fees_accounting</t>
        </is>
      </c>
      <c r="F114" s="8" t="inlineStr">
        <is>
          <t>high</t>
        </is>
      </c>
      <c r="G114" s="9" t="n">
        <v>5859</v>
      </c>
    </row>
    <row r="115">
      <c r="A115" s="8" t="inlineStr">
        <is>
          <t>Operating expenses (detail)</t>
        </is>
      </c>
      <c r="B115" s="8" t="inlineStr">
        <is>
          <t>B20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C20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D20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E20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F20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B21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C21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D21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E21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F21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B22</t>
        </is>
      </c>
      <c r="C125" s="8" t="inlineStr">
        <is>
          <t>11f. Fees for services: investment management</t>
        </is>
      </c>
      <c r="D125" s="8" t="inlineStr">
        <is>
          <t>11f</t>
        </is>
      </c>
      <c r="E125" s="8" t="inlineStr">
        <is>
          <t>part_ix_expenses.fees_investment_mgmt</t>
        </is>
      </c>
      <c r="F125" s="8" t="inlineStr">
        <is>
          <t>high</t>
        </is>
      </c>
      <c r="G125" s="9" t="n">
        <v>4743</v>
      </c>
    </row>
    <row r="126">
      <c r="A126" s="8" t="inlineStr">
        <is>
          <t>Operating expenses (detail)</t>
        </is>
      </c>
      <c r="B126" s="8" t="inlineStr">
        <is>
          <t>C22</t>
        </is>
      </c>
      <c r="C126" s="8" t="inlineStr">
        <is>
          <t>11f. Fees for services: investment management</t>
        </is>
      </c>
      <c r="D126" s="8" t="inlineStr">
        <is>
          <t>11f</t>
        </is>
      </c>
      <c r="E126" s="8" t="inlineStr">
        <is>
          <t>part_ix_expenses.fees_investment_mgmt</t>
        </is>
      </c>
      <c r="F126" s="8" t="inlineStr">
        <is>
          <t>high</t>
        </is>
      </c>
      <c r="G126" s="9" t="n">
        <v>10382</v>
      </c>
    </row>
    <row r="127">
      <c r="A127" s="8" t="inlineStr">
        <is>
          <t>Operating expenses (detail)</t>
        </is>
      </c>
      <c r="B127" s="8" t="inlineStr">
        <is>
          <t>D22</t>
        </is>
      </c>
      <c r="C127" s="8" t="inlineStr">
        <is>
          <t>11f. Fees for services: investment management</t>
        </is>
      </c>
      <c r="D127" s="8" t="inlineStr">
        <is>
          <t>11f</t>
        </is>
      </c>
      <c r="E127" s="8" t="inlineStr">
        <is>
          <t>part_ix_expenses.fees_investment_mgmt</t>
        </is>
      </c>
      <c r="F127" s="8" t="inlineStr">
        <is>
          <t>high</t>
        </is>
      </c>
      <c r="G127" s="9" t="n">
        <v>7717</v>
      </c>
    </row>
    <row r="128">
      <c r="A128" s="8" t="inlineStr">
        <is>
          <t>Operating expenses (detail)</t>
        </is>
      </c>
      <c r="B128" s="8" t="inlineStr">
        <is>
          <t>E22</t>
        </is>
      </c>
      <c r="C128" s="8" t="inlineStr">
        <is>
          <t>11f. Fees for services: investment management</t>
        </is>
      </c>
      <c r="D128" s="8" t="inlineStr">
        <is>
          <t>11f</t>
        </is>
      </c>
      <c r="E128" s="8" t="inlineStr">
        <is>
          <t>part_ix_expenses.fees_investment_mgmt</t>
        </is>
      </c>
      <c r="F128" s="8" t="inlineStr">
        <is>
          <t>high</t>
        </is>
      </c>
      <c r="G128" s="9" t="n">
        <v>10158</v>
      </c>
    </row>
    <row r="129">
      <c r="A129" s="8" t="inlineStr">
        <is>
          <t>Operating expenses (detail)</t>
        </is>
      </c>
      <c r="B129" s="8" t="inlineStr">
        <is>
          <t>F22</t>
        </is>
      </c>
      <c r="C129" s="8" t="inlineStr">
        <is>
          <t>11f. Fees for services: investment management</t>
        </is>
      </c>
      <c r="D129" s="8" t="inlineStr">
        <is>
          <t>11f</t>
        </is>
      </c>
      <c r="E129" s="8" t="inlineStr">
        <is>
          <t>part_ix_expenses.fees_investment_mgmt</t>
        </is>
      </c>
      <c r="F129" s="8" t="inlineStr">
        <is>
          <t>high</t>
        </is>
      </c>
      <c r="G129" s="9" t="n">
        <v>14720</v>
      </c>
    </row>
    <row r="130">
      <c r="A130" s="8" t="inlineStr">
        <is>
          <t>Operating expenses (detail)</t>
        </is>
      </c>
      <c r="B130" s="8" t="inlineStr">
        <is>
          <t>B23</t>
        </is>
      </c>
      <c r="C130" s="8" t="inlineStr">
        <is>
          <t>11g. Fees for services: other</t>
        </is>
      </c>
      <c r="D130" s="8" t="inlineStr">
        <is>
          <t>11g</t>
        </is>
      </c>
      <c r="E130" s="8" t="inlineStr">
        <is>
          <t>part_ix_expenses.fees_other</t>
        </is>
      </c>
      <c r="F130" s="8" t="inlineStr">
        <is>
          <t>high</t>
        </is>
      </c>
      <c r="G130" s="9" t="n">
        <v>11324</v>
      </c>
    </row>
    <row r="131">
      <c r="A131" s="8" t="inlineStr">
        <is>
          <t>Operating expenses (detail)</t>
        </is>
      </c>
      <c r="B131" s="8" t="inlineStr">
        <is>
          <t>C23</t>
        </is>
      </c>
      <c r="C131" s="8" t="inlineStr">
        <is>
          <t>11g. Fees for services: other</t>
        </is>
      </c>
      <c r="D131" s="8" t="inlineStr">
        <is>
          <t>11g</t>
        </is>
      </c>
      <c r="E131" s="8" t="inlineStr">
        <is>
          <t>part_ix_expenses.fees_other</t>
        </is>
      </c>
      <c r="F131" s="8" t="inlineStr">
        <is>
          <t>high</t>
        </is>
      </c>
      <c r="G131" s="9" t="n">
        <v>11653</v>
      </c>
    </row>
    <row r="132">
      <c r="A132" s="8" t="inlineStr">
        <is>
          <t>Operating expenses (detail)</t>
        </is>
      </c>
      <c r="B132" s="8" t="inlineStr">
        <is>
          <t>D23</t>
        </is>
      </c>
      <c r="C132" s="8" t="inlineStr">
        <is>
          <t>11g. Fees for services: other</t>
        </is>
      </c>
      <c r="D132" s="8" t="inlineStr">
        <is>
          <t>11g</t>
        </is>
      </c>
      <c r="E132" s="8" t="inlineStr">
        <is>
          <t>part_ix_expenses.fees_other</t>
        </is>
      </c>
      <c r="F132" s="8" t="inlineStr">
        <is>
          <t>high</t>
        </is>
      </c>
      <c r="G132" s="9" t="n">
        <v>11400</v>
      </c>
    </row>
    <row r="133">
      <c r="A133" s="8" t="inlineStr">
        <is>
          <t>Operating expenses (detail)</t>
        </is>
      </c>
      <c r="B133" s="8" t="inlineStr">
        <is>
          <t>E23</t>
        </is>
      </c>
      <c r="C133" s="8" t="inlineStr">
        <is>
          <t>11g. Fees for services: other</t>
        </is>
      </c>
      <c r="D133" s="8" t="inlineStr">
        <is>
          <t>11g</t>
        </is>
      </c>
      <c r="E133" s="8" t="inlineStr">
        <is>
          <t>part_ix_expenses.fees_other</t>
        </is>
      </c>
      <c r="F133" s="8" t="inlineStr">
        <is>
          <t>high</t>
        </is>
      </c>
      <c r="G133" s="9" t="n">
        <v>11926</v>
      </c>
    </row>
    <row r="134">
      <c r="A134" s="8" t="inlineStr">
        <is>
          <t>Operating expenses (detail)</t>
        </is>
      </c>
      <c r="B134" s="8" t="inlineStr">
        <is>
          <t>F23</t>
        </is>
      </c>
      <c r="C134" s="8" t="inlineStr">
        <is>
          <t>11g. Fees for services: other</t>
        </is>
      </c>
      <c r="D134" s="8" t="inlineStr">
        <is>
          <t>11g</t>
        </is>
      </c>
      <c r="E134" s="8" t="inlineStr">
        <is>
          <t>part_ix_expenses.fees_other</t>
        </is>
      </c>
      <c r="F134" s="8" t="inlineStr">
        <is>
          <t>high</t>
        </is>
      </c>
      <c r="G134" s="9" t="n">
        <v>10200</v>
      </c>
    </row>
    <row r="135">
      <c r="A135" s="8" t="inlineStr">
        <is>
          <t>Operating expenses (detail)</t>
        </is>
      </c>
      <c r="B135" s="8" t="inlineStr">
        <is>
          <t>B24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C24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D24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E24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F24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B25</t>
        </is>
      </c>
      <c r="C140" s="8" t="inlineStr">
        <is>
          <t>13. Office expenses</t>
        </is>
      </c>
      <c r="D140" s="8" t="inlineStr">
        <is>
          <t>13</t>
        </is>
      </c>
      <c r="E140" s="8" t="inlineStr">
        <is>
          <t>part_ix_expenses.office_expenses</t>
        </is>
      </c>
      <c r="F140" s="8" t="inlineStr">
        <is>
          <t>high</t>
        </is>
      </c>
      <c r="G140" s="9" t="n">
        <v>886</v>
      </c>
    </row>
    <row r="141">
      <c r="A141" s="8" t="inlineStr">
        <is>
          <t>Operating expenses (detail)</t>
        </is>
      </c>
      <c r="B141" s="8" t="inlineStr">
        <is>
          <t>C25</t>
        </is>
      </c>
      <c r="C141" s="8" t="inlineStr">
        <is>
          <t>13. Office expenses</t>
        </is>
      </c>
      <c r="D141" s="8" t="inlineStr">
        <is>
          <t>13</t>
        </is>
      </c>
      <c r="E141" s="8" t="inlineStr">
        <is>
          <t>part_ix_expenses.office_expenses</t>
        </is>
      </c>
      <c r="F141" s="8" t="inlineStr">
        <is>
          <t>high</t>
        </is>
      </c>
      <c r="G141" s="9" t="n">
        <v>990</v>
      </c>
    </row>
    <row r="142">
      <c r="A142" s="8" t="inlineStr">
        <is>
          <t>Operating expenses (detail)</t>
        </is>
      </c>
      <c r="B142" s="8" t="inlineStr">
        <is>
          <t>D25</t>
        </is>
      </c>
      <c r="C142" s="8" t="inlineStr">
        <is>
          <t>13. Office expenses</t>
        </is>
      </c>
      <c r="D142" s="8" t="inlineStr">
        <is>
          <t>13</t>
        </is>
      </c>
      <c r="E142" s="8" t="inlineStr">
        <is>
          <t>part_ix_expenses.office_expenses</t>
        </is>
      </c>
      <c r="F142" s="8" t="inlineStr">
        <is>
          <t>high</t>
        </is>
      </c>
      <c r="G142" s="9" t="n">
        <v>477</v>
      </c>
    </row>
    <row r="143">
      <c r="A143" s="8" t="inlineStr">
        <is>
          <t>Operating expenses (detail)</t>
        </is>
      </c>
      <c r="B143" s="8" t="inlineStr">
        <is>
          <t>E25</t>
        </is>
      </c>
      <c r="C143" s="8" t="inlineStr">
        <is>
          <t>13. Office expenses</t>
        </is>
      </c>
      <c r="D143" s="8" t="inlineStr">
        <is>
          <t>13</t>
        </is>
      </c>
      <c r="E143" s="8" t="inlineStr">
        <is>
          <t>part_ix_expenses.office_expenses</t>
        </is>
      </c>
      <c r="F143" s="8" t="inlineStr">
        <is>
          <t>high</t>
        </is>
      </c>
      <c r="G143" s="9" t="n">
        <v>565</v>
      </c>
    </row>
    <row r="144">
      <c r="A144" s="8" t="inlineStr">
        <is>
          <t>Operating expenses (detail)</t>
        </is>
      </c>
      <c r="B144" s="8" t="inlineStr">
        <is>
          <t>F25</t>
        </is>
      </c>
      <c r="C144" s="8" t="inlineStr">
        <is>
          <t>13. Office expenses</t>
        </is>
      </c>
      <c r="D144" s="8" t="inlineStr">
        <is>
          <t>13</t>
        </is>
      </c>
      <c r="E144" s="8" t="inlineStr">
        <is>
          <t>part_ix_expenses.office_expenses</t>
        </is>
      </c>
      <c r="F144" s="8" t="inlineStr">
        <is>
          <t>high</t>
        </is>
      </c>
      <c r="G144" s="9" t="n">
        <v>0</v>
      </c>
    </row>
    <row r="145">
      <c r="A145" s="8" t="inlineStr">
        <is>
          <t>Operating expenses (detail)</t>
        </is>
      </c>
      <c r="B145" s="8" t="inlineStr">
        <is>
          <t>B26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C26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D26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E26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F26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B27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C27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D27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E27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F27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B28</t>
        </is>
      </c>
      <c r="C155" s="8" t="inlineStr">
        <is>
          <t>16. Occupancy</t>
        </is>
      </c>
      <c r="D155" s="8" t="inlineStr">
        <is>
          <t>16</t>
        </is>
      </c>
      <c r="E155" s="8" t="inlineStr">
        <is>
          <t>part_ix_expenses.occupancy</t>
        </is>
      </c>
      <c r="F155" s="8" t="inlineStr">
        <is>
          <t>high</t>
        </is>
      </c>
      <c r="G155" s="9" t="n">
        <v>5495</v>
      </c>
    </row>
    <row r="156">
      <c r="A156" s="8" t="inlineStr">
        <is>
          <t>Operating expenses (detail)</t>
        </is>
      </c>
      <c r="B156" s="8" t="inlineStr">
        <is>
          <t>C28</t>
        </is>
      </c>
      <c r="C156" s="8" t="inlineStr">
        <is>
          <t>16. Occupancy</t>
        </is>
      </c>
      <c r="D156" s="8" t="inlineStr">
        <is>
          <t>16</t>
        </is>
      </c>
      <c r="E156" s="8" t="inlineStr">
        <is>
          <t>part_ix_expenses.occupancy</t>
        </is>
      </c>
      <c r="F156" s="8" t="inlineStr">
        <is>
          <t>high</t>
        </is>
      </c>
      <c r="G156" s="9" t="n">
        <v>5208</v>
      </c>
    </row>
    <row r="157">
      <c r="A157" s="8" t="inlineStr">
        <is>
          <t>Operating expenses (detail)</t>
        </is>
      </c>
      <c r="B157" s="8" t="inlineStr">
        <is>
          <t>D28</t>
        </is>
      </c>
      <c r="C157" s="8" t="inlineStr">
        <is>
          <t>16. Occupancy</t>
        </is>
      </c>
      <c r="D157" s="8" t="inlineStr">
        <is>
          <t>16</t>
        </is>
      </c>
      <c r="E157" s="8" t="inlineStr">
        <is>
          <t>part_ix_expenses.occupancy</t>
        </is>
      </c>
      <c r="F157" s="8" t="inlineStr">
        <is>
          <t>high</t>
        </is>
      </c>
      <c r="G157" s="9" t="n">
        <v>5588</v>
      </c>
    </row>
    <row r="158">
      <c r="A158" s="8" t="inlineStr">
        <is>
          <t>Operating expenses (detail)</t>
        </is>
      </c>
      <c r="B158" s="8" t="inlineStr">
        <is>
          <t>E28</t>
        </is>
      </c>
      <c r="C158" s="8" t="inlineStr">
        <is>
          <t>16. Occupancy</t>
        </is>
      </c>
      <c r="D158" s="8" t="inlineStr">
        <is>
          <t>16</t>
        </is>
      </c>
      <c r="E158" s="8" t="inlineStr">
        <is>
          <t>part_ix_expenses.occupancy</t>
        </is>
      </c>
      <c r="F158" s="8" t="inlineStr">
        <is>
          <t>high</t>
        </is>
      </c>
      <c r="G158" s="9" t="n">
        <v>5510</v>
      </c>
    </row>
    <row r="159">
      <c r="A159" s="8" t="inlineStr">
        <is>
          <t>Operating expenses (detail)</t>
        </is>
      </c>
      <c r="B159" s="8" t="inlineStr">
        <is>
          <t>F28</t>
        </is>
      </c>
      <c r="C159" s="8" t="inlineStr">
        <is>
          <t>16. Occupancy</t>
        </is>
      </c>
      <c r="D159" s="8" t="inlineStr">
        <is>
          <t>16</t>
        </is>
      </c>
      <c r="E159" s="8" t="inlineStr">
        <is>
          <t>part_ix_expenses.occupancy</t>
        </is>
      </c>
      <c r="F159" s="8" t="inlineStr">
        <is>
          <t>high</t>
        </is>
      </c>
      <c r="G159" s="9" t="n">
        <v>5524</v>
      </c>
    </row>
    <row r="160">
      <c r="A160" s="8" t="inlineStr">
        <is>
          <t>Operating expenses (detail)</t>
        </is>
      </c>
      <c r="B160" s="8" t="inlineStr">
        <is>
          <t>B29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C29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D29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E29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F29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B30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C30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D30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E30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F30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B31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C31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D31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E31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F31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B32</t>
        </is>
      </c>
      <c r="C175" s="8" t="inlineStr">
        <is>
          <t>20. Interest</t>
        </is>
      </c>
      <c r="D175" s="8" t="inlineStr">
        <is>
          <t>20</t>
        </is>
      </c>
      <c r="E175" s="8" t="inlineStr">
        <is>
          <t>part_ix_expenses.interest</t>
        </is>
      </c>
      <c r="F175" s="8" t="inlineStr">
        <is>
          <t>high</t>
        </is>
      </c>
      <c r="G175" s="9" t="n">
        <v>0</v>
      </c>
    </row>
    <row r="176">
      <c r="A176" s="8" t="inlineStr">
        <is>
          <t>Operating expenses (detail)</t>
        </is>
      </c>
      <c r="B176" s="8" t="inlineStr">
        <is>
          <t>C32</t>
        </is>
      </c>
      <c r="C176" s="8" t="inlineStr">
        <is>
          <t>20. Interest</t>
        </is>
      </c>
      <c r="D176" s="8" t="inlineStr">
        <is>
          <t>20</t>
        </is>
      </c>
      <c r="E176" s="8" t="inlineStr">
        <is>
          <t>part_ix_expenses.interest</t>
        </is>
      </c>
      <c r="F176" s="8" t="inlineStr">
        <is>
          <t>high</t>
        </is>
      </c>
      <c r="G176" s="9" t="n">
        <v>0</v>
      </c>
    </row>
    <row r="177">
      <c r="A177" s="8" t="inlineStr">
        <is>
          <t>Operating expenses (detail)</t>
        </is>
      </c>
      <c r="B177" s="8" t="inlineStr">
        <is>
          <t>D32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E32</t>
        </is>
      </c>
      <c r="C178" s="8" t="inlineStr">
        <is>
          <t>20. Interest</t>
        </is>
      </c>
      <c r="D178" s="8" t="inlineStr">
        <is>
          <t>20</t>
        </is>
      </c>
      <c r="E178" s="8" t="inlineStr">
        <is>
          <t>part_ix_expenses.interest</t>
        </is>
      </c>
      <c r="F178" s="8" t="inlineStr">
        <is>
          <t>high</t>
        </is>
      </c>
      <c r="G178" s="9" t="n">
        <v>0</v>
      </c>
    </row>
    <row r="179">
      <c r="A179" s="8" t="inlineStr">
        <is>
          <t>Operating expenses (detail)</t>
        </is>
      </c>
      <c r="B179" s="8" t="inlineStr">
        <is>
          <t>F32</t>
        </is>
      </c>
      <c r="C179" s="8" t="inlineStr">
        <is>
          <t>20. Interest</t>
        </is>
      </c>
      <c r="D179" s="8" t="inlineStr">
        <is>
          <t>20</t>
        </is>
      </c>
      <c r="E179" s="8" t="inlineStr">
        <is>
          <t>part_ix_expenses.interest</t>
        </is>
      </c>
      <c r="F179" s="8" t="inlineStr">
        <is>
          <t>high</t>
        </is>
      </c>
      <c r="G179" s="9" t="n">
        <v>0</v>
      </c>
    </row>
    <row r="180">
      <c r="A180" s="8" t="inlineStr">
        <is>
          <t>Operating expenses (detail)</t>
        </is>
      </c>
      <c r="B180" s="8" t="inlineStr">
        <is>
          <t>B33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C33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D33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E33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F33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B34</t>
        </is>
      </c>
      <c r="C185" s="8" t="inlineStr">
        <is>
          <t>22. Depreciation, depletion, and amortization</t>
        </is>
      </c>
      <c r="D185" s="8" t="inlineStr">
        <is>
          <t>22</t>
        </is>
      </c>
      <c r="E185" s="8" t="inlineStr">
        <is>
          <t>part_ix_expenses.depreciation</t>
        </is>
      </c>
      <c r="F185" s="8" t="inlineStr">
        <is>
          <t>high</t>
        </is>
      </c>
      <c r="G185" s="9" t="n">
        <v>1908</v>
      </c>
    </row>
    <row r="186">
      <c r="A186" s="8" t="inlineStr">
        <is>
          <t>Operating expenses (detail)</t>
        </is>
      </c>
      <c r="B186" s="8" t="inlineStr">
        <is>
          <t>C34</t>
        </is>
      </c>
      <c r="C186" s="8" t="inlineStr">
        <is>
          <t>22. Depreciation, depletion, and amortization</t>
        </is>
      </c>
      <c r="D186" s="8" t="inlineStr">
        <is>
          <t>22</t>
        </is>
      </c>
      <c r="E186" s="8" t="inlineStr">
        <is>
          <t>part_ix_expenses.depreciation</t>
        </is>
      </c>
      <c r="F186" s="8" t="inlineStr">
        <is>
          <t>high</t>
        </is>
      </c>
      <c r="G186" s="9" t="n">
        <v>1908</v>
      </c>
    </row>
    <row r="187">
      <c r="A187" s="8" t="inlineStr">
        <is>
          <t>Operating expenses (detail)</t>
        </is>
      </c>
      <c r="B187" s="8" t="inlineStr">
        <is>
          <t>D34</t>
        </is>
      </c>
      <c r="C187" s="8" t="inlineStr">
        <is>
          <t>22. Depreciation, depletion, and amortization</t>
        </is>
      </c>
      <c r="D187" s="8" t="inlineStr">
        <is>
          <t>22</t>
        </is>
      </c>
      <c r="E187" s="8" t="inlineStr">
        <is>
          <t>part_ix_expenses.depreciation</t>
        </is>
      </c>
      <c r="F187" s="8" t="inlineStr">
        <is>
          <t>high</t>
        </is>
      </c>
      <c r="G187" s="9" t="n">
        <v>728</v>
      </c>
    </row>
    <row r="188">
      <c r="A188" s="8" t="inlineStr">
        <is>
          <t>Operating expenses (detail)</t>
        </is>
      </c>
      <c r="B188" s="8" t="inlineStr">
        <is>
          <t>E34</t>
        </is>
      </c>
      <c r="C188" s="8" t="inlineStr">
        <is>
          <t>22. Depreciation, depletion, and amortization</t>
        </is>
      </c>
      <c r="D188" s="8" t="inlineStr">
        <is>
          <t>22</t>
        </is>
      </c>
      <c r="E188" s="8" t="inlineStr">
        <is>
          <t>part_ix_expenses.depreciation</t>
        </is>
      </c>
      <c r="F188" s="8" t="inlineStr">
        <is>
          <t>high</t>
        </is>
      </c>
      <c r="G188" s="9" t="n">
        <v>728</v>
      </c>
    </row>
    <row r="189">
      <c r="A189" s="8" t="inlineStr">
        <is>
          <t>Operating expenses (detail)</t>
        </is>
      </c>
      <c r="B189" s="8" t="inlineStr">
        <is>
          <t>F34</t>
        </is>
      </c>
      <c r="C189" s="8" t="inlineStr">
        <is>
          <t>22. Depreciation, depletion, and amortization</t>
        </is>
      </c>
      <c r="D189" s="8" t="inlineStr">
        <is>
          <t>22</t>
        </is>
      </c>
      <c r="E189" s="8" t="inlineStr">
        <is>
          <t>part_ix_expenses.depreciation</t>
        </is>
      </c>
      <c r="F189" s="8" t="inlineStr">
        <is>
          <t>high</t>
        </is>
      </c>
      <c r="G189" s="9" t="n">
        <v>728</v>
      </c>
    </row>
    <row r="190">
      <c r="A190" s="8" t="inlineStr">
        <is>
          <t>Operating expenses (detail)</t>
        </is>
      </c>
      <c r="B190" s="8" t="inlineStr">
        <is>
          <t>B35</t>
        </is>
      </c>
      <c r="C190" s="8" t="inlineStr">
        <is>
          <t>23. Insurance</t>
        </is>
      </c>
      <c r="D190" s="8" t="inlineStr">
        <is>
          <t>23</t>
        </is>
      </c>
      <c r="E190" s="8" t="inlineStr">
        <is>
          <t>part_ix_expenses.insurance</t>
        </is>
      </c>
      <c r="F190" s="8" t="inlineStr">
        <is>
          <t>high</t>
        </is>
      </c>
      <c r="G190" s="9" t="n">
        <v>8208</v>
      </c>
    </row>
    <row r="191">
      <c r="A191" s="8" t="inlineStr">
        <is>
          <t>Operating expenses (detail)</t>
        </is>
      </c>
      <c r="B191" s="8" t="inlineStr">
        <is>
          <t>C35</t>
        </is>
      </c>
      <c r="C191" s="8" t="inlineStr">
        <is>
          <t>23. Insurance</t>
        </is>
      </c>
      <c r="D191" s="8" t="inlineStr">
        <is>
          <t>23</t>
        </is>
      </c>
      <c r="E191" s="8" t="inlineStr">
        <is>
          <t>part_ix_expenses.insurance</t>
        </is>
      </c>
      <c r="F191" s="8" t="inlineStr">
        <is>
          <t>high</t>
        </is>
      </c>
      <c r="G191" s="9" t="n">
        <v>9095</v>
      </c>
    </row>
    <row r="192">
      <c r="A192" s="8" t="inlineStr">
        <is>
          <t>Operating expenses (detail)</t>
        </is>
      </c>
      <c r="B192" s="8" t="inlineStr">
        <is>
          <t>D35</t>
        </is>
      </c>
      <c r="C192" s="8" t="inlineStr">
        <is>
          <t>23. Insurance</t>
        </is>
      </c>
      <c r="D192" s="8" t="inlineStr">
        <is>
          <t>23</t>
        </is>
      </c>
      <c r="E192" s="8" t="inlineStr">
        <is>
          <t>part_ix_expenses.insurance</t>
        </is>
      </c>
      <c r="F192" s="8" t="inlineStr">
        <is>
          <t>high</t>
        </is>
      </c>
      <c r="G192" s="9" t="n">
        <v>7788</v>
      </c>
    </row>
    <row r="193">
      <c r="A193" s="8" t="inlineStr">
        <is>
          <t>Operating expenses (detail)</t>
        </is>
      </c>
      <c r="B193" s="8" t="inlineStr">
        <is>
          <t>E35</t>
        </is>
      </c>
      <c r="C193" s="8" t="inlineStr">
        <is>
          <t>23. Insurance</t>
        </is>
      </c>
      <c r="D193" s="8" t="inlineStr">
        <is>
          <t>23</t>
        </is>
      </c>
      <c r="E193" s="8" t="inlineStr">
        <is>
          <t>part_ix_expenses.insurance</t>
        </is>
      </c>
      <c r="F193" s="8" t="inlineStr">
        <is>
          <t>high</t>
        </is>
      </c>
      <c r="G193" s="9" t="n">
        <v>9339</v>
      </c>
    </row>
    <row r="194">
      <c r="A194" s="8" t="inlineStr">
        <is>
          <t>Operating expenses (detail)</t>
        </is>
      </c>
      <c r="B194" s="8" t="inlineStr">
        <is>
          <t>F35</t>
        </is>
      </c>
      <c r="C194" s="8" t="inlineStr">
        <is>
          <t>23. Insurance</t>
        </is>
      </c>
      <c r="D194" s="8" t="inlineStr">
        <is>
          <t>23</t>
        </is>
      </c>
      <c r="E194" s="8" t="inlineStr">
        <is>
          <t>part_ix_expenses.insurance</t>
        </is>
      </c>
      <c r="F194" s="8" t="inlineStr">
        <is>
          <t>high</t>
        </is>
      </c>
      <c r="G194" s="9" t="n">
        <v>10481</v>
      </c>
    </row>
    <row r="195">
      <c r="A195" s="8" t="inlineStr">
        <is>
          <t>Operating expenses (detail)</t>
        </is>
      </c>
      <c r="B195" s="8" t="inlineStr">
        <is>
          <t>B41</t>
        </is>
      </c>
      <c r="C195" s="8" t="inlineStr">
        <is>
          <t>24e. All other expenses</t>
        </is>
      </c>
      <c r="D195" s="8" t="inlineStr">
        <is>
          <t>24e</t>
        </is>
      </c>
      <c r="E195" s="8" t="inlineStr">
        <is>
          <t>part_ix_expenses.all_other_expenses</t>
        </is>
      </c>
      <c r="F195" s="8" t="inlineStr">
        <is>
          <t>high</t>
        </is>
      </c>
      <c r="G195" s="9" t="n">
        <v>212</v>
      </c>
    </row>
    <row r="196">
      <c r="A196" s="8" t="inlineStr">
        <is>
          <t>Operating expenses (detail)</t>
        </is>
      </c>
      <c r="B196" s="8" t="inlineStr">
        <is>
          <t>C41</t>
        </is>
      </c>
      <c r="C196" s="8" t="inlineStr">
        <is>
          <t>24e. All other expenses</t>
        </is>
      </c>
      <c r="D196" s="8" t="inlineStr">
        <is>
          <t>24e</t>
        </is>
      </c>
      <c r="E196" s="8" t="inlineStr">
        <is>
          <t>part_ix_expenses.all_other_expenses</t>
        </is>
      </c>
      <c r="F196" s="8" t="inlineStr">
        <is>
          <t>high</t>
        </is>
      </c>
      <c r="G196" s="9" t="n">
        <v>702</v>
      </c>
    </row>
    <row r="197">
      <c r="A197" s="8" t="inlineStr">
        <is>
          <t>Operating expenses (detail)</t>
        </is>
      </c>
      <c r="B197" s="8" t="inlineStr">
        <is>
          <t>D41</t>
        </is>
      </c>
      <c r="C197" s="8" t="inlineStr">
        <is>
          <t>24e. All other expenses</t>
        </is>
      </c>
      <c r="D197" s="8" t="inlineStr">
        <is>
          <t>24e</t>
        </is>
      </c>
      <c r="E197" s="8" t="inlineStr">
        <is>
          <t>part_ix_expenses.all_other_expenses</t>
        </is>
      </c>
      <c r="F197" s="8" t="inlineStr">
        <is>
          <t>high</t>
        </is>
      </c>
      <c r="G197" s="9" t="n">
        <v>0</v>
      </c>
    </row>
    <row r="198">
      <c r="A198" s="8" t="inlineStr">
        <is>
          <t>Operating expenses (detail)</t>
        </is>
      </c>
      <c r="B198" s="8" t="inlineStr">
        <is>
          <t>E41</t>
        </is>
      </c>
      <c r="C198" s="8" t="inlineStr">
        <is>
          <t>24e. All other expenses</t>
        </is>
      </c>
      <c r="D198" s="8" t="inlineStr">
        <is>
          <t>24e</t>
        </is>
      </c>
      <c r="E198" s="8" t="inlineStr">
        <is>
          <t>part_ix_expenses.all_other_expenses</t>
        </is>
      </c>
      <c r="F198" s="8" t="inlineStr">
        <is>
          <t>high</t>
        </is>
      </c>
      <c r="G198" s="9" t="n">
        <v>1492</v>
      </c>
    </row>
    <row r="199">
      <c r="A199" s="8" t="inlineStr">
        <is>
          <t>Operating expenses (detail)</t>
        </is>
      </c>
      <c r="B199" s="8" t="inlineStr">
        <is>
          <t>F41</t>
        </is>
      </c>
      <c r="C199" s="8" t="inlineStr">
        <is>
          <t>24e. All other expenses</t>
        </is>
      </c>
      <c r="D199" s="8" t="inlineStr">
        <is>
          <t>24e</t>
        </is>
      </c>
      <c r="E199" s="8" t="inlineStr">
        <is>
          <t>part_ix_expenses.all_other_expenses</t>
        </is>
      </c>
      <c r="F199" s="8" t="inlineStr">
        <is>
          <t>high</t>
        </is>
      </c>
      <c r="G199" s="9" t="n">
        <v>2722</v>
      </c>
    </row>
    <row r="200">
      <c r="A200" s="8" t="inlineStr">
        <is>
          <t>Balance sheet (detail)</t>
        </is>
      </c>
      <c r="B200" s="8" t="inlineStr">
        <is>
          <t>B7</t>
        </is>
      </c>
      <c r="C200" s="8" t="inlineStr">
        <is>
          <t>1. Cash - non-interest-bearing</t>
        </is>
      </c>
      <c r="D200" s="8" t="inlineStr">
        <is>
          <t>1E</t>
        </is>
      </c>
      <c r="E200" s="8" t="inlineStr">
        <is>
          <t>part_x_balance_sheet.cash_noninterest_eoy</t>
        </is>
      </c>
      <c r="F200" s="8" t="inlineStr">
        <is>
          <t>high</t>
        </is>
      </c>
      <c r="G200" s="9" t="n">
        <v>14537</v>
      </c>
    </row>
    <row r="201">
      <c r="A201" s="8" t="inlineStr">
        <is>
          <t>Balance sheet (detail)</t>
        </is>
      </c>
      <c r="B201" s="8" t="inlineStr">
        <is>
          <t>C7</t>
        </is>
      </c>
      <c r="C201" s="8" t="inlineStr">
        <is>
          <t>1. Cash - non-interest-bearing</t>
        </is>
      </c>
      <c r="D201" s="8" t="inlineStr">
        <is>
          <t>1E</t>
        </is>
      </c>
      <c r="E201" s="8" t="inlineStr">
        <is>
          <t>part_x_balance_sheet.cash_noninterest_eoy</t>
        </is>
      </c>
      <c r="F201" s="8" t="inlineStr">
        <is>
          <t>high</t>
        </is>
      </c>
      <c r="G201" s="9" t="n">
        <v>41773</v>
      </c>
    </row>
    <row r="202">
      <c r="A202" s="8" t="inlineStr">
        <is>
          <t>Balance sheet (detail)</t>
        </is>
      </c>
      <c r="B202" s="8" t="inlineStr">
        <is>
          <t>D7</t>
        </is>
      </c>
      <c r="C202" s="8" t="inlineStr">
        <is>
          <t>1. Cash - non-interest-bearing</t>
        </is>
      </c>
      <c r="D202" s="8" t="inlineStr">
        <is>
          <t>1E</t>
        </is>
      </c>
      <c r="E202" s="8" t="inlineStr">
        <is>
          <t>part_x_balance_sheet.cash_noninterest_eoy</t>
        </is>
      </c>
      <c r="F202" s="8" t="inlineStr">
        <is>
          <t>high</t>
        </is>
      </c>
      <c r="G202" s="9" t="n">
        <v>7535</v>
      </c>
    </row>
    <row r="203">
      <c r="A203" s="8" t="inlineStr">
        <is>
          <t>Balance sheet (detail)</t>
        </is>
      </c>
      <c r="B203" s="8" t="inlineStr">
        <is>
          <t>E7</t>
        </is>
      </c>
      <c r="C203" s="8" t="inlineStr">
        <is>
          <t>1. Cash - non-interest-bearing</t>
        </is>
      </c>
      <c r="D203" s="8" t="inlineStr">
        <is>
          <t>1E</t>
        </is>
      </c>
      <c r="E203" s="8" t="inlineStr">
        <is>
          <t>part_x_balance_sheet.cash_noninterest_eoy</t>
        </is>
      </c>
      <c r="F203" s="8" t="inlineStr">
        <is>
          <t>high</t>
        </is>
      </c>
      <c r="G203" s="9" t="n">
        <v>24234</v>
      </c>
    </row>
    <row r="204">
      <c r="A204" s="8" t="inlineStr">
        <is>
          <t>Balance sheet (detail)</t>
        </is>
      </c>
      <c r="B204" s="8" t="inlineStr">
        <is>
          <t>F7</t>
        </is>
      </c>
      <c r="C204" s="8" t="inlineStr">
        <is>
          <t>1. Cash - non-interest-bearing</t>
        </is>
      </c>
      <c r="D204" s="8" t="inlineStr">
        <is>
          <t>1E</t>
        </is>
      </c>
      <c r="E204" s="8" t="inlineStr">
        <is>
          <t>part_x_balance_sheet.cash_noninterest_eoy</t>
        </is>
      </c>
      <c r="F204" s="8" t="inlineStr">
        <is>
          <t>high</t>
        </is>
      </c>
      <c r="G204" s="9" t="n">
        <v>6743</v>
      </c>
    </row>
    <row r="205">
      <c r="A205" s="8" t="inlineStr">
        <is>
          <t>Balance sheet (detail)</t>
        </is>
      </c>
      <c r="B205" s="8" t="inlineStr">
        <is>
          <t>B8</t>
        </is>
      </c>
      <c r="C205" s="8" t="inlineStr">
        <is>
          <t>2. Savings and temporary cash investments</t>
        </is>
      </c>
      <c r="D205" s="8" t="inlineStr">
        <is>
          <t>2E</t>
        </is>
      </c>
      <c r="E205" s="8" t="inlineStr">
        <is>
          <t>part_x_balance_sheet.savings_temp_invest_eoy</t>
        </is>
      </c>
      <c r="F205" s="8" t="inlineStr">
        <is>
          <t>high</t>
        </is>
      </c>
      <c r="G205" s="9" t="n">
        <v>14860</v>
      </c>
    </row>
    <row r="206">
      <c r="A206" s="8" t="inlineStr">
        <is>
          <t>Balance sheet (detail)</t>
        </is>
      </c>
      <c r="B206" s="8" t="inlineStr">
        <is>
          <t>C8</t>
        </is>
      </c>
      <c r="C206" s="8" t="inlineStr">
        <is>
          <t>2. Savings and temporary cash investments</t>
        </is>
      </c>
      <c r="D206" s="8" t="inlineStr">
        <is>
          <t>2E</t>
        </is>
      </c>
      <c r="E206" s="8" t="inlineStr">
        <is>
          <t>part_x_balance_sheet.savings_temp_invest_eoy</t>
        </is>
      </c>
      <c r="F206" s="8" t="inlineStr">
        <is>
          <t>high</t>
        </is>
      </c>
      <c r="G206" s="9" t="n">
        <v>14868</v>
      </c>
    </row>
    <row r="207">
      <c r="A207" s="8" t="inlineStr">
        <is>
          <t>Balance sheet (detail)</t>
        </is>
      </c>
      <c r="B207" s="8" t="inlineStr">
        <is>
          <t>D8</t>
        </is>
      </c>
      <c r="C207" s="8" t="inlineStr">
        <is>
          <t>2. Savings and temporary cash investments</t>
        </is>
      </c>
      <c r="D207" s="8" t="inlineStr">
        <is>
          <t>2E</t>
        </is>
      </c>
      <c r="E207" s="8" t="inlineStr">
        <is>
          <t>part_x_balance_sheet.savings_temp_invest_eoy</t>
        </is>
      </c>
      <c r="F207" s="8" t="inlineStr">
        <is>
          <t>high</t>
        </is>
      </c>
      <c r="G207" s="9" t="n">
        <v>14875</v>
      </c>
    </row>
    <row r="208">
      <c r="A208" s="8" t="inlineStr">
        <is>
          <t>Balance sheet (detail)</t>
        </is>
      </c>
      <c r="B208" s="8" t="inlineStr">
        <is>
          <t>E8</t>
        </is>
      </c>
      <c r="C208" s="8" t="inlineStr">
        <is>
          <t>2. Savings and temporary cash investments</t>
        </is>
      </c>
      <c r="D208" s="8" t="inlineStr">
        <is>
          <t>2E</t>
        </is>
      </c>
      <c r="E208" s="8" t="inlineStr">
        <is>
          <t>part_x_balance_sheet.savings_temp_invest_eoy</t>
        </is>
      </c>
      <c r="F208" s="8" t="inlineStr">
        <is>
          <t>high</t>
        </is>
      </c>
      <c r="G208" s="9" t="n">
        <v>14882</v>
      </c>
    </row>
    <row r="209">
      <c r="A209" s="8" t="inlineStr">
        <is>
          <t>Balance sheet (detail)</t>
        </is>
      </c>
      <c r="B209" s="8" t="inlineStr">
        <is>
          <t>F8</t>
        </is>
      </c>
      <c r="C209" s="8" t="inlineStr">
        <is>
          <t>2. Savings and temporary cash investments</t>
        </is>
      </c>
      <c r="D209" s="8" t="inlineStr">
        <is>
          <t>2E</t>
        </is>
      </c>
      <c r="E209" s="8" t="inlineStr">
        <is>
          <t>part_x_balance_sheet.savings_temp_invest_eoy</t>
        </is>
      </c>
      <c r="F209" s="8" t="inlineStr">
        <is>
          <t>high</t>
        </is>
      </c>
      <c r="G209" s="9" t="n">
        <v>7890</v>
      </c>
    </row>
    <row r="210">
      <c r="A210" s="8" t="inlineStr">
        <is>
          <t>Balance sheet (detail)</t>
        </is>
      </c>
      <c r="B210" s="8" t="inlineStr">
        <is>
          <t>B9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C9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D9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E9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F9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B10</t>
        </is>
      </c>
      <c r="C215" s="8" t="inlineStr">
        <is>
          <t>4. Accounts receivable, net</t>
        </is>
      </c>
      <c r="D215" s="8" t="inlineStr">
        <is>
          <t>4E</t>
        </is>
      </c>
      <c r="E215" s="8" t="inlineStr">
        <is>
          <t>part_x_balance_sheet.accounts_receivable_eoy</t>
        </is>
      </c>
      <c r="F215" s="8" t="inlineStr">
        <is>
          <t>high</t>
        </is>
      </c>
      <c r="G215" s="9" t="n">
        <v>11609</v>
      </c>
    </row>
    <row r="216">
      <c r="A216" s="8" t="inlineStr">
        <is>
          <t>Balance sheet (detail)</t>
        </is>
      </c>
      <c r="B216" s="8" t="inlineStr">
        <is>
          <t>C10</t>
        </is>
      </c>
      <c r="C216" s="8" t="inlineStr">
        <is>
          <t>4. Accounts receivable, net</t>
        </is>
      </c>
      <c r="D216" s="8" t="inlineStr">
        <is>
          <t>4E</t>
        </is>
      </c>
      <c r="E216" s="8" t="inlineStr">
        <is>
          <t>part_x_balance_sheet.accounts_receivable_eoy</t>
        </is>
      </c>
      <c r="F216" s="8" t="inlineStr">
        <is>
          <t>high</t>
        </is>
      </c>
      <c r="G216" s="9" t="n">
        <v>11609</v>
      </c>
    </row>
    <row r="217">
      <c r="A217" s="8" t="inlineStr">
        <is>
          <t>Balance sheet (detail)</t>
        </is>
      </c>
      <c r="B217" s="8" t="inlineStr">
        <is>
          <t>D10</t>
        </is>
      </c>
      <c r="C217" s="8" t="inlineStr">
        <is>
          <t>4. Accounts receivable, net</t>
        </is>
      </c>
      <c r="D217" s="8" t="inlineStr">
        <is>
          <t>4E</t>
        </is>
      </c>
      <c r="E217" s="8" t="inlineStr">
        <is>
          <t>part_x_balance_sheet.accounts_receivable_eoy</t>
        </is>
      </c>
      <c r="F217" s="8" t="inlineStr">
        <is>
          <t>high</t>
        </is>
      </c>
      <c r="G217" s="9" t="n">
        <v>9102</v>
      </c>
    </row>
    <row r="218">
      <c r="A218" s="8" t="inlineStr">
        <is>
          <t>Balance sheet (detail)</t>
        </is>
      </c>
      <c r="B218" s="8" t="inlineStr">
        <is>
          <t>E10</t>
        </is>
      </c>
      <c r="C218" s="8" t="inlineStr">
        <is>
          <t>4. Accounts receivable, net</t>
        </is>
      </c>
      <c r="D218" s="8" t="inlineStr">
        <is>
          <t>4E</t>
        </is>
      </c>
      <c r="E218" s="8" t="inlineStr">
        <is>
          <t>part_x_balance_sheet.accounts_receivable_eoy</t>
        </is>
      </c>
      <c r="F218" s="8" t="inlineStr">
        <is>
          <t>high</t>
        </is>
      </c>
      <c r="G218" s="9" t="n">
        <v>0</v>
      </c>
    </row>
    <row r="219">
      <c r="A219" s="8" t="inlineStr">
        <is>
          <t>Balance sheet (detail)</t>
        </is>
      </c>
      <c r="B219" s="8" t="inlineStr">
        <is>
          <t>F10</t>
        </is>
      </c>
      <c r="C219" s="8" t="inlineStr">
        <is>
          <t>4. Accounts receivable, net</t>
        </is>
      </c>
      <c r="D219" s="8" t="inlineStr">
        <is>
          <t>4E</t>
        </is>
      </c>
      <c r="E219" s="8" t="inlineStr">
        <is>
          <t>part_x_balance_sheet.accounts_receivable_eoy</t>
        </is>
      </c>
      <c r="F219" s="8" t="inlineStr">
        <is>
          <t>high</t>
        </is>
      </c>
      <c r="G219" s="9" t="n">
        <v>0</v>
      </c>
    </row>
    <row r="220">
      <c r="A220" s="8" t="inlineStr">
        <is>
          <t>Balance sheet (detail)</t>
        </is>
      </c>
      <c r="B220" s="8" t="inlineStr">
        <is>
          <t>B11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C11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D11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E11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F11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B12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C12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D12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E12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F12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B13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C13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D13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E13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F13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B14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C14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D14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E14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F14</t>
        </is>
      </c>
      <c r="C239" s="8" t="inlineStr">
        <is>
          <t>8. Inventories for sale or use</t>
        </is>
      </c>
      <c r="D239" s="8" t="inlineStr">
        <is>
          <t>8E</t>
        </is>
      </c>
      <c r="E239" s="8" t="inlineStr">
        <is>
          <t>part_x_balance_sheet.inventories_eoy</t>
        </is>
      </c>
      <c r="F239" s="8" t="inlineStr">
        <is>
          <t>high</t>
        </is>
      </c>
      <c r="G239" s="9" t="n">
        <v>0</v>
      </c>
    </row>
    <row r="240">
      <c r="A240" s="8" t="inlineStr">
        <is>
          <t>Balance sheet (detail)</t>
        </is>
      </c>
      <c r="B240" s="8" t="inlineStr">
        <is>
          <t>B15</t>
        </is>
      </c>
      <c r="C240" s="8" t="inlineStr">
        <is>
          <t>9. Prepaid expenses and deferred charges</t>
        </is>
      </c>
      <c r="D240" s="8" t="inlineStr">
        <is>
          <t>9E</t>
        </is>
      </c>
      <c r="E240" s="8" t="inlineStr">
        <is>
          <t>part_x_balance_sheet.prepaid_expenses_eoy</t>
        </is>
      </c>
      <c r="F240" s="8" t="inlineStr">
        <is>
          <t>high</t>
        </is>
      </c>
      <c r="G240" s="9" t="n">
        <v>0</v>
      </c>
    </row>
    <row r="241">
      <c r="A241" s="8" t="inlineStr">
        <is>
          <t>Balance sheet (detail)</t>
        </is>
      </c>
      <c r="B241" s="8" t="inlineStr">
        <is>
          <t>C15</t>
        </is>
      </c>
      <c r="C241" s="8" t="inlineStr">
        <is>
          <t>9. Prepaid expenses and deferred charges</t>
        </is>
      </c>
      <c r="D241" s="8" t="inlineStr">
        <is>
          <t>9E</t>
        </is>
      </c>
      <c r="E241" s="8" t="inlineStr">
        <is>
          <t>part_x_balance_sheet.prepaid_expenses_eoy</t>
        </is>
      </c>
      <c r="F241" s="8" t="inlineStr">
        <is>
          <t>high</t>
        </is>
      </c>
      <c r="G241" s="9" t="n">
        <v>0</v>
      </c>
    </row>
    <row r="242">
      <c r="A242" s="8" t="inlineStr">
        <is>
          <t>Balance sheet (detail)</t>
        </is>
      </c>
      <c r="B242" s="8" t="inlineStr">
        <is>
          <t>D15</t>
        </is>
      </c>
      <c r="C242" s="8" t="inlineStr">
        <is>
          <t>9. Prepaid expenses and deferred charges</t>
        </is>
      </c>
      <c r="D242" s="8" t="inlineStr">
        <is>
          <t>9E</t>
        </is>
      </c>
      <c r="E242" s="8" t="inlineStr">
        <is>
          <t>part_x_balance_sheet.prepaid_expenses_eoy</t>
        </is>
      </c>
      <c r="F242" s="8" t="inlineStr">
        <is>
          <t>high</t>
        </is>
      </c>
      <c r="G242" s="9" t="n">
        <v>0</v>
      </c>
    </row>
    <row r="243">
      <c r="A243" s="8" t="inlineStr">
        <is>
          <t>Balance sheet (detail)</t>
        </is>
      </c>
      <c r="B243" s="8" t="inlineStr">
        <is>
          <t>E15</t>
        </is>
      </c>
      <c r="C243" s="8" t="inlineStr">
        <is>
          <t>9. Prepaid expenses and deferred charges</t>
        </is>
      </c>
      <c r="D243" s="8" t="inlineStr">
        <is>
          <t>9E</t>
        </is>
      </c>
      <c r="E243" s="8" t="inlineStr">
        <is>
          <t>part_x_balance_sheet.prepaid_expenses_eoy</t>
        </is>
      </c>
      <c r="F243" s="8" t="inlineStr">
        <is>
          <t>high</t>
        </is>
      </c>
      <c r="G243" s="9" t="n">
        <v>0</v>
      </c>
    </row>
    <row r="244">
      <c r="A244" s="8" t="inlineStr">
        <is>
          <t>Balance sheet (detail)</t>
        </is>
      </c>
      <c r="B244" s="8" t="inlineStr">
        <is>
          <t>F15</t>
        </is>
      </c>
      <c r="C244" s="8" t="inlineStr">
        <is>
          <t>9. Prepaid expenses and deferred charges</t>
        </is>
      </c>
      <c r="D244" s="8" t="inlineStr">
        <is>
          <t>9E</t>
        </is>
      </c>
      <c r="E244" s="8" t="inlineStr">
        <is>
          <t>part_x_balance_sheet.prepaid_expenses_eoy</t>
        </is>
      </c>
      <c r="F244" s="8" t="inlineStr">
        <is>
          <t>high</t>
        </is>
      </c>
      <c r="G244" s="9" t="n">
        <v>0</v>
      </c>
    </row>
    <row r="245">
      <c r="A245" s="8" t="inlineStr">
        <is>
          <t>Balance sheet (detail)</t>
        </is>
      </c>
      <c r="B245" s="8" t="inlineStr">
        <is>
          <t>B16</t>
        </is>
      </c>
      <c r="C245" s="8" t="inlineStr">
        <is>
          <t>10c. Land, buildings, and equipment, net</t>
        </is>
      </c>
      <c r="D245" s="8" t="inlineStr">
        <is>
          <t>10cE</t>
        </is>
      </c>
      <c r="E245" s="8" t="inlineStr">
        <is>
          <t>part_x_balance_sheet.land_bldg_equip_net_eoy</t>
        </is>
      </c>
      <c r="F245" s="8" t="inlineStr">
        <is>
          <t>high</t>
        </is>
      </c>
      <c r="G245" s="9" t="n">
        <v>56847</v>
      </c>
    </row>
    <row r="246">
      <c r="A246" s="8" t="inlineStr">
        <is>
          <t>Balance sheet (detail)</t>
        </is>
      </c>
      <c r="B246" s="8" t="inlineStr">
        <is>
          <t>C16</t>
        </is>
      </c>
      <c r="C246" s="8" t="inlineStr">
        <is>
          <t>10c. Land, buildings, and equipment, net</t>
        </is>
      </c>
      <c r="D246" s="8" t="inlineStr">
        <is>
          <t>10cE</t>
        </is>
      </c>
      <c r="E246" s="8" t="inlineStr">
        <is>
          <t>part_x_balance_sheet.land_bldg_equip_net_eoy</t>
        </is>
      </c>
      <c r="F246" s="8" t="inlineStr">
        <is>
          <t>high</t>
        </is>
      </c>
      <c r="G246" s="9" t="n">
        <v>54939</v>
      </c>
    </row>
    <row r="247">
      <c r="A247" s="8" t="inlineStr">
        <is>
          <t>Balance sheet (detail)</t>
        </is>
      </c>
      <c r="B247" s="8" t="inlineStr">
        <is>
          <t>D16</t>
        </is>
      </c>
      <c r="C247" s="8" t="inlineStr">
        <is>
          <t>10c. Land, buildings, and equipment, net</t>
        </is>
      </c>
      <c r="D247" s="8" t="inlineStr">
        <is>
          <t>10cE</t>
        </is>
      </c>
      <c r="E247" s="8" t="inlineStr">
        <is>
          <t>part_x_balance_sheet.land_bldg_equip_net_eoy</t>
        </is>
      </c>
      <c r="F247" s="8" t="inlineStr">
        <is>
          <t>high</t>
        </is>
      </c>
      <c r="G247" s="9" t="n">
        <v>54211</v>
      </c>
    </row>
    <row r="248">
      <c r="A248" s="8" t="inlineStr">
        <is>
          <t>Balance sheet (detail)</t>
        </is>
      </c>
      <c r="B248" s="8" t="inlineStr">
        <is>
          <t>E16</t>
        </is>
      </c>
      <c r="C248" s="8" t="inlineStr">
        <is>
          <t>10c. Land, buildings, and equipment, net</t>
        </is>
      </c>
      <c r="D248" s="8" t="inlineStr">
        <is>
          <t>10cE</t>
        </is>
      </c>
      <c r="E248" s="8" t="inlineStr">
        <is>
          <t>part_x_balance_sheet.land_bldg_equip_net_eoy</t>
        </is>
      </c>
      <c r="F248" s="8" t="inlineStr">
        <is>
          <t>high</t>
        </is>
      </c>
      <c r="G248" s="9" t="n">
        <v>53483</v>
      </c>
    </row>
    <row r="249">
      <c r="A249" s="8" t="inlineStr">
        <is>
          <t>Balance sheet (detail)</t>
        </is>
      </c>
      <c r="B249" s="8" t="inlineStr">
        <is>
          <t>F16</t>
        </is>
      </c>
      <c r="C249" s="8" t="inlineStr">
        <is>
          <t>10c. Land, buildings, and equipment, net</t>
        </is>
      </c>
      <c r="D249" s="8" t="inlineStr">
        <is>
          <t>10cE</t>
        </is>
      </c>
      <c r="E249" s="8" t="inlineStr">
        <is>
          <t>part_x_balance_sheet.land_bldg_equip_net_eoy</t>
        </is>
      </c>
      <c r="F249" s="8" t="inlineStr">
        <is>
          <t>high</t>
        </is>
      </c>
      <c r="G249" s="9" t="n">
        <v>52755</v>
      </c>
    </row>
    <row r="250">
      <c r="A250" s="8" t="inlineStr">
        <is>
          <t>Balance sheet (detail)</t>
        </is>
      </c>
      <c r="B250" s="8" t="inlineStr">
        <is>
          <t>B17</t>
        </is>
      </c>
      <c r="C250" s="8" t="inlineStr">
        <is>
          <t>11. Investments - publicly traded securities</t>
        </is>
      </c>
      <c r="D250" s="8" t="inlineStr">
        <is>
          <t>11E</t>
        </is>
      </c>
      <c r="E250" s="8" t="inlineStr">
        <is>
          <t>part_x_balance_sheet.investments_public_securities_eoy</t>
        </is>
      </c>
      <c r="F250" s="8" t="inlineStr">
        <is>
          <t>high</t>
        </is>
      </c>
      <c r="G250" s="9" t="n">
        <v>599594</v>
      </c>
    </row>
    <row r="251">
      <c r="A251" s="8" t="inlineStr">
        <is>
          <t>Balance sheet (detail)</t>
        </is>
      </c>
      <c r="B251" s="8" t="inlineStr">
        <is>
          <t>C17</t>
        </is>
      </c>
      <c r="C251" s="8" t="inlineStr">
        <is>
          <t>11. Investments - publicly traded securities</t>
        </is>
      </c>
      <c r="D251" s="8" t="inlineStr">
        <is>
          <t>11E</t>
        </is>
      </c>
      <c r="E251" s="8" t="inlineStr">
        <is>
          <t>part_x_balance_sheet.investments_public_securities_eoy</t>
        </is>
      </c>
      <c r="F251" s="8" t="inlineStr">
        <is>
          <t>high</t>
        </is>
      </c>
      <c r="G251" s="9" t="n">
        <v>772264</v>
      </c>
    </row>
    <row r="252">
      <c r="A252" s="8" t="inlineStr">
        <is>
          <t>Balance sheet (detail)</t>
        </is>
      </c>
      <c r="B252" s="8" t="inlineStr">
        <is>
          <t>D17</t>
        </is>
      </c>
      <c r="C252" s="8" t="inlineStr">
        <is>
          <t>11. Investments - publicly traded securities</t>
        </is>
      </c>
      <c r="D252" s="8" t="inlineStr">
        <is>
          <t>11E</t>
        </is>
      </c>
      <c r="E252" s="8" t="inlineStr">
        <is>
          <t>part_x_balance_sheet.investments_public_securities_eoy</t>
        </is>
      </c>
      <c r="F252" s="8" t="inlineStr">
        <is>
          <t>high</t>
        </is>
      </c>
      <c r="G252" s="9" t="n">
        <v>820200</v>
      </c>
    </row>
    <row r="253">
      <c r="A253" s="8" t="inlineStr">
        <is>
          <t>Balance sheet (detail)</t>
        </is>
      </c>
      <c r="B253" s="8" t="inlineStr">
        <is>
          <t>E17</t>
        </is>
      </c>
      <c r="C253" s="8" t="inlineStr">
        <is>
          <t>11. Investments - publicly traded securities</t>
        </is>
      </c>
      <c r="D253" s="8" t="inlineStr">
        <is>
          <t>11E</t>
        </is>
      </c>
      <c r="E253" s="8" t="inlineStr">
        <is>
          <t>part_x_balance_sheet.investments_public_securities_eoy</t>
        </is>
      </c>
      <c r="F253" s="8" t="inlineStr">
        <is>
          <t>high</t>
        </is>
      </c>
      <c r="G253" s="9" t="n">
        <v>888680</v>
      </c>
    </row>
    <row r="254">
      <c r="A254" s="8" t="inlineStr">
        <is>
          <t>Balance sheet (detail)</t>
        </is>
      </c>
      <c r="B254" s="8" t="inlineStr">
        <is>
          <t>F17</t>
        </is>
      </c>
      <c r="C254" s="8" t="inlineStr">
        <is>
          <t>11. Investments - publicly traded securities</t>
        </is>
      </c>
      <c r="D254" s="8" t="inlineStr">
        <is>
          <t>11E</t>
        </is>
      </c>
      <c r="E254" s="8" t="inlineStr">
        <is>
          <t>part_x_balance_sheet.investments_public_securities_eoy</t>
        </is>
      </c>
      <c r="F254" s="8" t="inlineStr">
        <is>
          <t>high</t>
        </is>
      </c>
      <c r="G254" s="9" t="n">
        <v>1064799</v>
      </c>
    </row>
    <row r="255">
      <c r="A255" s="8" t="inlineStr">
        <is>
          <t>Balance sheet (detail)</t>
        </is>
      </c>
      <c r="B255" s="8" t="inlineStr">
        <is>
          <t>B18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C18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D18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E18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F18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B19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C19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D19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E19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F19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B20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C20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D20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E20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F20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B21</t>
        </is>
      </c>
      <c r="C270" s="8" t="inlineStr">
        <is>
          <t>15. Other assets</t>
        </is>
      </c>
      <c r="D270" s="8" t="inlineStr">
        <is>
          <t>15E</t>
        </is>
      </c>
      <c r="E270" s="8" t="inlineStr">
        <is>
          <t>part_x_balance_sheet.other_assets_eoy</t>
        </is>
      </c>
      <c r="F270" s="8" t="inlineStr">
        <is>
          <t>high</t>
        </is>
      </c>
      <c r="G270" s="9" t="n">
        <v>0</v>
      </c>
    </row>
    <row r="271">
      <c r="A271" s="8" t="inlineStr">
        <is>
          <t>Balance sheet (detail)</t>
        </is>
      </c>
      <c r="B271" s="8" t="inlineStr">
        <is>
          <t>C21</t>
        </is>
      </c>
      <c r="C271" s="8" t="inlineStr">
        <is>
          <t>15. Other assets</t>
        </is>
      </c>
      <c r="D271" s="8" t="inlineStr">
        <is>
          <t>15E</t>
        </is>
      </c>
      <c r="E271" s="8" t="inlineStr">
        <is>
          <t>part_x_balance_sheet.other_assets_eoy</t>
        </is>
      </c>
      <c r="F271" s="8" t="inlineStr">
        <is>
          <t>high</t>
        </is>
      </c>
      <c r="G271" s="9" t="n">
        <v>0</v>
      </c>
    </row>
    <row r="272">
      <c r="A272" s="8" t="inlineStr">
        <is>
          <t>Balance sheet (detail)</t>
        </is>
      </c>
      <c r="B272" s="8" t="inlineStr">
        <is>
          <t>D21</t>
        </is>
      </c>
      <c r="C272" s="8" t="inlineStr">
        <is>
          <t>15. Other assets</t>
        </is>
      </c>
      <c r="D272" s="8" t="inlineStr">
        <is>
          <t>15E</t>
        </is>
      </c>
      <c r="E272" s="8" t="inlineStr">
        <is>
          <t>part_x_balance_sheet.other_assets_eoy</t>
        </is>
      </c>
      <c r="F272" s="8" t="inlineStr">
        <is>
          <t>high</t>
        </is>
      </c>
      <c r="G272" s="9" t="n">
        <v>0</v>
      </c>
    </row>
    <row r="273">
      <c r="A273" s="8" t="inlineStr">
        <is>
          <t>Balance sheet (detail)</t>
        </is>
      </c>
      <c r="B273" s="8" t="inlineStr">
        <is>
          <t>E21</t>
        </is>
      </c>
      <c r="C273" s="8" t="inlineStr">
        <is>
          <t>15. Other assets</t>
        </is>
      </c>
      <c r="D273" s="8" t="inlineStr">
        <is>
          <t>15E</t>
        </is>
      </c>
      <c r="E273" s="8" t="inlineStr">
        <is>
          <t>part_x_balance_sheet.other_assets_eoy</t>
        </is>
      </c>
      <c r="F273" s="8" t="inlineStr">
        <is>
          <t>high</t>
        </is>
      </c>
      <c r="G273" s="9" t="n">
        <v>1</v>
      </c>
    </row>
    <row r="274">
      <c r="A274" s="8" t="inlineStr">
        <is>
          <t>Balance sheet (detail)</t>
        </is>
      </c>
      <c r="B274" s="8" t="inlineStr">
        <is>
          <t>F21</t>
        </is>
      </c>
      <c r="C274" s="8" t="inlineStr">
        <is>
          <t>15. Other assets</t>
        </is>
      </c>
      <c r="D274" s="8" t="inlineStr">
        <is>
          <t>15E</t>
        </is>
      </c>
      <c r="E274" s="8" t="inlineStr">
        <is>
          <t>part_x_balance_sheet.other_assets_eoy</t>
        </is>
      </c>
      <c r="F274" s="8" t="inlineStr">
        <is>
          <t>high</t>
        </is>
      </c>
      <c r="G274" s="9" t="n">
        <v>0</v>
      </c>
    </row>
    <row r="275">
      <c r="A275" s="8" t="inlineStr">
        <is>
          <t>Balance sheet (detail)</t>
        </is>
      </c>
      <c r="B275" s="8" t="inlineStr">
        <is>
          <t>B25</t>
        </is>
      </c>
      <c r="C275" s="8" t="inlineStr">
        <is>
          <t>25. Other liabilities</t>
        </is>
      </c>
      <c r="D275" s="8" t="inlineStr">
        <is>
          <t>25E</t>
        </is>
      </c>
      <c r="E275" s="8" t="inlineStr">
        <is>
          <t>part_x_balance_sheet.other_liabilities_eoy</t>
        </is>
      </c>
      <c r="F275" s="8" t="inlineStr">
        <is>
          <t>high</t>
        </is>
      </c>
      <c r="G275" s="9" t="n">
        <v>1</v>
      </c>
    </row>
    <row r="276">
      <c r="A276" s="8" t="inlineStr">
        <is>
          <t>Balance sheet (detail)</t>
        </is>
      </c>
      <c r="B276" s="8" t="inlineStr">
        <is>
          <t>D25</t>
        </is>
      </c>
      <c r="C276" s="8" t="inlineStr">
        <is>
          <t>25. Other liabilities</t>
        </is>
      </c>
      <c r="D276" s="8" t="inlineStr">
        <is>
          <t>25E</t>
        </is>
      </c>
      <c r="E276" s="8" t="inlineStr">
        <is>
          <t>part_x_balance_sheet.other_liabilities_eoy</t>
        </is>
      </c>
      <c r="F276" s="8" t="inlineStr">
        <is>
          <t>high</t>
        </is>
      </c>
      <c r="G276" s="9" t="n">
        <v>1</v>
      </c>
    </row>
    <row r="277">
      <c r="A277" s="8" t="inlineStr">
        <is>
          <t>Balance sheet (detail)</t>
        </is>
      </c>
      <c r="B277" s="8" t="inlineStr">
        <is>
          <t>F25</t>
        </is>
      </c>
      <c r="C277" s="8" t="inlineStr">
        <is>
          <t>25. Other liabilities</t>
        </is>
      </c>
      <c r="D277" s="8" t="inlineStr">
        <is>
          <t>25E</t>
        </is>
      </c>
      <c r="E277" s="8" t="inlineStr">
        <is>
          <t>part_x_balance_sheet.other_liabilities_eoy</t>
        </is>
      </c>
      <c r="F277" s="8" t="inlineStr">
        <is>
          <t>high</t>
        </is>
      </c>
      <c r="G277" s="9" t="n">
        <v>1</v>
      </c>
    </row>
    <row r="278">
      <c r="A278" s="8" t="inlineStr">
        <is>
          <t>Balance sheet (detail)</t>
        </is>
      </c>
      <c r="B278" s="8" t="inlineStr">
        <is>
          <t>B29</t>
        </is>
      </c>
      <c r="C278" s="8" t="inlineStr">
        <is>
          <t>31. Retained earnings / accumulated funds</t>
        </is>
      </c>
      <c r="D278" s="8" t="inlineStr">
        <is>
          <t>31E</t>
        </is>
      </c>
      <c r="E278" s="8" t="inlineStr">
        <is>
          <t>part_x_balance_sheet.retained_earnings_eoy</t>
        </is>
      </c>
      <c r="F278" s="8" t="inlineStr">
        <is>
          <t>high</t>
        </is>
      </c>
      <c r="G278" s="9" t="n">
        <v>697446</v>
      </c>
    </row>
    <row r="279">
      <c r="A279" s="8" t="inlineStr">
        <is>
          <t>Balance sheet (detail)</t>
        </is>
      </c>
      <c r="B279" s="8" t="inlineStr">
        <is>
          <t>C29</t>
        </is>
      </c>
      <c r="C279" s="8" t="inlineStr">
        <is>
          <t>31. Retained earnings / accumulated funds</t>
        </is>
      </c>
      <c r="D279" s="8" t="inlineStr">
        <is>
          <t>31E</t>
        </is>
      </c>
      <c r="E279" s="8" t="inlineStr">
        <is>
          <t>part_x_balance_sheet.retained_earnings_eoy</t>
        </is>
      </c>
      <c r="F279" s="8" t="inlineStr">
        <is>
          <t>high</t>
        </is>
      </c>
      <c r="G279" s="9" t="n">
        <v>895453</v>
      </c>
    </row>
    <row r="280">
      <c r="A280" s="8" t="inlineStr">
        <is>
          <t>Balance sheet (detail)</t>
        </is>
      </c>
      <c r="B280" s="8" t="inlineStr">
        <is>
          <t>D29</t>
        </is>
      </c>
      <c r="C280" s="8" t="inlineStr">
        <is>
          <t>31. Retained earnings / accumulated funds</t>
        </is>
      </c>
      <c r="D280" s="8" t="inlineStr">
        <is>
          <t>31E</t>
        </is>
      </c>
      <c r="E280" s="8" t="inlineStr">
        <is>
          <t>part_x_balance_sheet.retained_earnings_eoy</t>
        </is>
      </c>
      <c r="F280" s="8" t="inlineStr">
        <is>
          <t>high</t>
        </is>
      </c>
      <c r="G280" s="9" t="n">
        <v>905922</v>
      </c>
    </row>
    <row r="281">
      <c r="A281" s="8" t="inlineStr">
        <is>
          <t>Balance sheet (detail)</t>
        </is>
      </c>
      <c r="B281" s="8" t="inlineStr">
        <is>
          <t>E29</t>
        </is>
      </c>
      <c r="C281" s="8" t="inlineStr">
        <is>
          <t>31. Retained earnings / accumulated funds</t>
        </is>
      </c>
      <c r="D281" s="8" t="inlineStr">
        <is>
          <t>31E</t>
        </is>
      </c>
      <c r="E281" s="8" t="inlineStr">
        <is>
          <t>part_x_balance_sheet.retained_earnings_eoy</t>
        </is>
      </c>
      <c r="F281" s="8" t="inlineStr">
        <is>
          <t>high</t>
        </is>
      </c>
      <c r="G281" s="9" t="n">
        <v>981280</v>
      </c>
    </row>
    <row r="282">
      <c r="A282" s="8" t="inlineStr">
        <is>
          <t>Balance sheet (detail)</t>
        </is>
      </c>
      <c r="B282" s="8" t="inlineStr">
        <is>
          <t>F29</t>
        </is>
      </c>
      <c r="C282" s="8" t="inlineStr">
        <is>
          <t>31. Retained earnings / accumulated funds</t>
        </is>
      </c>
      <c r="D282" s="8" t="inlineStr">
        <is>
          <t>31E</t>
        </is>
      </c>
      <c r="E282" s="8" t="inlineStr">
        <is>
          <t>part_x_balance_sheet.retained_earnings_eoy</t>
        </is>
      </c>
      <c r="F282" s="8" t="inlineStr">
        <is>
          <t>high</t>
        </is>
      </c>
      <c r="G282" s="9" t="n">
        <v>1132186</v>
      </c>
    </row>
    <row r="283">
      <c r="A283" s="8" t="inlineStr">
        <is>
          <t>Net-assets reconciliation</t>
        </is>
      </c>
      <c r="B283" s="8" t="inlineStr">
        <is>
          <t>B7</t>
        </is>
      </c>
      <c r="C283" s="8" t="inlineStr">
        <is>
          <t>4. Net assets, beginning of year</t>
        </is>
      </c>
      <c r="D283" s="8" t="inlineStr">
        <is>
          <t>Part XI line 4</t>
        </is>
      </c>
      <c r="E283" s="8" t="inlineStr">
        <is>
          <t>part_xi_reconciliation.net_assets_boy</t>
        </is>
      </c>
      <c r="F283" s="8" t="inlineStr">
        <is>
          <t>high</t>
        </is>
      </c>
      <c r="G283" s="9" t="n">
        <v>602714</v>
      </c>
    </row>
    <row r="284">
      <c r="A284" s="8" t="inlineStr">
        <is>
          <t>Net-assets reconciliation</t>
        </is>
      </c>
      <c r="B284" s="8" t="inlineStr">
        <is>
          <t>C7</t>
        </is>
      </c>
      <c r="C284" s="8" t="inlineStr">
        <is>
          <t>4. Net assets, beginning of year</t>
        </is>
      </c>
      <c r="D284" s="8" t="inlineStr">
        <is>
          <t>Part XI line 4</t>
        </is>
      </c>
      <c r="E284" s="8" t="inlineStr">
        <is>
          <t>part_xi_reconciliation.net_assets_boy</t>
        </is>
      </c>
      <c r="F284" s="8" t="inlineStr">
        <is>
          <t>high</t>
        </is>
      </c>
      <c r="G284" s="9" t="n">
        <v>697446</v>
      </c>
    </row>
    <row r="285">
      <c r="A285" s="8" t="inlineStr">
        <is>
          <t>Net-assets reconciliation</t>
        </is>
      </c>
      <c r="B285" s="8" t="inlineStr">
        <is>
          <t>D7</t>
        </is>
      </c>
      <c r="C285" s="8" t="inlineStr">
        <is>
          <t>4. Net assets, beginning of year</t>
        </is>
      </c>
      <c r="D285" s="8" t="inlineStr">
        <is>
          <t>Part XI line 4</t>
        </is>
      </c>
      <c r="E285" s="8" t="inlineStr">
        <is>
          <t>part_xi_reconciliation.net_assets_boy</t>
        </is>
      </c>
      <c r="F285" s="8" t="inlineStr">
        <is>
          <t>high</t>
        </is>
      </c>
      <c r="G285" s="9" t="n">
        <v>895453</v>
      </c>
    </row>
    <row r="286">
      <c r="A286" s="8" t="inlineStr">
        <is>
          <t>Net-assets reconciliation</t>
        </is>
      </c>
      <c r="B286" s="8" t="inlineStr">
        <is>
          <t>E7</t>
        </is>
      </c>
      <c r="C286" s="8" t="inlineStr">
        <is>
          <t>4. Net assets, beginning of year</t>
        </is>
      </c>
      <c r="D286" s="8" t="inlineStr">
        <is>
          <t>Part XI line 4</t>
        </is>
      </c>
      <c r="E286" s="8" t="inlineStr">
        <is>
          <t>part_xi_reconciliation.net_assets_boy</t>
        </is>
      </c>
      <c r="F286" s="8" t="inlineStr">
        <is>
          <t>high</t>
        </is>
      </c>
      <c r="G286" s="9" t="n">
        <v>905922</v>
      </c>
    </row>
    <row r="287">
      <c r="A287" s="8" t="inlineStr">
        <is>
          <t>Net-assets reconciliation</t>
        </is>
      </c>
      <c r="B287" s="8" t="inlineStr">
        <is>
          <t>F7</t>
        </is>
      </c>
      <c r="C287" s="8" t="inlineStr">
        <is>
          <t>4. Net assets, beginning of year</t>
        </is>
      </c>
      <c r="D287" s="8" t="inlineStr">
        <is>
          <t>Part XI line 4</t>
        </is>
      </c>
      <c r="E287" s="8" t="inlineStr">
        <is>
          <t>part_xi_reconciliation.net_assets_boy</t>
        </is>
      </c>
      <c r="F287" s="8" t="inlineStr">
        <is>
          <t>high</t>
        </is>
      </c>
      <c r="G287" s="9" t="n">
        <v>981280</v>
      </c>
    </row>
    <row r="288">
      <c r="A288" s="8" t="inlineStr">
        <is>
          <t>Net-assets reconciliation</t>
        </is>
      </c>
      <c r="B288" s="8" t="inlineStr">
        <is>
          <t>B8</t>
        </is>
      </c>
      <c r="C288" s="8" t="inlineStr">
        <is>
          <t>3. Revenue less expenses</t>
        </is>
      </c>
      <c r="D288" s="8" t="inlineStr">
        <is>
          <t>Part XI line 3</t>
        </is>
      </c>
      <c r="E288" s="8" t="inlineStr">
        <is>
          <t>part_xi_reconciliation.reconciliation_revenue_expenses</t>
        </is>
      </c>
      <c r="F288" s="8" t="inlineStr">
        <is>
          <t>high</t>
        </is>
      </c>
      <c r="G288" s="9" t="n">
        <v>95982</v>
      </c>
    </row>
    <row r="289">
      <c r="A289" s="8" t="inlineStr">
        <is>
          <t>Net-assets reconciliation</t>
        </is>
      </c>
      <c r="B289" s="8" t="inlineStr">
        <is>
          <t>C8</t>
        </is>
      </c>
      <c r="C289" s="8" t="inlineStr">
        <is>
          <t>3. Revenue less expenses</t>
        </is>
      </c>
      <c r="D289" s="8" t="inlineStr">
        <is>
          <t>Part XI line 3</t>
        </is>
      </c>
      <c r="E289" s="8" t="inlineStr">
        <is>
          <t>part_xi_reconciliation.reconciliation_revenue_expenses</t>
        </is>
      </c>
      <c r="F289" s="8" t="inlineStr">
        <is>
          <t>high</t>
        </is>
      </c>
      <c r="G289" s="9" t="n">
        <v>86162</v>
      </c>
    </row>
    <row r="290">
      <c r="A290" s="8" t="inlineStr">
        <is>
          <t>Net-assets reconciliation</t>
        </is>
      </c>
      <c r="B290" s="8" t="inlineStr">
        <is>
          <t>D8</t>
        </is>
      </c>
      <c r="C290" s="8" t="inlineStr">
        <is>
          <t>3. Revenue less expenses</t>
        </is>
      </c>
      <c r="D290" s="8" t="inlineStr">
        <is>
          <t>Part XI line 3</t>
        </is>
      </c>
      <c r="E290" s="8" t="inlineStr">
        <is>
          <t>part_xi_reconciliation.reconciliation_revenue_expenses</t>
        </is>
      </c>
      <c r="F290" s="8" t="inlineStr">
        <is>
          <t>high</t>
        </is>
      </c>
      <c r="G290" s="9" t="n">
        <v>104353</v>
      </c>
    </row>
    <row r="291">
      <c r="A291" s="8" t="inlineStr">
        <is>
          <t>Net-assets reconciliation</t>
        </is>
      </c>
      <c r="B291" s="8" t="inlineStr">
        <is>
          <t>E8</t>
        </is>
      </c>
      <c r="C291" s="8" t="inlineStr">
        <is>
          <t>3. Revenue less expenses</t>
        </is>
      </c>
      <c r="D291" s="8" t="inlineStr">
        <is>
          <t>Part XI line 3</t>
        </is>
      </c>
      <c r="E291" s="8" t="inlineStr">
        <is>
          <t>part_xi_reconciliation.reconciliation_revenue_expenses</t>
        </is>
      </c>
      <c r="F291" s="8" t="inlineStr">
        <is>
          <t>high</t>
        </is>
      </c>
      <c r="G291" s="9" t="n">
        <v>100058</v>
      </c>
    </row>
    <row r="292">
      <c r="A292" s="8" t="inlineStr">
        <is>
          <t>Net-assets reconciliation</t>
        </is>
      </c>
      <c r="B292" s="8" t="inlineStr">
        <is>
          <t>F8</t>
        </is>
      </c>
      <c r="C292" s="8" t="inlineStr">
        <is>
          <t>3. Revenue less expenses</t>
        </is>
      </c>
      <c r="D292" s="8" t="inlineStr">
        <is>
          <t>Part XI line 3</t>
        </is>
      </c>
      <c r="E292" s="8" t="inlineStr">
        <is>
          <t>part_xi_reconciliation.reconciliation_revenue_expenses</t>
        </is>
      </c>
      <c r="F292" s="8" t="inlineStr">
        <is>
          <t>high</t>
        </is>
      </c>
      <c r="G292" s="9" t="n">
        <v>81491</v>
      </c>
    </row>
    <row r="294">
      <c r="A294" s="31" t="inlineStr">
        <is>
          <t>C. Tie-out checks (filed vs computed; any nonzero variance is flagged red)</t>
        </is>
      </c>
      <c r="B294" s="7" t="n"/>
      <c r="C294" s="7" t="n"/>
      <c r="D294" s="7" t="n"/>
      <c r="E294" s="7" t="n"/>
      <c r="F294" s="7" t="n"/>
      <c r="G294" s="7" t="n"/>
      <c r="H294" s="7" t="n"/>
      <c r="I294" s="7" t="n"/>
      <c r="J294" s="7" t="n"/>
      <c r="K294" s="7" t="n"/>
    </row>
    <row r="295">
      <c r="A295" s="5" t="inlineStr">
        <is>
          <t>Tab</t>
        </is>
      </c>
      <c r="B295" s="5" t="inlineStr">
        <is>
          <t>Check</t>
        </is>
      </c>
      <c r="C295" s="5" t="inlineStr">
        <is>
          <t>Fiscal year</t>
        </is>
      </c>
      <c r="D295" s="5" t="inlineStr">
        <is>
          <t>Filed</t>
        </is>
      </c>
      <c r="E295" s="5" t="inlineStr">
        <is>
          <t>Computed</t>
        </is>
      </c>
      <c r="F295" s="5" t="inlineStr">
        <is>
          <t>Variance (computed - filed)</t>
        </is>
      </c>
    </row>
    <row r="296">
      <c r="A296" s="20" t="inlineStr">
        <is>
          <t>Revenue (detail)</t>
        </is>
      </c>
      <c r="B296" s="20" t="inlineStr">
        <is>
          <t>12. Total revenue</t>
        </is>
      </c>
      <c r="C296" s="20" t="inlineStr">
        <is>
          <t>FY2020</t>
        </is>
      </c>
      <c r="D296" s="9" t="n">
        <v>175645</v>
      </c>
      <c r="E296" s="9">
        <f>'Revenue (detail)'!B13</f>
        <v/>
      </c>
      <c r="F296" s="9">
        <f>E296-D296</f>
        <v/>
      </c>
    </row>
    <row r="297">
      <c r="A297" s="20" t="inlineStr">
        <is>
          <t>Revenue (detail)</t>
        </is>
      </c>
      <c r="B297" s="20" t="inlineStr">
        <is>
          <t>12. Total revenue</t>
        </is>
      </c>
      <c r="C297" s="20" t="inlineStr">
        <is>
          <t>FY2021</t>
        </is>
      </c>
      <c r="D297" s="9" t="n">
        <v>185422</v>
      </c>
      <c r="E297" s="9">
        <f>'Revenue (detail)'!C13</f>
        <v/>
      </c>
      <c r="F297" s="9">
        <f>E297-D297</f>
        <v/>
      </c>
    </row>
    <row r="298">
      <c r="A298" s="20" t="inlineStr">
        <is>
          <t>Revenue (detail)</t>
        </is>
      </c>
      <c r="B298" s="20" t="inlineStr">
        <is>
          <t>12. Total revenue</t>
        </is>
      </c>
      <c r="C298" s="20" t="inlineStr">
        <is>
          <t>FY2022</t>
        </is>
      </c>
      <c r="D298" s="9" t="n">
        <v>189237</v>
      </c>
      <c r="E298" s="9">
        <f>'Revenue (detail)'!D13</f>
        <v/>
      </c>
      <c r="F298" s="9">
        <f>E298-D298</f>
        <v/>
      </c>
    </row>
    <row r="299">
      <c r="A299" s="20" t="inlineStr">
        <is>
          <t>Revenue (detail)</t>
        </is>
      </c>
      <c r="B299" s="20" t="inlineStr">
        <is>
          <t>12. Total revenue</t>
        </is>
      </c>
      <c r="C299" s="20" t="inlineStr">
        <is>
          <t>FY2023</t>
        </is>
      </c>
      <c r="D299" s="9" t="n">
        <v>189368</v>
      </c>
      <c r="E299" s="9">
        <f>'Revenue (detail)'!E13</f>
        <v/>
      </c>
      <c r="F299" s="9">
        <f>E299-D299</f>
        <v/>
      </c>
    </row>
    <row r="300">
      <c r="A300" s="20" t="inlineStr">
        <is>
          <t>Revenue (detail)</t>
        </is>
      </c>
      <c r="B300" s="20" t="inlineStr">
        <is>
          <t>12. Total revenue</t>
        </is>
      </c>
      <c r="C300" s="20" t="inlineStr">
        <is>
          <t>FY2024</t>
        </is>
      </c>
      <c r="D300" s="9" t="n">
        <v>176339</v>
      </c>
      <c r="E300" s="9">
        <f>'Revenue (detail)'!F13</f>
        <v/>
      </c>
      <c r="F300" s="9">
        <f>E300-D300</f>
        <v/>
      </c>
    </row>
    <row r="301">
      <c r="A301" s="20" t="inlineStr">
        <is>
          <t>Revenue (detail)</t>
        </is>
      </c>
      <c r="B301" s="20" t="inlineStr">
        <is>
          <t>2g program service revenue = sum of lines 2a-2f (FY2024)</t>
        </is>
      </c>
      <c r="C301" s="20" t="inlineStr">
        <is>
          <t>FY2024</t>
        </is>
      </c>
      <c r="D301" s="9" t="n">
        <v>134908</v>
      </c>
      <c r="E301" s="9">
        <f>SUM('Revenue (detail)'!C17:C17)</f>
        <v/>
      </c>
      <c r="F301" s="9">
        <f>E301-D301</f>
        <v/>
      </c>
    </row>
    <row r="302">
      <c r="A302" s="20" t="inlineStr">
        <is>
          <t>Operating expenses (detail)</t>
        </is>
      </c>
      <c r="B302" s="20" t="inlineStr">
        <is>
          <t>25. Total functional expenses</t>
        </is>
      </c>
      <c r="C302" s="20" t="inlineStr">
        <is>
          <t>FY2020</t>
        </is>
      </c>
      <c r="D302" s="9" t="n">
        <v>79663</v>
      </c>
      <c r="E302" s="9">
        <f>'Operating expenses (detail)'!B42</f>
        <v/>
      </c>
      <c r="F302" s="9">
        <f>E302-D302</f>
        <v/>
      </c>
    </row>
    <row r="303">
      <c r="A303" s="20" t="inlineStr">
        <is>
          <t>Operating expenses (detail)</t>
        </is>
      </c>
      <c r="B303" s="20" t="inlineStr">
        <is>
          <t>25. Total functional expenses</t>
        </is>
      </c>
      <c r="C303" s="20" t="inlineStr">
        <is>
          <t>FY2021</t>
        </is>
      </c>
      <c r="D303" s="9" t="n">
        <v>99260</v>
      </c>
      <c r="E303" s="9">
        <f>'Operating expenses (detail)'!C42</f>
        <v/>
      </c>
      <c r="F303" s="9">
        <f>E303-D303</f>
        <v/>
      </c>
    </row>
    <row r="304">
      <c r="A304" s="20" t="inlineStr">
        <is>
          <t>Operating expenses (detail)</t>
        </is>
      </c>
      <c r="B304" s="20" t="inlineStr">
        <is>
          <t>25. Total functional expenses</t>
        </is>
      </c>
      <c r="C304" s="20" t="inlineStr">
        <is>
          <t>FY2022</t>
        </is>
      </c>
      <c r="D304" s="9" t="n">
        <v>84884</v>
      </c>
      <c r="E304" s="9">
        <f>'Operating expenses (detail)'!D42</f>
        <v/>
      </c>
      <c r="F304" s="9">
        <f>E304-D304</f>
        <v/>
      </c>
    </row>
    <row r="305">
      <c r="A305" s="20" t="inlineStr">
        <is>
          <t>Operating expenses (detail)</t>
        </is>
      </c>
      <c r="B305" s="20" t="inlineStr">
        <is>
          <t>25. Total functional expenses</t>
        </is>
      </c>
      <c r="C305" s="20" t="inlineStr">
        <is>
          <t>FY2023</t>
        </is>
      </c>
      <c r="D305" s="9" t="n">
        <v>89310</v>
      </c>
      <c r="E305" s="9">
        <f>'Operating expenses (detail)'!E42</f>
        <v/>
      </c>
      <c r="F305" s="9">
        <f>E305-D305</f>
        <v/>
      </c>
    </row>
    <row r="306">
      <c r="A306" s="20" t="inlineStr">
        <is>
          <t>Operating expenses (detail)</t>
        </is>
      </c>
      <c r="B306" s="20" t="inlineStr">
        <is>
          <t>25. Total functional expenses</t>
        </is>
      </c>
      <c r="C306" s="20" t="inlineStr">
        <is>
          <t>FY2024</t>
        </is>
      </c>
      <c r="D306" s="9" t="n">
        <v>94848</v>
      </c>
      <c r="E306" s="9">
        <f>'Operating expenses (detail)'!F42</f>
        <v/>
      </c>
      <c r="F306" s="9">
        <f>E306-D306</f>
        <v/>
      </c>
    </row>
    <row r="307">
      <c r="A307" s="20" t="inlineStr">
        <is>
          <t>Operating expenses (detail)</t>
        </is>
      </c>
      <c r="B307" s="20" t="inlineStr">
        <is>
          <t>Part IX column split: col A = B + C + D (FY2024)</t>
        </is>
      </c>
      <c r="C307" s="20" t="inlineStr">
        <is>
          <t>FY2024</t>
        </is>
      </c>
      <c r="D307" s="9">
        <f>'Operating expenses (detail)'!B75</f>
        <v/>
      </c>
      <c r="E307" s="9">
        <f>'Operating expenses (detail)'!C75+'Operating expenses (detail)'!D75+'Operating expenses (detail)'!E75</f>
        <v/>
      </c>
      <c r="F307" s="9">
        <f>E307-D307</f>
        <v/>
      </c>
    </row>
    <row r="308">
      <c r="A308" s="20" t="inlineStr">
        <is>
          <t>Balance sheet (detail)</t>
        </is>
      </c>
      <c r="B308" s="20" t="inlineStr">
        <is>
          <t>16. Total assets</t>
        </is>
      </c>
      <c r="C308" s="20" t="inlineStr">
        <is>
          <t>FY2020</t>
        </is>
      </c>
      <c r="D308" s="9" t="n">
        <v>697447</v>
      </c>
      <c r="E308" s="9">
        <f>'Balance sheet (detail)'!B22</f>
        <v/>
      </c>
      <c r="F308" s="9">
        <f>E308-D308</f>
        <v/>
      </c>
    </row>
    <row r="309">
      <c r="A309" s="20" t="inlineStr">
        <is>
          <t>Balance sheet (detail)</t>
        </is>
      </c>
      <c r="B309" s="20" t="inlineStr">
        <is>
          <t>16. Total assets</t>
        </is>
      </c>
      <c r="C309" s="20" t="inlineStr">
        <is>
          <t>FY2021</t>
        </is>
      </c>
      <c r="D309" s="9" t="n">
        <v>895453</v>
      </c>
      <c r="E309" s="9">
        <f>'Balance sheet (detail)'!C22</f>
        <v/>
      </c>
      <c r="F309" s="9">
        <f>E309-D309</f>
        <v/>
      </c>
    </row>
    <row r="310">
      <c r="A310" s="20" t="inlineStr">
        <is>
          <t>Balance sheet (detail)</t>
        </is>
      </c>
      <c r="B310" s="20" t="inlineStr">
        <is>
          <t>16. Total assets</t>
        </is>
      </c>
      <c r="C310" s="20" t="inlineStr">
        <is>
          <t>FY2022</t>
        </is>
      </c>
      <c r="D310" s="9" t="n">
        <v>905923</v>
      </c>
      <c r="E310" s="9">
        <f>'Balance sheet (detail)'!D22</f>
        <v/>
      </c>
      <c r="F310" s="9">
        <f>E310-D310</f>
        <v/>
      </c>
    </row>
    <row r="311">
      <c r="A311" s="20" t="inlineStr">
        <is>
          <t>Balance sheet (detail)</t>
        </is>
      </c>
      <c r="B311" s="20" t="inlineStr">
        <is>
          <t>16. Total assets</t>
        </is>
      </c>
      <c r="C311" s="20" t="inlineStr">
        <is>
          <t>FY2023</t>
        </is>
      </c>
      <c r="D311" s="9" t="n">
        <v>981280</v>
      </c>
      <c r="E311" s="9">
        <f>'Balance sheet (detail)'!E22</f>
        <v/>
      </c>
      <c r="F311" s="9">
        <f>E311-D311</f>
        <v/>
      </c>
    </row>
    <row r="312">
      <c r="A312" s="20" t="inlineStr">
        <is>
          <t>Balance sheet (detail)</t>
        </is>
      </c>
      <c r="B312" s="20" t="inlineStr">
        <is>
          <t>16. Total assets</t>
        </is>
      </c>
      <c r="C312" s="20" t="inlineStr">
        <is>
          <t>FY2024</t>
        </is>
      </c>
      <c r="D312" s="9" t="n">
        <v>1132187</v>
      </c>
      <c r="E312" s="9">
        <f>'Balance sheet (detail)'!F22</f>
        <v/>
      </c>
      <c r="F312" s="9">
        <f>E312-D312</f>
        <v/>
      </c>
    </row>
    <row r="313">
      <c r="A313" s="20" t="inlineStr">
        <is>
          <t>Balance sheet (detail)</t>
        </is>
      </c>
      <c r="B313" s="20" t="inlineStr">
        <is>
          <t>26. Total liabilities</t>
        </is>
      </c>
      <c r="C313" s="20" t="inlineStr">
        <is>
          <t>FY2020</t>
        </is>
      </c>
      <c r="D313" s="9" t="n">
        <v>1</v>
      </c>
      <c r="E313" s="9">
        <f>'Balance sheet (detail)'!B26</f>
        <v/>
      </c>
      <c r="F313" s="9">
        <f>E313-D313</f>
        <v/>
      </c>
    </row>
    <row r="314">
      <c r="A314" s="20" t="inlineStr">
        <is>
          <t>Balance sheet (detail)</t>
        </is>
      </c>
      <c r="B314" s="20" t="inlineStr">
        <is>
          <t>26. Total liabilities</t>
        </is>
      </c>
      <c r="C314" s="20" t="inlineStr">
        <is>
          <t>FY2021</t>
        </is>
      </c>
      <c r="D314" s="9" t="n">
        <v>0</v>
      </c>
      <c r="E314" s="9">
        <f>'Balance sheet (detail)'!C26</f>
        <v/>
      </c>
      <c r="F314" s="9">
        <f>E314-D314</f>
        <v/>
      </c>
    </row>
    <row r="315">
      <c r="A315" s="20" t="inlineStr">
        <is>
          <t>Balance sheet (detail)</t>
        </is>
      </c>
      <c r="B315" s="20" t="inlineStr">
        <is>
          <t>26. Total liabilities</t>
        </is>
      </c>
      <c r="C315" s="20" t="inlineStr">
        <is>
          <t>FY2022</t>
        </is>
      </c>
      <c r="D315" s="9" t="n">
        <v>1</v>
      </c>
      <c r="E315" s="9">
        <f>'Balance sheet (detail)'!D26</f>
        <v/>
      </c>
      <c r="F315" s="9">
        <f>E315-D315</f>
        <v/>
      </c>
    </row>
    <row r="316">
      <c r="A316" s="20" t="inlineStr">
        <is>
          <t>Balance sheet (detail)</t>
        </is>
      </c>
      <c r="B316" s="20" t="inlineStr">
        <is>
          <t>26. Total liabilities</t>
        </is>
      </c>
      <c r="C316" s="20" t="inlineStr">
        <is>
          <t>FY2023</t>
        </is>
      </c>
      <c r="D316" s="9" t="n">
        <v>0</v>
      </c>
      <c r="E316" s="9">
        <f>'Balance sheet (detail)'!E26</f>
        <v/>
      </c>
      <c r="F316" s="9">
        <f>E316-D316</f>
        <v/>
      </c>
    </row>
    <row r="317">
      <c r="A317" s="20" t="inlineStr">
        <is>
          <t>Balance sheet (detail)</t>
        </is>
      </c>
      <c r="B317" s="20" t="inlineStr">
        <is>
          <t>26. Total liabilities</t>
        </is>
      </c>
      <c r="C317" s="20" t="inlineStr">
        <is>
          <t>FY2024</t>
        </is>
      </c>
      <c r="D317" s="9" t="n">
        <v>1</v>
      </c>
      <c r="E317" s="9">
        <f>'Balance sheet (detail)'!F26</f>
        <v/>
      </c>
      <c r="F317" s="9">
        <f>E317-D317</f>
        <v/>
      </c>
    </row>
    <row r="318">
      <c r="A318" s="20" t="inlineStr">
        <is>
          <t>Balance sheet (detail)</t>
        </is>
      </c>
      <c r="B318" s="20" t="inlineStr">
        <is>
          <t>32. Total net assets / fund balances</t>
        </is>
      </c>
      <c r="C318" s="20" t="inlineStr">
        <is>
          <t>FY2020</t>
        </is>
      </c>
      <c r="D318" s="9" t="n">
        <v>697446</v>
      </c>
      <c r="E318" s="9">
        <f>'Balance sheet (detail)'!B30</f>
        <v/>
      </c>
      <c r="F318" s="9">
        <f>E318-D318</f>
        <v/>
      </c>
    </row>
    <row r="319">
      <c r="A319" s="20" t="inlineStr">
        <is>
          <t>Balance sheet (detail)</t>
        </is>
      </c>
      <c r="B319" s="20" t="inlineStr">
        <is>
          <t>32. Total net assets / fund balances</t>
        </is>
      </c>
      <c r="C319" s="20" t="inlineStr">
        <is>
          <t>FY2021</t>
        </is>
      </c>
      <c r="D319" s="9" t="n">
        <v>895453</v>
      </c>
      <c r="E319" s="9">
        <f>'Balance sheet (detail)'!C30</f>
        <v/>
      </c>
      <c r="F319" s="9">
        <f>E319-D319</f>
        <v/>
      </c>
    </row>
    <row r="320">
      <c r="A320" s="20" t="inlineStr">
        <is>
          <t>Balance sheet (detail)</t>
        </is>
      </c>
      <c r="B320" s="20" t="inlineStr">
        <is>
          <t>32. Total net assets / fund balances</t>
        </is>
      </c>
      <c r="C320" s="20" t="inlineStr">
        <is>
          <t>FY2022</t>
        </is>
      </c>
      <c r="D320" s="9" t="n">
        <v>905922</v>
      </c>
      <c r="E320" s="9">
        <f>'Balance sheet (detail)'!D30</f>
        <v/>
      </c>
      <c r="F320" s="9">
        <f>E320-D320</f>
        <v/>
      </c>
    </row>
    <row r="321">
      <c r="A321" s="20" t="inlineStr">
        <is>
          <t>Balance sheet (detail)</t>
        </is>
      </c>
      <c r="B321" s="20" t="inlineStr">
        <is>
          <t>32. Total net assets / fund balances</t>
        </is>
      </c>
      <c r="C321" s="20" t="inlineStr">
        <is>
          <t>FY2023</t>
        </is>
      </c>
      <c r="D321" s="9" t="n">
        <v>981280</v>
      </c>
      <c r="E321" s="9">
        <f>'Balance sheet (detail)'!E30</f>
        <v/>
      </c>
      <c r="F321" s="9">
        <f>E321-D321</f>
        <v/>
      </c>
    </row>
    <row r="322">
      <c r="A322" s="20" t="inlineStr">
        <is>
          <t>Balance sheet (detail)</t>
        </is>
      </c>
      <c r="B322" s="20" t="inlineStr">
        <is>
          <t>32. Total net assets / fund balances</t>
        </is>
      </c>
      <c r="C322" s="20" t="inlineStr">
        <is>
          <t>FY2024</t>
        </is>
      </c>
      <c r="D322" s="9" t="n">
        <v>1132186</v>
      </c>
      <c r="E322" s="9">
        <f>'Balance sheet (detail)'!F30</f>
        <v/>
      </c>
      <c r="F322" s="9">
        <f>E322-D322</f>
        <v/>
      </c>
    </row>
    <row r="323">
      <c r="A323" s="20" t="inlineStr">
        <is>
          <t>Balance sheet (detail)</t>
        </is>
      </c>
      <c r="B323" s="20" t="inlineStr">
        <is>
          <t>Balance sheet identity: line 16 = line 26 + line 32 (EOY)</t>
        </is>
      </c>
      <c r="C323" s="20" t="inlineStr">
        <is>
          <t>FY2020</t>
        </is>
      </c>
      <c r="D323" s="9">
        <f>'Balance sheet (detail)'!B22</f>
        <v/>
      </c>
      <c r="E323" s="9">
        <f>SUM('Balance sheet (detail)'!B26,'Balance sheet (detail)'!B30)</f>
        <v/>
      </c>
      <c r="F323" s="9">
        <f>E323-D323</f>
        <v/>
      </c>
    </row>
    <row r="324">
      <c r="A324" s="20" t="inlineStr">
        <is>
          <t>Balance sheet (detail)</t>
        </is>
      </c>
      <c r="B324" s="20" t="inlineStr">
        <is>
          <t>Balance sheet identity: line 16 = line 26 + line 32 (EOY)</t>
        </is>
      </c>
      <c r="C324" s="20" t="inlineStr">
        <is>
          <t>FY2021</t>
        </is>
      </c>
      <c r="D324" s="9">
        <f>'Balance sheet (detail)'!C22</f>
        <v/>
      </c>
      <c r="E324" s="9">
        <f>SUM('Balance sheet (detail)'!C26,'Balance sheet (detail)'!C30)</f>
        <v/>
      </c>
      <c r="F324" s="9">
        <f>E324-D324</f>
        <v/>
      </c>
    </row>
    <row r="325">
      <c r="A325" s="20" t="inlineStr">
        <is>
          <t>Balance sheet (detail)</t>
        </is>
      </c>
      <c r="B325" s="20" t="inlineStr">
        <is>
          <t>Balance sheet identity: line 16 = line 26 + line 32 (EOY)</t>
        </is>
      </c>
      <c r="C325" s="20" t="inlineStr">
        <is>
          <t>FY2022</t>
        </is>
      </c>
      <c r="D325" s="9">
        <f>'Balance sheet (detail)'!D22</f>
        <v/>
      </c>
      <c r="E325" s="9">
        <f>SUM('Balance sheet (detail)'!D26,'Balance sheet (detail)'!D30)</f>
        <v/>
      </c>
      <c r="F325" s="9">
        <f>E325-D325</f>
        <v/>
      </c>
    </row>
    <row r="326">
      <c r="A326" s="20" t="inlineStr">
        <is>
          <t>Balance sheet (detail)</t>
        </is>
      </c>
      <c r="B326" s="20" t="inlineStr">
        <is>
          <t>Balance sheet identity: line 16 = line 26 + line 32 (EOY)</t>
        </is>
      </c>
      <c r="C326" s="20" t="inlineStr">
        <is>
          <t>FY2023</t>
        </is>
      </c>
      <c r="D326" s="9">
        <f>'Balance sheet (detail)'!E22</f>
        <v/>
      </c>
      <c r="E326" s="9">
        <f>SUM('Balance sheet (detail)'!E26,'Balance sheet (detail)'!E30)</f>
        <v/>
      </c>
      <c r="F326" s="9">
        <f>E326-D326</f>
        <v/>
      </c>
    </row>
    <row r="327">
      <c r="A327" s="20" t="inlineStr">
        <is>
          <t>Balance sheet (detail)</t>
        </is>
      </c>
      <c r="B327" s="20" t="inlineStr">
        <is>
          <t>Balance sheet identity: line 16 = line 26 + line 32 (EOY)</t>
        </is>
      </c>
      <c r="C327" s="20" t="inlineStr">
        <is>
          <t>FY2024</t>
        </is>
      </c>
      <c r="D327" s="9">
        <f>'Balance sheet (detail)'!F22</f>
        <v/>
      </c>
      <c r="E327" s="9">
        <f>SUM('Balance sheet (detail)'!F26,'Balance sheet (detail)'!F30)</f>
        <v/>
      </c>
      <c r="F327" s="9">
        <f>E327-D327</f>
        <v/>
      </c>
    </row>
    <row r="328">
      <c r="A328" s="20" t="inlineStr">
        <is>
          <t>Net-assets reconciliation</t>
        </is>
      </c>
      <c r="B328" s="20" t="inlineStr">
        <is>
          <t>10. Net assets, end of year</t>
        </is>
      </c>
      <c r="C328" s="20" t="inlineStr">
        <is>
          <t>FY2020</t>
        </is>
      </c>
      <c r="D328" s="9" t="n">
        <v>697446</v>
      </c>
      <c r="E328" s="9">
        <f>'Net-assets reconciliation'!B11</f>
        <v/>
      </c>
      <c r="F328" s="9">
        <f>E328-D328</f>
        <v/>
      </c>
    </row>
    <row r="329">
      <c r="A329" s="20" t="inlineStr">
        <is>
          <t>Net-assets reconciliation</t>
        </is>
      </c>
      <c r="B329" s="20" t="inlineStr">
        <is>
          <t>10. Net assets, end of year</t>
        </is>
      </c>
      <c r="C329" s="20" t="inlineStr">
        <is>
          <t>FY2021</t>
        </is>
      </c>
      <c r="D329" s="9" t="n">
        <v>895453</v>
      </c>
      <c r="E329" s="9">
        <f>'Net-assets reconciliation'!C11</f>
        <v/>
      </c>
      <c r="F329" s="9">
        <f>E329-D329</f>
        <v/>
      </c>
    </row>
    <row r="330">
      <c r="A330" s="20" t="inlineStr">
        <is>
          <t>Net-assets reconciliation</t>
        </is>
      </c>
      <c r="B330" s="20" t="inlineStr">
        <is>
          <t>10. Net assets, end of year</t>
        </is>
      </c>
      <c r="C330" s="20" t="inlineStr">
        <is>
          <t>FY2022</t>
        </is>
      </c>
      <c r="D330" s="9" t="n">
        <v>905922</v>
      </c>
      <c r="E330" s="9">
        <f>'Net-assets reconciliation'!D11</f>
        <v/>
      </c>
      <c r="F330" s="9">
        <f>E330-D330</f>
        <v/>
      </c>
    </row>
    <row r="331">
      <c r="A331" s="20" t="inlineStr">
        <is>
          <t>Net-assets reconciliation</t>
        </is>
      </c>
      <c r="B331" s="20" t="inlineStr">
        <is>
          <t>10. Net assets, end of year</t>
        </is>
      </c>
      <c r="C331" s="20" t="inlineStr">
        <is>
          <t>FY2023</t>
        </is>
      </c>
      <c r="D331" s="9" t="n">
        <v>981280</v>
      </c>
      <c r="E331" s="9">
        <f>'Net-assets reconciliation'!E11</f>
        <v/>
      </c>
      <c r="F331" s="9">
        <f>E331-D331</f>
        <v/>
      </c>
    </row>
    <row r="332">
      <c r="A332" s="20" t="inlineStr">
        <is>
          <t>Net-assets reconciliation</t>
        </is>
      </c>
      <c r="B332" s="20" t="inlineStr">
        <is>
          <t>10. Net assets, end of year</t>
        </is>
      </c>
      <c r="C332" s="20" t="inlineStr">
        <is>
          <t>FY2024</t>
        </is>
      </c>
      <c r="D332" s="9" t="n">
        <v>1132186</v>
      </c>
      <c r="E332" s="9">
        <f>'Net-assets reconciliation'!F11</f>
        <v/>
      </c>
      <c r="F332" s="9">
        <f>E332-D332</f>
        <v/>
      </c>
    </row>
    <row r="334">
      <c r="A334" s="31" t="inlineStr">
        <is>
          <t>D. Preparer / auditor trail (one row per fiscal year, as filed)</t>
        </is>
      </c>
      <c r="B334" s="7" t="n"/>
      <c r="C334" s="7" t="n"/>
      <c r="D334" s="7" t="n"/>
      <c r="E334" s="7" t="n"/>
      <c r="F334" s="7" t="n"/>
      <c r="G334" s="7" t="n"/>
      <c r="H334" s="7" t="n"/>
      <c r="I334" s="7" t="n"/>
      <c r="J334" s="7" t="n"/>
      <c r="K334" s="7" t="n"/>
    </row>
    <row r="335">
      <c r="A335" s="5" t="inlineStr">
        <is>
          <t>Fiscal year</t>
        </is>
      </c>
      <c r="B335" s="5" t="inlineStr">
        <is>
          <t>Paid preparer</t>
        </is>
      </c>
      <c r="C335" s="5" t="inlineStr">
        <is>
          <t>Preparer firm</t>
        </is>
      </c>
      <c r="D335" s="5" t="inlineStr">
        <is>
          <t>Independent auditor</t>
        </is>
      </c>
      <c r="E335" s="5" t="inlineStr">
        <is>
          <t>Citation</t>
        </is>
      </c>
    </row>
    <row r="336" ht="42" customHeight="1">
      <c r="A336" s="29" t="inlineStr">
        <is>
          <t>FY2020</t>
        </is>
      </c>
      <c r="B336" s="8" t="inlineStr">
        <is>
          <t>Kathleen Rzeplinski EA</t>
        </is>
      </c>
      <c r="C336" s="8" t="inlineStr">
        <is>
          <t>COMPUTACCOUNT</t>
        </is>
      </c>
      <c r="D336" s="32" t="inlineStr">
        <is>
          <t>not reported</t>
        </is>
      </c>
      <c r="E336" s="23" t="inlineStr">
        <is>
          <t>Form 990 Return Header, Paid Preparer block (return_header.preparer_person_name / preparer_firm_name); auditor: Part XII line 2 reports audited financial statements but does not name the firm.</t>
        </is>
      </c>
    </row>
    <row r="337" ht="42" customHeight="1">
      <c r="A337" s="29" t="inlineStr">
        <is>
          <t>FY2021</t>
        </is>
      </c>
      <c r="B337" s="8" t="inlineStr">
        <is>
          <t>Kathleen Rzeplinski EA</t>
        </is>
      </c>
      <c r="C337" s="8" t="inlineStr">
        <is>
          <t>COMPUTACCOUNT</t>
        </is>
      </c>
      <c r="D337" s="32" t="inlineStr">
        <is>
          <t>not reported</t>
        </is>
      </c>
      <c r="E337" s="23" t="inlineStr">
        <is>
          <t>Form 990 Return Header, Paid Preparer block (return_header.preparer_person_name / preparer_firm_name); auditor: Part XII line 2 reports audited financial statements but does not name the firm.</t>
        </is>
      </c>
    </row>
    <row r="338" ht="42" customHeight="1">
      <c r="A338" s="29" t="inlineStr">
        <is>
          <t>FY2022</t>
        </is>
      </c>
      <c r="B338" s="8" t="inlineStr">
        <is>
          <t>Kathleen Rzeplinski EA</t>
        </is>
      </c>
      <c r="C338" s="8" t="inlineStr">
        <is>
          <t>COMPUTACCOUNT</t>
        </is>
      </c>
      <c r="D338" s="32" t="inlineStr">
        <is>
          <t>not reported</t>
        </is>
      </c>
      <c r="E338" s="23" t="inlineStr">
        <is>
          <t>Form 990 Return Header, Paid Preparer block (return_header.preparer_person_name / preparer_firm_name); auditor: Part XII line 2 reports audited financial statements but does not name the firm.</t>
        </is>
      </c>
    </row>
    <row r="339" ht="42" customHeight="1">
      <c r="A339" s="29" t="inlineStr">
        <is>
          <t>FY2023</t>
        </is>
      </c>
      <c r="B339" s="8" t="inlineStr">
        <is>
          <t>Kathleen Rzeplinski EA</t>
        </is>
      </c>
      <c r="C339" s="8" t="inlineStr">
        <is>
          <t>COMPUTACCOUNT</t>
        </is>
      </c>
      <c r="D339" s="32" t="inlineStr">
        <is>
          <t>not reported</t>
        </is>
      </c>
      <c r="E339" s="23" t="inlineStr">
        <is>
          <t>Form 990 Return Header, Paid Preparer block (return_header.preparer_person_name / preparer_firm_name); auditor: Part XII line 2 reports audited financial statements but does not name the firm.</t>
        </is>
      </c>
    </row>
    <row r="340" ht="42" customHeight="1">
      <c r="A340" s="29" t="inlineStr">
        <is>
          <t>FY2024</t>
        </is>
      </c>
      <c r="B340" s="8" t="inlineStr">
        <is>
          <t>Kathleen Rzeplinski EA</t>
        </is>
      </c>
      <c r="C340" s="8" t="inlineStr">
        <is>
          <t>COMPUTACCOUNT</t>
        </is>
      </c>
      <c r="D340" s="32" t="inlineStr">
        <is>
          <t>not reported</t>
        </is>
      </c>
      <c r="E340" s="23" t="inlineStr">
        <is>
          <t>Form 990 Return Header, Paid Preparer block (return_header.preparer_person_name / preparer_firm_name); auditor: Part XII line 2 reports audited financial statements but does not name the firm.</t>
        </is>
      </c>
    </row>
    <row r="342" ht="42" customHeight="1">
      <c r="A34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342:K342"/>
    <mergeCell ref="A2:K2"/>
    <mergeCell ref="A5:K5"/>
    <mergeCell ref="A1:K1"/>
  </mergeCells>
  <conditionalFormatting sqref="F296:F332">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