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Financial Summary - multi-year overview (USD)</t>
        </is>
      </c>
    </row>
    <row r="3">
      <c r="A3" s="2" t="inlineStr">
        <is>
          <t>Entity ID: cawc_0087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161256</v>
      </c>
      <c r="C10" s="9" t="n">
        <v>145897</v>
      </c>
      <c r="D10" s="9" t="n">
        <v>167852</v>
      </c>
      <c r="E10" s="9" t="n">
        <v>185106</v>
      </c>
      <c r="F10" s="9" t="n">
        <v>186072</v>
      </c>
      <c r="G10" s="9" t="n">
        <v>196879</v>
      </c>
    </row>
    <row r="11">
      <c r="A11" s="8" t="inlineStr">
        <is>
          <t xml:space="preserve">    Total expenses</t>
        </is>
      </c>
      <c r="B11" s="9" t="n">
        <v>158673</v>
      </c>
      <c r="C11" s="9" t="n">
        <v>154090</v>
      </c>
      <c r="D11" s="9" t="n">
        <v>164921</v>
      </c>
      <c r="E11" s="9" t="n">
        <v>180928</v>
      </c>
      <c r="F11" s="9" t="n">
        <v>227795</v>
      </c>
      <c r="G11" s="9" t="n">
        <v>236482</v>
      </c>
    </row>
    <row r="12">
      <c r="A12" s="10" t="inlineStr">
        <is>
          <t xml:space="preserve">    Net income</t>
        </is>
      </c>
      <c r="B12" s="11" t="n">
        <v>2583</v>
      </c>
      <c r="C12" s="11" t="n">
        <v>-8193</v>
      </c>
      <c r="D12" s="11" t="n">
        <v>2931</v>
      </c>
      <c r="E12" s="11" t="n">
        <v>4178</v>
      </c>
      <c r="F12" s="11" t="n">
        <v>-41723</v>
      </c>
      <c r="G12" s="11" t="n">
        <v>-39603</v>
      </c>
    </row>
    <row r="14">
      <c r="A14" s="6" t="inlineStr">
        <is>
          <t>Financial position (USD, end of year)</t>
        </is>
      </c>
      <c r="B14" s="7" t="n"/>
      <c r="C14" s="7" t="n"/>
      <c r="D14" s="7" t="n"/>
      <c r="E14" s="7" t="n"/>
      <c r="F14" s="7" t="n"/>
      <c r="G14" s="7" t="n"/>
    </row>
    <row r="15">
      <c r="A15" s="8" t="inlineStr">
        <is>
          <t xml:space="preserve">    Total assets</t>
        </is>
      </c>
      <c r="B15" s="9" t="n">
        <v>1169217</v>
      </c>
      <c r="C15" s="9" t="n">
        <v>1131283</v>
      </c>
      <c r="D15" s="9" t="n">
        <v>1108578</v>
      </c>
      <c r="E15" s="9" t="n">
        <v>1084094</v>
      </c>
      <c r="F15" s="9" t="n">
        <v>1014631</v>
      </c>
      <c r="G15" s="9" t="n">
        <v>934013</v>
      </c>
    </row>
    <row r="16">
      <c r="A16" s="8" t="inlineStr">
        <is>
          <t xml:space="preserve">    Total liabilities</t>
        </is>
      </c>
      <c r="B16" s="9" t="n">
        <v>1114470</v>
      </c>
      <c r="C16" s="9" t="n">
        <v>1084078</v>
      </c>
      <c r="D16" s="9" t="n">
        <v>1058442</v>
      </c>
      <c r="E16" s="9" t="n">
        <v>1029780</v>
      </c>
      <c r="F16" s="9" t="n">
        <v>1002040</v>
      </c>
      <c r="G16" s="9" t="n">
        <v>961025</v>
      </c>
    </row>
    <row r="17">
      <c r="A17" s="10" t="inlineStr">
        <is>
          <t xml:space="preserve">    Net assets</t>
        </is>
      </c>
      <c r="B17" s="11" t="n">
        <v>54747</v>
      </c>
      <c r="C17" s="11" t="n">
        <v>47205</v>
      </c>
      <c r="D17" s="11" t="n">
        <v>50136</v>
      </c>
      <c r="E17" s="11" t="n">
        <v>54314</v>
      </c>
      <c r="F17" s="11" t="n">
        <v>12591</v>
      </c>
      <c r="G17" s="11" t="n">
        <v>-27012</v>
      </c>
    </row>
    <row r="19">
      <c r="A19" s="6" t="inlineStr">
        <is>
          <t>Headline ratios</t>
        </is>
      </c>
      <c r="B19" s="7" t="n"/>
      <c r="C19" s="7" t="n"/>
      <c r="D19" s="7" t="n"/>
      <c r="E19" s="7" t="n"/>
      <c r="F19" s="7" t="n"/>
      <c r="G19" s="7" t="n"/>
    </row>
    <row r="20">
      <c r="A20" s="8" t="inlineStr">
        <is>
          <t xml:space="preserve">    Operating margin</t>
        </is>
      </c>
      <c r="B20" s="12" t="n">
        <v>0.01601800863223694</v>
      </c>
      <c r="C20" s="12" t="n">
        <v>-0.05615605529928648</v>
      </c>
      <c r="D20" s="12" t="n">
        <v>0.01746181159592975</v>
      </c>
      <c r="E20" s="12" t="n">
        <v>0.02257085129601417</v>
      </c>
      <c r="F20" s="12" t="n">
        <v>-0.2242304054344555</v>
      </c>
      <c r="G20" s="12" t="n">
        <v>-0.2011540082995139</v>
      </c>
    </row>
    <row r="21">
      <c r="A21" s="8" t="inlineStr">
        <is>
          <t xml:space="preserve">    Revenue growth (YoY)</t>
        </is>
      </c>
      <c r="B21" s="12" t="n">
        <v>0.05829078451704359</v>
      </c>
      <c r="C21" s="12" t="n">
        <v>-0.09524606836334772</v>
      </c>
      <c r="D21" s="12" t="n">
        <v>0.1504828749048987</v>
      </c>
      <c r="E21" s="12" t="n">
        <v>0.1027929366346543</v>
      </c>
      <c r="F21" s="12" t="n">
        <v>0.005218631486823766</v>
      </c>
      <c r="G21" s="12" t="n">
        <v>0.05807966808547229</v>
      </c>
    </row>
    <row r="22">
      <c r="A22" s="8" t="inlineStr">
        <is>
          <t xml:space="preserve">    Return on assets</t>
        </is>
      </c>
      <c r="B22" s="12" t="n">
        <v>0.002209170752734522</v>
      </c>
      <c r="C22" s="12" t="n">
        <v>-0.007242219674475794</v>
      </c>
      <c r="D22" s="12" t="n">
        <v>0.002643927626202216</v>
      </c>
      <c r="E22" s="12" t="n">
        <v>0.003853909347344418</v>
      </c>
      <c r="F22" s="12" t="n">
        <v>-0.041121353477274</v>
      </c>
      <c r="G22" s="12" t="n">
        <v>-0.04240090876679447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Financial Statements - income statement, balance sheet, cash flow, member income test (USD)</t>
        </is>
      </c>
    </row>
    <row r="3">
      <c r="A3" s="2" t="inlineStr">
        <is>
          <t>Entity ID: cawc_0087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161255</v>
      </c>
      <c r="C8" s="9" t="n">
        <v>145896</v>
      </c>
      <c r="D8" s="9" t="n">
        <v>171206</v>
      </c>
      <c r="E8" s="9" t="n">
        <v>185037</v>
      </c>
      <c r="F8" s="9" t="n">
        <v>186022</v>
      </c>
      <c r="G8" s="9" t="n">
        <v>196879</v>
      </c>
    </row>
    <row r="9">
      <c r="A9" s="8" t="inlineStr">
        <is>
          <t xml:space="preserve">    Investment income</t>
        </is>
      </c>
      <c r="B9" s="9" t="n">
        <v>1</v>
      </c>
      <c r="C9" s="9" t="n">
        <v>1</v>
      </c>
      <c r="D9" s="9" t="n">
        <v>1</v>
      </c>
      <c r="E9" s="9" t="n">
        <v>69</v>
      </c>
      <c r="F9" s="9" t="n">
        <v>50</v>
      </c>
      <c r="G9" s="9" t="n">
        <v>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-3355</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161256</v>
      </c>
      <c r="C14" s="11" t="n">
        <v>145897</v>
      </c>
      <c r="D14" s="11" t="n">
        <v>167852</v>
      </c>
      <c r="E14" s="11" t="n">
        <v>185106</v>
      </c>
      <c r="F14" s="11" t="n">
        <v>186072</v>
      </c>
      <c r="G14" s="11" t="n">
        <v>196879</v>
      </c>
    </row>
    <row r="16">
      <c r="A16" s="6" t="inlineStr">
        <is>
          <t>Expenses</t>
        </is>
      </c>
      <c r="B16" s="7" t="n"/>
      <c r="C16" s="7" t="n"/>
      <c r="D16" s="7" t="n"/>
      <c r="E16" s="7" t="n"/>
      <c r="F16" s="7" t="n"/>
      <c r="G16" s="7" t="n"/>
    </row>
    <row r="17">
      <c r="A17" s="8" t="inlineStr">
        <is>
          <t xml:space="preserve">    Depreciation</t>
        </is>
      </c>
      <c r="B17" s="9" t="n">
        <v>37261</v>
      </c>
      <c r="C17" s="9" t="n">
        <v>37758</v>
      </c>
      <c r="D17" s="9" t="n">
        <v>39503</v>
      </c>
      <c r="E17" s="9" t="n">
        <v>39055</v>
      </c>
      <c r="F17" s="9" t="n">
        <v>40679</v>
      </c>
      <c r="G17" s="9" t="n">
        <v>39055</v>
      </c>
    </row>
    <row r="18">
      <c r="A18" s="8" t="inlineStr">
        <is>
          <t xml:space="preserve">    Interest expense</t>
        </is>
      </c>
      <c r="B18" s="9" t="n">
        <v>49796</v>
      </c>
      <c r="C18" s="9" t="n">
        <v>48071</v>
      </c>
      <c r="D18" s="9" t="n">
        <v>46799</v>
      </c>
      <c r="E18" s="9" t="n">
        <v>45583</v>
      </c>
      <c r="F18" s="9" t="n">
        <v>44127</v>
      </c>
      <c r="G18" s="9" t="n">
        <v>42959</v>
      </c>
    </row>
    <row r="19">
      <c r="A19" s="10" t="inlineStr">
        <is>
          <t>Total expenses</t>
        </is>
      </c>
      <c r="B19" s="11" t="n">
        <v>158673</v>
      </c>
      <c r="C19" s="11" t="n">
        <v>154090</v>
      </c>
      <c r="D19" s="11" t="n">
        <v>164921</v>
      </c>
      <c r="E19" s="11" t="n">
        <v>180928</v>
      </c>
      <c r="F19" s="11" t="n">
        <v>227795</v>
      </c>
      <c r="G19" s="11" t="n">
        <v>236482</v>
      </c>
    </row>
    <row r="21">
      <c r="A21" s="10" t="inlineStr">
        <is>
          <t>Net income</t>
        </is>
      </c>
      <c r="B21" s="11" t="n">
        <v>2583</v>
      </c>
      <c r="C21" s="11" t="n">
        <v>-8193</v>
      </c>
      <c r="D21" s="11" t="n">
        <v>2931</v>
      </c>
      <c r="E21" s="11" t="n">
        <v>4178</v>
      </c>
      <c r="F21" s="11" t="n">
        <v>-41723</v>
      </c>
      <c r="G21" s="11" t="n">
        <v>-39603</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149031</v>
      </c>
      <c r="C27" s="9" t="n">
        <v>138059</v>
      </c>
      <c r="D27" s="9" t="n">
        <v>156195</v>
      </c>
      <c r="E27" s="9" t="n">
        <v>168963</v>
      </c>
      <c r="F27" s="9" t="n">
        <v>146304</v>
      </c>
      <c r="G27" s="9" t="n">
        <v>103556</v>
      </c>
    </row>
    <row r="28">
      <c r="A28" s="8" t="inlineStr">
        <is>
          <t xml:space="preserve">    Savings &amp; temporary investments</t>
        </is>
      </c>
      <c r="B28" s="9" t="n">
        <v>120219</v>
      </c>
      <c r="C28" s="9" t="n">
        <v>133742</v>
      </c>
      <c r="D28" s="9" t="n">
        <v>104084</v>
      </c>
      <c r="E28" s="9" t="n">
        <v>108468</v>
      </c>
      <c r="F28" s="9" t="n">
        <v>93124</v>
      </c>
      <c r="G28" s="9" t="n">
        <v>93482</v>
      </c>
    </row>
    <row r="29">
      <c r="A29" s="8" t="inlineStr">
        <is>
          <t xml:space="preserve">    Accounts receivable</t>
        </is>
      </c>
      <c r="B29" s="9" t="n">
        <v>18555</v>
      </c>
      <c r="C29" s="9" t="n">
        <v>4471</v>
      </c>
      <c r="D29" s="9" t="n">
        <v>7578</v>
      </c>
      <c r="E29" s="9" t="n">
        <v>4997</v>
      </c>
      <c r="F29" s="9" t="n">
        <v>14216</v>
      </c>
      <c r="G29" s="9" t="n">
        <v>14542</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5782</v>
      </c>
      <c r="C31" s="9" t="n">
        <v>1392</v>
      </c>
      <c r="D31" s="9" t="n">
        <v>1392</v>
      </c>
      <c r="E31" s="9" t="n">
        <v>1392</v>
      </c>
      <c r="F31" s="9" t="n">
        <v>1392</v>
      </c>
      <c r="G31" s="9" t="n">
        <v>465</v>
      </c>
    </row>
    <row r="32">
      <c r="A32" s="8" t="inlineStr">
        <is>
          <t xml:space="preserve">    Property, plant &amp; equipment (gross)</t>
        </is>
      </c>
      <c r="B32" s="9" t="n">
        <v>1538036</v>
      </c>
      <c r="C32" s="9" t="n">
        <v>1542864</v>
      </c>
      <c r="D32" s="9" t="n">
        <v>1556995</v>
      </c>
      <c r="E32" s="9" t="n">
        <v>1556995</v>
      </c>
      <c r="F32" s="9" t="n">
        <v>1556995</v>
      </c>
      <c r="G32" s="9" t="n">
        <v>1558424</v>
      </c>
    </row>
    <row r="33">
      <c r="A33" s="8" t="inlineStr">
        <is>
          <t xml:space="preserve">    Less: accumulated depreciation</t>
        </is>
      </c>
      <c r="B33" s="9" t="n">
        <v>-662406</v>
      </c>
      <c r="C33" s="9" t="n">
        <v>-690416</v>
      </c>
      <c r="D33" s="9" t="n">
        <v>-718837</v>
      </c>
      <c r="E33" s="9" t="n">
        <v>-757892</v>
      </c>
      <c r="F33" s="9" t="n">
        <v>-798571</v>
      </c>
      <c r="G33" s="9" t="n">
        <v>-837626</v>
      </c>
    </row>
    <row r="34">
      <c r="A34" s="10" t="inlineStr">
        <is>
          <t xml:space="preserve">    Net property, plant &amp; equipment</t>
        </is>
      </c>
      <c r="B34" s="11" t="n">
        <v>875630</v>
      </c>
      <c r="C34" s="11" t="n">
        <v>852448</v>
      </c>
      <c r="D34" s="11" t="n">
        <v>838158</v>
      </c>
      <c r="E34" s="11" t="n">
        <v>799103</v>
      </c>
      <c r="F34" s="11" t="n">
        <v>758424</v>
      </c>
      <c r="G34" s="11" t="n">
        <v>720798</v>
      </c>
    </row>
    <row r="35">
      <c r="A35" s="10" t="inlineStr">
        <is>
          <t>Total assets</t>
        </is>
      </c>
      <c r="B35" s="11" t="n">
        <v>1169217</v>
      </c>
      <c r="C35" s="11" t="n">
        <v>1131283</v>
      </c>
      <c r="D35" s="11" t="n">
        <v>1108578</v>
      </c>
      <c r="E35" s="11" t="n">
        <v>1084094</v>
      </c>
      <c r="F35" s="11" t="n">
        <v>1014631</v>
      </c>
      <c r="G35" s="11" t="n">
        <v>934013</v>
      </c>
    </row>
    <row r="37">
      <c r="A37" s="6" t="inlineStr">
        <is>
          <t>Liabilities</t>
        </is>
      </c>
      <c r="B37" s="7" t="n"/>
      <c r="C37" s="7" t="n"/>
      <c r="D37" s="7" t="n"/>
      <c r="E37" s="7" t="n"/>
      <c r="F37" s="7" t="n"/>
      <c r="G37" s="7" t="n"/>
    </row>
    <row r="38">
      <c r="A38" s="8" t="inlineStr">
        <is>
          <t xml:space="preserve">    Accounts payable</t>
        </is>
      </c>
      <c r="B38" s="9" t="n">
        <v>10506</v>
      </c>
      <c r="C38" s="9" t="n">
        <v>8946</v>
      </c>
      <c r="D38" s="9" t="n">
        <v>8708</v>
      </c>
      <c r="E38" s="9" t="n">
        <v>11462</v>
      </c>
      <c r="F38" s="9" t="n">
        <v>16917</v>
      </c>
      <c r="G38" s="9" t="n">
        <v>8926</v>
      </c>
    </row>
    <row r="39">
      <c r="A39" s="8" t="inlineStr">
        <is>
          <t xml:space="preserve">    Mortgages &amp; notes payable</t>
        </is>
      </c>
      <c r="B39" s="9" t="n">
        <v>1103964</v>
      </c>
      <c r="C39" s="9" t="n">
        <v>1075132</v>
      </c>
      <c r="D39" s="9" t="n">
        <v>1045038</v>
      </c>
      <c r="E39" s="9" t="n">
        <v>1013627</v>
      </c>
      <c r="F39" s="9" t="n">
        <v>980841</v>
      </c>
      <c r="G39" s="9" t="n">
        <v>946622</v>
      </c>
    </row>
    <row r="40">
      <c r="A40" s="10" t="inlineStr">
        <is>
          <t>Total liabilities</t>
        </is>
      </c>
      <c r="B40" s="11" t="n">
        <v>1114470</v>
      </c>
      <c r="C40" s="11" t="n">
        <v>1084078</v>
      </c>
      <c r="D40" s="11" t="n">
        <v>1058442</v>
      </c>
      <c r="E40" s="11" t="n">
        <v>1029780</v>
      </c>
      <c r="F40" s="11" t="n">
        <v>1002040</v>
      </c>
      <c r="G40" s="11" t="n">
        <v>961025</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54747</v>
      </c>
      <c r="C46" s="11" t="n">
        <v>47205</v>
      </c>
      <c r="D46" s="11" t="n">
        <v>50136</v>
      </c>
      <c r="E46" s="11" t="n">
        <v>54314</v>
      </c>
      <c r="F46" s="11" t="n">
        <v>12591</v>
      </c>
      <c r="G46" s="11" t="n">
        <v>-27012</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2583</v>
      </c>
      <c r="C52" s="9" t="n">
        <v>-8193</v>
      </c>
      <c r="D52" s="9" t="n">
        <v>2931</v>
      </c>
      <c r="E52" s="9" t="n">
        <v>4178</v>
      </c>
      <c r="F52" s="9" t="n">
        <v>-41723</v>
      </c>
      <c r="G52" s="9" t="n">
        <v>-39603</v>
      </c>
    </row>
    <row r="53">
      <c r="A53" s="8" t="inlineStr">
        <is>
          <t xml:space="preserve">    + Depreciation (reported)</t>
        </is>
      </c>
      <c r="B53" s="9" t="n">
        <v>37261</v>
      </c>
      <c r="C53" s="9" t="n">
        <v>37758</v>
      </c>
      <c r="D53" s="9" t="n">
        <v>39503</v>
      </c>
      <c r="E53" s="9" t="n">
        <v>39055</v>
      </c>
      <c r="F53" s="9" t="n">
        <v>40679</v>
      </c>
      <c r="G53" s="9" t="n">
        <v>39055</v>
      </c>
    </row>
    <row r="54">
      <c r="A54" s="8" t="inlineStr">
        <is>
          <t xml:space="preserve">    − Δ Accounts receivable</t>
        </is>
      </c>
      <c r="B54" s="9" t="n"/>
      <c r="C54" s="9" t="n">
        <v>14084</v>
      </c>
      <c r="D54" s="9" t="n">
        <v>-3107</v>
      </c>
      <c r="E54" s="9" t="n">
        <v>2581</v>
      </c>
      <c r="F54" s="9" t="n">
        <v>-9219</v>
      </c>
      <c r="G54" s="9" t="n">
        <v>-326</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4390</v>
      </c>
      <c r="D56" s="9" t="n">
        <v>0</v>
      </c>
      <c r="E56" s="9" t="n">
        <v>0</v>
      </c>
      <c r="F56" s="9" t="n">
        <v>0</v>
      </c>
      <c r="G56" s="9" t="n">
        <v>927</v>
      </c>
    </row>
    <row r="57">
      <c r="A57" s="8" t="inlineStr">
        <is>
          <t xml:space="preserve">    + Δ Accounts payable</t>
        </is>
      </c>
      <c r="B57" s="9" t="n"/>
      <c r="C57" s="9" t="n">
        <v>-1560</v>
      </c>
      <c r="D57" s="9" t="n">
        <v>-238</v>
      </c>
      <c r="E57" s="9" t="n">
        <v>2754</v>
      </c>
      <c r="F57" s="9" t="n">
        <v>5455</v>
      </c>
      <c r="G57" s="9" t="n">
        <v>-7991</v>
      </c>
    </row>
    <row r="58">
      <c r="A58" s="10" t="inlineStr">
        <is>
          <t xml:space="preserve">    Operating cash flow proxy</t>
        </is>
      </c>
      <c r="B58" s="11" t="n"/>
      <c r="C58" s="11" t="n">
        <v>46479</v>
      </c>
      <c r="D58" s="11" t="n">
        <v>39089</v>
      </c>
      <c r="E58" s="11" t="n">
        <v>48568</v>
      </c>
      <c r="F58" s="11" t="n">
        <v>-4808</v>
      </c>
      <c r="G58" s="11" t="n">
        <v>-7938</v>
      </c>
    </row>
    <row r="60">
      <c r="A60" s="6" t="inlineStr">
        <is>
          <t>Investing</t>
        </is>
      </c>
      <c r="B60" s="7" t="n"/>
      <c r="C60" s="7" t="n"/>
      <c r="D60" s="7" t="n"/>
      <c r="E60" s="7" t="n"/>
      <c r="F60" s="7" t="n"/>
      <c r="G60" s="7" t="n"/>
    </row>
    <row r="61">
      <c r="A61" s="8" t="inlineStr">
        <is>
          <t xml:space="preserve">    − Δ PP&amp;E gross (capex proxy)</t>
        </is>
      </c>
      <c r="B61" s="9" t="n"/>
      <c r="C61" s="9" t="n">
        <v>-4828</v>
      </c>
      <c r="D61" s="9" t="n">
        <v>-14131</v>
      </c>
      <c r="E61" s="9" t="n">
        <v>0</v>
      </c>
      <c r="F61" s="9" t="n">
        <v>0</v>
      </c>
      <c r="G61" s="9" t="n">
        <v>-1429</v>
      </c>
    </row>
    <row r="63">
      <c r="A63" s="6" t="inlineStr">
        <is>
          <t>Financing</t>
        </is>
      </c>
      <c r="B63" s="7" t="n"/>
      <c r="C63" s="7" t="n"/>
      <c r="D63" s="7" t="n"/>
      <c r="E63" s="7" t="n"/>
      <c r="F63" s="7" t="n"/>
      <c r="G63" s="7" t="n"/>
    </row>
    <row r="64">
      <c r="A64" s="8" t="inlineStr">
        <is>
          <t xml:space="preserve">    Δ Mortgages &amp; notes payable</t>
        </is>
      </c>
      <c r="B64" s="9" t="n"/>
      <c r="C64" s="9" t="n">
        <v>-28832</v>
      </c>
      <c r="D64" s="9" t="n">
        <v>-30094</v>
      </c>
      <c r="E64" s="9" t="n">
        <v>-31411</v>
      </c>
      <c r="F64" s="9" t="n">
        <v>-32786</v>
      </c>
      <c r="G64" s="9" t="n">
        <v>-34219</v>
      </c>
    </row>
    <row r="66">
      <c r="A66" s="6" t="inlineStr">
        <is>
          <t>Reconciliation</t>
        </is>
      </c>
      <c r="B66" s="7" t="n"/>
      <c r="C66" s="7" t="n"/>
      <c r="D66" s="7" t="n"/>
      <c r="E66" s="7" t="n"/>
      <c r="F66" s="7" t="n"/>
      <c r="G66" s="7" t="n"/>
    </row>
    <row r="67">
      <c r="A67" s="10" t="inlineStr">
        <is>
          <t xml:space="preserve">    Δ Cash + temp. investments (actual)</t>
        </is>
      </c>
      <c r="B67" s="11" t="n"/>
      <c r="C67" s="11" t="n">
        <v>2551</v>
      </c>
      <c r="D67" s="11" t="n">
        <v>-11522</v>
      </c>
      <c r="E67" s="11" t="n">
        <v>17152</v>
      </c>
      <c r="F67" s="11" t="n">
        <v>-38003</v>
      </c>
      <c r="G67" s="11" t="n">
        <v>-42390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Balance Sheet - as reported (USD, end of year)</t>
        </is>
      </c>
    </row>
    <row r="3">
      <c r="A3" s="2" t="inlineStr">
        <is>
          <t>Entity ID: cawc_0087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149031</v>
      </c>
      <c r="C7" s="9" t="n">
        <v>138059</v>
      </c>
      <c r="D7" s="9" t="n">
        <v>156195</v>
      </c>
      <c r="E7" s="9" t="n">
        <v>168963</v>
      </c>
      <c r="F7" s="9" t="n">
        <v>146304</v>
      </c>
      <c r="G7" s="9" t="n">
        <v>103556</v>
      </c>
    </row>
    <row r="8">
      <c r="A8" s="8" t="inlineStr">
        <is>
          <t xml:space="preserve">    Savings &amp; temporary investments</t>
        </is>
      </c>
      <c r="B8" s="9" t="n">
        <v>120219</v>
      </c>
      <c r="C8" s="9" t="n">
        <v>133742</v>
      </c>
      <c r="D8" s="9" t="n">
        <v>104084</v>
      </c>
      <c r="E8" s="9" t="n">
        <v>108468</v>
      </c>
      <c r="F8" s="9" t="n">
        <v>93124</v>
      </c>
      <c r="G8" s="9" t="n">
        <v>93482</v>
      </c>
    </row>
    <row r="9">
      <c r="A9" s="8" t="inlineStr">
        <is>
          <t xml:space="preserve">    Accounts receivable</t>
        </is>
      </c>
      <c r="B9" s="9" t="n">
        <v>18555</v>
      </c>
      <c r="C9" s="9" t="n">
        <v>4471</v>
      </c>
      <c r="D9" s="9" t="n">
        <v>7578</v>
      </c>
      <c r="E9" s="9" t="n">
        <v>4997</v>
      </c>
      <c r="F9" s="9" t="n">
        <v>14216</v>
      </c>
      <c r="G9" s="9" t="n">
        <v>14542</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5782</v>
      </c>
      <c r="C11" s="9" t="n">
        <v>1392</v>
      </c>
      <c r="D11" s="9" t="n">
        <v>1392</v>
      </c>
      <c r="E11" s="9" t="n">
        <v>1392</v>
      </c>
      <c r="F11" s="9" t="n">
        <v>1392</v>
      </c>
      <c r="G11" s="9" t="n">
        <v>465</v>
      </c>
    </row>
    <row r="12">
      <c r="A12" s="8" t="inlineStr">
        <is>
          <t xml:space="preserve">    Property, plant &amp; equipment (gross)</t>
        </is>
      </c>
      <c r="B12" s="9" t="n">
        <v>1538036</v>
      </c>
      <c r="C12" s="9" t="n">
        <v>1542864</v>
      </c>
      <c r="D12" s="9" t="n">
        <v>1556995</v>
      </c>
      <c r="E12" s="9" t="n">
        <v>1556995</v>
      </c>
      <c r="F12" s="9" t="n">
        <v>1556995</v>
      </c>
      <c r="G12" s="9" t="n">
        <v>1558424</v>
      </c>
    </row>
    <row r="13">
      <c r="A13" s="8" t="inlineStr">
        <is>
          <t xml:space="preserve">    Less: accumulated depreciation</t>
        </is>
      </c>
      <c r="B13" s="9" t="n">
        <v>-662406</v>
      </c>
      <c r="C13" s="9" t="n">
        <v>-690416</v>
      </c>
      <c r="D13" s="9" t="n">
        <v>-718837</v>
      </c>
      <c r="E13" s="9" t="n">
        <v>-757892</v>
      </c>
      <c r="F13" s="9" t="n">
        <v>-798571</v>
      </c>
      <c r="G13" s="9" t="n">
        <v>-837626</v>
      </c>
    </row>
    <row r="14">
      <c r="A14" s="10" t="inlineStr">
        <is>
          <t xml:space="preserve">    Net property, plant &amp; equipment</t>
        </is>
      </c>
      <c r="B14" s="11" t="n">
        <v>875630</v>
      </c>
      <c r="C14" s="11" t="n">
        <v>852448</v>
      </c>
      <c r="D14" s="11" t="n">
        <v>838158</v>
      </c>
      <c r="E14" s="11" t="n">
        <v>799103</v>
      </c>
      <c r="F14" s="11" t="n">
        <v>758424</v>
      </c>
      <c r="G14" s="11" t="n">
        <v>720798</v>
      </c>
    </row>
    <row r="15">
      <c r="A15" s="10" t="inlineStr">
        <is>
          <t>Total assets</t>
        </is>
      </c>
      <c r="B15" s="11" t="n">
        <v>1169217</v>
      </c>
      <c r="C15" s="11" t="n">
        <v>1131283</v>
      </c>
      <c r="D15" s="11" t="n">
        <v>1108578</v>
      </c>
      <c r="E15" s="11" t="n">
        <v>1084094</v>
      </c>
      <c r="F15" s="11" t="n">
        <v>1014631</v>
      </c>
      <c r="G15" s="11" t="n">
        <v>934013</v>
      </c>
    </row>
    <row r="17">
      <c r="A17" s="6" t="inlineStr">
        <is>
          <t>Liabilities</t>
        </is>
      </c>
      <c r="B17" s="7" t="n"/>
      <c r="C17" s="7" t="n"/>
      <c r="D17" s="7" t="n"/>
      <c r="E17" s="7" t="n"/>
      <c r="F17" s="7" t="n"/>
      <c r="G17" s="7" t="n"/>
    </row>
    <row r="18">
      <c r="A18" s="8" t="inlineStr">
        <is>
          <t xml:space="preserve">    Accounts payable</t>
        </is>
      </c>
      <c r="B18" s="9" t="n">
        <v>10506</v>
      </c>
      <c r="C18" s="9" t="n">
        <v>8946</v>
      </c>
      <c r="D18" s="9" t="n">
        <v>8708</v>
      </c>
      <c r="E18" s="9" t="n">
        <v>11462</v>
      </c>
      <c r="F18" s="9" t="n">
        <v>16917</v>
      </c>
      <c r="G18" s="9" t="n">
        <v>8926</v>
      </c>
    </row>
    <row r="19">
      <c r="A19" s="8" t="inlineStr">
        <is>
          <t xml:space="preserve">    Mortgages &amp; notes payable</t>
        </is>
      </c>
      <c r="B19" s="9" t="n">
        <v>1103964</v>
      </c>
      <c r="C19" s="9" t="n">
        <v>1075132</v>
      </c>
      <c r="D19" s="9" t="n">
        <v>1045038</v>
      </c>
      <c r="E19" s="9" t="n">
        <v>1013627</v>
      </c>
      <c r="F19" s="9" t="n">
        <v>980841</v>
      </c>
      <c r="G19" s="9" t="n">
        <v>946622</v>
      </c>
    </row>
    <row r="20">
      <c r="A20" s="10" t="inlineStr">
        <is>
          <t>Total liabilities</t>
        </is>
      </c>
      <c r="B20" s="11" t="n">
        <v>1114470</v>
      </c>
      <c r="C20" s="11" t="n">
        <v>1084078</v>
      </c>
      <c r="D20" s="11" t="n">
        <v>1058442</v>
      </c>
      <c r="E20" s="11" t="n">
        <v>1029780</v>
      </c>
      <c r="F20" s="11" t="n">
        <v>1002040</v>
      </c>
      <c r="G20" s="11" t="n">
        <v>961025</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54747</v>
      </c>
      <c r="C26" s="11" t="n">
        <v>47205</v>
      </c>
      <c r="D26" s="11" t="n">
        <v>50136</v>
      </c>
      <c r="E26" s="11" t="n">
        <v>54314</v>
      </c>
      <c r="F26" s="11" t="n">
        <v>12591</v>
      </c>
      <c r="G26" s="11" t="n">
        <v>-27012</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Tokay Park Water Company</t>
        </is>
      </c>
    </row>
    <row r="2">
      <c r="A2" s="2" t="inlineStr">
        <is>
          <t>Officers, Directors &amp; Contractors - Form 990 Part VII (FY2025; USD)</t>
        </is>
      </c>
    </row>
    <row r="3">
      <c r="A3" s="2" t="inlineStr">
        <is>
          <t>Entity ID: cawc_0087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Laura Haley-Hutty</t>
        </is>
      </c>
      <c r="B7" s="8" t="inlineStr">
        <is>
          <t>President</t>
        </is>
      </c>
      <c r="C7" s="9" t="n">
        <v>0</v>
      </c>
      <c r="D7" s="9" t="n">
        <v>0</v>
      </c>
      <c r="E7" s="9" t="n">
        <v>0</v>
      </c>
      <c r="F7" s="9" t="n">
        <v>0</v>
      </c>
    </row>
    <row r="8">
      <c r="A8" s="8" t="inlineStr">
        <is>
          <t>Tricia Hudick</t>
        </is>
      </c>
      <c r="B8" s="8" t="inlineStr">
        <is>
          <t>Vice President</t>
        </is>
      </c>
      <c r="C8" s="9" t="n">
        <v>0</v>
      </c>
      <c r="D8" s="9" t="n">
        <v>0</v>
      </c>
      <c r="E8" s="9" t="n">
        <v>0</v>
      </c>
      <c r="F8" s="9" t="n">
        <v>0</v>
      </c>
    </row>
    <row r="9">
      <c r="A9" s="8" t="inlineStr">
        <is>
          <t>William Savage</t>
        </is>
      </c>
      <c r="B9" s="8" t="inlineStr">
        <is>
          <t>Director</t>
        </is>
      </c>
      <c r="C9" s="9" t="n">
        <v>0</v>
      </c>
      <c r="D9" s="9" t="n">
        <v>0</v>
      </c>
      <c r="E9" s="9" t="n">
        <v>0</v>
      </c>
      <c r="F9" s="9" t="n">
        <v>0</v>
      </c>
    </row>
    <row r="11">
      <c r="A11" s="6" t="inlineStr">
        <is>
          <t>Section B - Independent contractors (over $100,000)</t>
        </is>
      </c>
      <c r="B11" s="7" t="n"/>
      <c r="C11" s="7" t="n"/>
      <c r="D11" s="7" t="n"/>
      <c r="E11" s="7" t="n"/>
      <c r="F11" s="7" t="n"/>
    </row>
    <row r="12">
      <c r="A12" s="5" t="inlineStr">
        <is>
          <t>Contractor</t>
        </is>
      </c>
      <c r="B12" s="5" t="inlineStr">
        <is>
          <t>Services</t>
        </is>
      </c>
      <c r="C12" s="5" t="inlineStr">
        <is>
          <t>Compensation</t>
        </is>
      </c>
    </row>
    <row r="14" ht="42" customHeight="1">
      <c r="A1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Revenue - Form 990 Part VIII (USD)</t>
        </is>
      </c>
    </row>
    <row r="3">
      <c r="A3" s="2" t="inlineStr">
        <is>
          <t>Entity ID: cawc_0087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161255</v>
      </c>
      <c r="C8" s="9" t="n">
        <v>145896</v>
      </c>
      <c r="D8" s="9" t="n">
        <v>171206</v>
      </c>
      <c r="E8" s="9" t="n">
        <v>185037</v>
      </c>
      <c r="F8" s="9" t="n">
        <v>186022</v>
      </c>
      <c r="G8" s="9" t="n">
        <v>196879</v>
      </c>
    </row>
    <row r="9">
      <c r="A9" s="8" t="inlineStr">
        <is>
          <t xml:space="preserve">    3. Investment income</t>
        </is>
      </c>
      <c r="B9" s="9" t="n">
        <v>1</v>
      </c>
      <c r="C9" s="9" t="n">
        <v>1</v>
      </c>
      <c r="D9" s="9" t="n">
        <v>1</v>
      </c>
      <c r="E9" s="9" t="n">
        <v>69</v>
      </c>
      <c r="F9" s="9" t="n">
        <v>50</v>
      </c>
      <c r="G9" s="9" t="n">
        <v>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-3355</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Service Charges</t>
        </is>
      </c>
      <c r="B17" s="8" t="inlineStr">
        <is>
          <t>221000</t>
        </is>
      </c>
      <c r="C17" s="9" t="n">
        <v>196879</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Tokay Park Water Company</t>
        </is>
      </c>
    </row>
    <row r="2">
      <c r="A2" s="2" t="inlineStr">
        <is>
          <t>Statement of Functional Expenses - Form 990 Part IX (USD)</t>
        </is>
      </c>
    </row>
    <row r="3">
      <c r="A3" s="2" t="inlineStr">
        <is>
          <t>Entity ID: cawc_0087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53172</v>
      </c>
      <c r="G13" s="9" t="n">
        <v>55764</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5021</v>
      </c>
      <c r="G16" s="9" t="n">
        <v>5086</v>
      </c>
    </row>
    <row r="17">
      <c r="A17" s="8" t="inlineStr">
        <is>
          <t xml:space="preserve">    11a. Fees for services: management</t>
        </is>
      </c>
      <c r="B17" s="9" t="n">
        <v>13300</v>
      </c>
      <c r="C17" s="9" t="n">
        <v>19200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26400</v>
      </c>
      <c r="C19" s="9" t="n">
        <v>17629</v>
      </c>
      <c r="D19" s="9" t="n">
        <v>8788</v>
      </c>
      <c r="E19" s="9" t="n">
        <v>42480</v>
      </c>
      <c r="F19" s="9" t="n">
        <v>18179</v>
      </c>
      <c r="G19" s="9" t="n">
        <v>21328</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3433</v>
      </c>
      <c r="C25" s="9" t="n">
        <v>3607</v>
      </c>
      <c r="D25" s="9" t="n">
        <v>5093</v>
      </c>
      <c r="E25" s="9" t="n">
        <v>5623</v>
      </c>
      <c r="F25" s="9" t="n">
        <v>7172</v>
      </c>
      <c r="G25" s="9" t="n">
        <v>12219</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1311</v>
      </c>
      <c r="C28" s="9" t="n">
        <v>0</v>
      </c>
      <c r="D28" s="9" t="n">
        <v>952</v>
      </c>
      <c r="E28" s="9" t="n">
        <v>728</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24</v>
      </c>
      <c r="C31" s="9" t="n">
        <v>0</v>
      </c>
      <c r="D31" s="9" t="n">
        <v>650</v>
      </c>
      <c r="E31" s="9" t="n">
        <v>6157</v>
      </c>
      <c r="F31" s="9" t="n">
        <v>1069</v>
      </c>
      <c r="G31" s="9" t="n">
        <v>1046</v>
      </c>
    </row>
    <row r="32">
      <c r="A32" s="8" t="inlineStr">
        <is>
          <t xml:space="preserve">    20. Interest</t>
        </is>
      </c>
      <c r="B32" s="9" t="n">
        <v>49796</v>
      </c>
      <c r="C32" s="9" t="n">
        <v>48071</v>
      </c>
      <c r="D32" s="9" t="n">
        <v>46799</v>
      </c>
      <c r="E32" s="9" t="n">
        <v>45583</v>
      </c>
      <c r="F32" s="9" t="n">
        <v>44127</v>
      </c>
      <c r="G32" s="9" t="n">
        <v>42959</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37261</v>
      </c>
      <c r="C34" s="9" t="n">
        <v>37758</v>
      </c>
      <c r="D34" s="9" t="n">
        <v>39503</v>
      </c>
      <c r="E34" s="9" t="n">
        <v>39055</v>
      </c>
      <c r="F34" s="9" t="n">
        <v>40679</v>
      </c>
      <c r="G34" s="9" t="n">
        <v>39055</v>
      </c>
    </row>
    <row r="35">
      <c r="A35" s="8" t="inlineStr">
        <is>
          <t xml:space="preserve">    23. Insurance</t>
        </is>
      </c>
      <c r="B35" s="9" t="n">
        <v>6981</v>
      </c>
      <c r="C35" s="9" t="n">
        <v>10757</v>
      </c>
      <c r="D35" s="9" t="n">
        <v>7226</v>
      </c>
      <c r="E35" s="9" t="n">
        <v>7566</v>
      </c>
      <c r="F35" s="9" t="n">
        <v>3346</v>
      </c>
      <c r="G35" s="9" t="n">
        <v>10141</v>
      </c>
    </row>
    <row r="36">
      <c r="A36" s="8" t="inlineStr">
        <is>
          <t xml:space="preserve">    24. Utilities Operations</t>
        </is>
      </c>
      <c r="B36" s="9" t="n">
        <v>8144</v>
      </c>
      <c r="C36" s="14" t="inlineStr">
        <is>
          <t>not reported</t>
        </is>
      </c>
      <c r="D36" s="14" t="inlineStr">
        <is>
          <t>not reported</t>
        </is>
      </c>
      <c r="E36" s="14" t="inlineStr">
        <is>
          <t>not reported</t>
        </is>
      </c>
      <c r="F36" s="14" t="inlineStr">
        <is>
          <t>not reported</t>
        </is>
      </c>
      <c r="G36" s="14" t="inlineStr">
        <is>
          <t>not reported</t>
        </is>
      </c>
    </row>
    <row r="37">
      <c r="A37" s="8" t="inlineStr">
        <is>
          <t xml:space="preserve">    24. Tax and License</t>
        </is>
      </c>
      <c r="B37" s="9" t="n">
        <v>4110</v>
      </c>
      <c r="C37" s="14" t="inlineStr">
        <is>
          <t>not reported</t>
        </is>
      </c>
      <c r="D37" s="14" t="inlineStr">
        <is>
          <t>not reported</t>
        </is>
      </c>
      <c r="E37" s="14" t="inlineStr">
        <is>
          <t>not reported</t>
        </is>
      </c>
      <c r="F37" s="14" t="inlineStr">
        <is>
          <t>not reported</t>
        </is>
      </c>
      <c r="G37" s="14" t="inlineStr">
        <is>
          <t>not reported</t>
        </is>
      </c>
    </row>
    <row r="38">
      <c r="A38" s="8" t="inlineStr">
        <is>
          <t xml:space="preserve">    24. Repairs &amp; Maintenance</t>
        </is>
      </c>
      <c r="B38" s="9" t="n">
        <v>3928</v>
      </c>
      <c r="C38" s="14" t="inlineStr">
        <is>
          <t>not reported</t>
        </is>
      </c>
      <c r="D38" s="14" t="inlineStr">
        <is>
          <t>not reported</t>
        </is>
      </c>
      <c r="E38" s="14" t="inlineStr">
        <is>
          <t>not reported</t>
        </is>
      </c>
      <c r="F38" s="14" t="inlineStr">
        <is>
          <t>not reported</t>
        </is>
      </c>
      <c r="G38" s="14" t="inlineStr">
        <is>
          <t>not reported</t>
        </is>
      </c>
    </row>
    <row r="39">
      <c r="A39" s="8" t="inlineStr">
        <is>
          <t xml:space="preserve">    24. Transmission &amp; Distribution</t>
        </is>
      </c>
      <c r="B39" s="9" t="n">
        <v>2400</v>
      </c>
      <c r="C39" s="14" t="inlineStr">
        <is>
          <t>not reported</t>
        </is>
      </c>
      <c r="D39" s="14" t="inlineStr">
        <is>
          <t>not reported</t>
        </is>
      </c>
      <c r="E39" s="14" t="inlineStr">
        <is>
          <t>not reported</t>
        </is>
      </c>
      <c r="F39" s="14" t="inlineStr">
        <is>
          <t>not reported</t>
        </is>
      </c>
      <c r="G39" s="14" t="inlineStr">
        <is>
          <t>not reported</t>
        </is>
      </c>
    </row>
    <row r="40">
      <c r="A40" s="8" t="inlineStr">
        <is>
          <t xml:space="preserve">    24. System Operation</t>
        </is>
      </c>
      <c r="B40" s="14" t="inlineStr">
        <is>
          <t>not reported</t>
        </is>
      </c>
      <c r="C40" s="9" t="n">
        <v>13006</v>
      </c>
      <c r="D40" s="9" t="n">
        <v>23313</v>
      </c>
      <c r="E40" s="9" t="n">
        <v>30593</v>
      </c>
      <c r="F40" s="9" t="n">
        <v>16326</v>
      </c>
      <c r="G40" s="9" t="n">
        <v>13963</v>
      </c>
    </row>
    <row r="41">
      <c r="A41" s="8" t="inlineStr">
        <is>
          <t xml:space="preserve">    24. Outside Services</t>
        </is>
      </c>
      <c r="B41" s="14" t="inlineStr">
        <is>
          <t>not reported</t>
        </is>
      </c>
      <c r="C41" s="9" t="n">
        <v>3136</v>
      </c>
      <c r="D41" s="9" t="n">
        <v>31600</v>
      </c>
      <c r="E41" s="9" t="n">
        <v>2129</v>
      </c>
      <c r="F41" s="9" t="n">
        <v>29752</v>
      </c>
      <c r="G41" s="9" t="n">
        <v>18949</v>
      </c>
    </row>
    <row r="42">
      <c r="A42" s="8" t="inlineStr">
        <is>
          <t xml:space="preserve">    24. Board Expense</t>
        </is>
      </c>
      <c r="B42" s="14" t="inlineStr">
        <is>
          <t>not reported</t>
        </is>
      </c>
      <c r="C42" s="9" t="n">
        <v>483</v>
      </c>
      <c r="D42" s="14" t="inlineStr">
        <is>
          <t>not reported</t>
        </is>
      </c>
      <c r="E42" s="14" t="inlineStr">
        <is>
          <t>not reported</t>
        </is>
      </c>
      <c r="F42" s="14" t="inlineStr">
        <is>
          <t>not reported</t>
        </is>
      </c>
      <c r="G42" s="14" t="inlineStr">
        <is>
          <t>not reported</t>
        </is>
      </c>
    </row>
    <row r="43">
      <c r="A43" s="8" t="inlineStr">
        <is>
          <t xml:space="preserve">    24. Dues &amp; Subscriptions</t>
        </is>
      </c>
      <c r="B43" s="14" t="inlineStr">
        <is>
          <t>not reported</t>
        </is>
      </c>
      <c r="C43" s="9" t="n">
        <v>443</v>
      </c>
      <c r="D43" s="9" t="n">
        <v>977</v>
      </c>
      <c r="E43" s="9" t="n">
        <v>1014</v>
      </c>
      <c r="F43" s="9" t="n">
        <v>8932</v>
      </c>
      <c r="G43" s="14" t="inlineStr">
        <is>
          <t>not reported</t>
        </is>
      </c>
    </row>
    <row r="44">
      <c r="A44" s="8" t="inlineStr">
        <is>
          <t xml:space="preserve">    24. Filing fee</t>
        </is>
      </c>
      <c r="B44" s="14" t="inlineStr">
        <is>
          <t>not reported</t>
        </is>
      </c>
      <c r="C44" s="14" t="inlineStr">
        <is>
          <t>not reported</t>
        </is>
      </c>
      <c r="D44" s="9" t="n">
        <v>20</v>
      </c>
      <c r="E44" s="14" t="inlineStr">
        <is>
          <t>not reported</t>
        </is>
      </c>
      <c r="F44" s="14" t="inlineStr">
        <is>
          <t>not reported</t>
        </is>
      </c>
      <c r="G44" s="14" t="inlineStr">
        <is>
          <t>not reported</t>
        </is>
      </c>
    </row>
    <row r="45">
      <c r="A45" s="8" t="inlineStr">
        <is>
          <t xml:space="preserve">    24. Filling Fees</t>
        </is>
      </c>
      <c r="B45" s="14" t="inlineStr">
        <is>
          <t>not reported</t>
        </is>
      </c>
      <c r="C45" s="14" t="inlineStr">
        <is>
          <t>not reported</t>
        </is>
      </c>
      <c r="D45" s="14" t="inlineStr">
        <is>
          <t>not reported</t>
        </is>
      </c>
      <c r="E45" s="14" t="inlineStr">
        <is>
          <t>not reported</t>
        </is>
      </c>
      <c r="F45" s="9" t="n">
        <v>20</v>
      </c>
      <c r="G45" s="14" t="inlineStr">
        <is>
          <t>not reported</t>
        </is>
      </c>
    </row>
    <row r="46">
      <c r="A46" s="8" t="inlineStr">
        <is>
          <t xml:space="preserve">    24. Bad debt expenses</t>
        </is>
      </c>
      <c r="B46" s="14" t="inlineStr">
        <is>
          <t>not reported</t>
        </is>
      </c>
      <c r="C46" s="14" t="inlineStr">
        <is>
          <t>not reported</t>
        </is>
      </c>
      <c r="D46" s="14" t="inlineStr">
        <is>
          <t>not reported</t>
        </is>
      </c>
      <c r="E46" s="14" t="inlineStr">
        <is>
          <t>not reported</t>
        </is>
      </c>
      <c r="F46" s="14" t="inlineStr">
        <is>
          <t>not reported</t>
        </is>
      </c>
      <c r="G46" s="9" t="n">
        <v>12156</v>
      </c>
    </row>
    <row r="47">
      <c r="A47" s="8" t="inlineStr">
        <is>
          <t xml:space="preserve">    24. Environmental report</t>
        </is>
      </c>
      <c r="B47" s="14" t="inlineStr">
        <is>
          <t>not reported</t>
        </is>
      </c>
      <c r="C47" s="14" t="inlineStr">
        <is>
          <t>not reported</t>
        </is>
      </c>
      <c r="D47" s="14" t="inlineStr">
        <is>
          <t>not reported</t>
        </is>
      </c>
      <c r="E47" s="14" t="inlineStr">
        <is>
          <t>not reported</t>
        </is>
      </c>
      <c r="F47" s="14" t="inlineStr">
        <is>
          <t>not reported</t>
        </is>
      </c>
      <c r="G47" s="9" t="n">
        <v>2789</v>
      </c>
    </row>
    <row r="48">
      <c r="A48" s="8" t="inlineStr">
        <is>
          <t xml:space="preserve">    24e. All other expenses</t>
        </is>
      </c>
      <c r="B48" s="9" t="n">
        <v>1585</v>
      </c>
      <c r="C48" s="9" t="n">
        <v>0</v>
      </c>
      <c r="D48" s="9" t="n">
        <v>0</v>
      </c>
      <c r="E48" s="9" t="n">
        <v>0</v>
      </c>
      <c r="F48" s="9" t="n">
        <v>0</v>
      </c>
      <c r="G48" s="9" t="n">
        <v>1027</v>
      </c>
    </row>
    <row r="49">
      <c r="A49" s="10" t="inlineStr">
        <is>
          <t>25. Total functional expenses</t>
        </is>
      </c>
      <c r="B49" s="11">
        <f>SUM(B7:B48)</f>
        <v/>
      </c>
      <c r="C49" s="11">
        <f>SUM(C7:C48)</f>
        <v/>
      </c>
      <c r="D49" s="11">
        <f>SUM(D7:D48)</f>
        <v/>
      </c>
      <c r="E49" s="11">
        <f>SUM(E7:E48)</f>
        <v/>
      </c>
      <c r="F49" s="11">
        <f>SUM(F7:F48)</f>
        <v/>
      </c>
      <c r="G49" s="11">
        <f>SUM(G7:G48)</f>
        <v/>
      </c>
    </row>
    <row r="51">
      <c r="A51" s="6" t="inlineStr">
        <is>
          <t>Functional column split - FY2025 (col A = B + C + D)</t>
        </is>
      </c>
      <c r="B51" s="7" t="n"/>
      <c r="C51" s="7" t="n"/>
      <c r="D51" s="7" t="n"/>
      <c r="E51" s="7" t="n"/>
      <c r="F51" s="7" t="n"/>
      <c r="G51" s="7" t="n"/>
    </row>
    <row r="52">
      <c r="A52" s="5" t="inlineStr">
        <is>
          <t>Part IX line</t>
        </is>
      </c>
      <c r="B52" s="5" t="inlineStr">
        <is>
          <t>A. Total</t>
        </is>
      </c>
      <c r="C52" s="5" t="inlineStr">
        <is>
          <t>B. Program services</t>
        </is>
      </c>
      <c r="D52" s="5" t="inlineStr">
        <is>
          <t>C. Management &amp; general</t>
        </is>
      </c>
      <c r="E52" s="5" t="inlineStr">
        <is>
          <t>D. Fundraising</t>
        </is>
      </c>
    </row>
    <row r="53">
      <c r="A53" s="18" t="inlineStr">
        <is>
          <t>1. Grants to domestic organizations and governments</t>
        </is>
      </c>
      <c r="B53" s="9" t="n">
        <v>0</v>
      </c>
      <c r="C53" s="9" t="n"/>
      <c r="D53" s="9" t="n"/>
      <c r="E53" s="9" t="n"/>
    </row>
    <row r="54">
      <c r="A54" s="18" t="inlineStr">
        <is>
          <t>2. Grants to domestic individuals</t>
        </is>
      </c>
      <c r="B54" s="9" t="n">
        <v>0</v>
      </c>
      <c r="C54" s="9" t="n"/>
      <c r="D54" s="9" t="n"/>
      <c r="E54" s="9" t="n"/>
    </row>
    <row r="55">
      <c r="A55" s="18" t="inlineStr">
        <is>
          <t>3. Grants to foreign organizations and individuals</t>
        </is>
      </c>
      <c r="B55" s="9" t="n">
        <v>0</v>
      </c>
      <c r="C55" s="9" t="n"/>
      <c r="D55" s="9" t="n"/>
      <c r="E55" s="9" t="n"/>
    </row>
    <row r="56">
      <c r="A56" s="18" t="inlineStr">
        <is>
          <t>4. Benefits paid to or for members</t>
        </is>
      </c>
      <c r="B56" s="9" t="n">
        <v>0</v>
      </c>
      <c r="C56" s="9" t="n"/>
      <c r="D56" s="9" t="n"/>
      <c r="E56" s="9" t="n"/>
    </row>
    <row r="57">
      <c r="A57" s="18" t="inlineStr">
        <is>
          <t>5. Compensation of current officers, directors, trustees</t>
        </is>
      </c>
      <c r="B57" s="9" t="n">
        <v>0</v>
      </c>
      <c r="C57" s="9" t="n"/>
      <c r="D57" s="9" t="n"/>
      <c r="E57" s="9" t="n"/>
    </row>
    <row r="58">
      <c r="A58" s="18" t="inlineStr">
        <is>
          <t>6. Compensation to disqualified persons</t>
        </is>
      </c>
      <c r="B58" s="9" t="n">
        <v>0</v>
      </c>
      <c r="C58" s="9" t="n"/>
      <c r="D58" s="9" t="n"/>
      <c r="E58" s="9" t="n"/>
    </row>
    <row r="59">
      <c r="A59" s="18" t="inlineStr">
        <is>
          <t>7. Other salaries and wages</t>
        </is>
      </c>
      <c r="B59" s="9" t="n">
        <v>55764</v>
      </c>
      <c r="C59" s="9" t="n"/>
      <c r="D59" s="9" t="n">
        <v>55764</v>
      </c>
      <c r="E59" s="9" t="n"/>
    </row>
    <row r="60">
      <c r="A60" s="18" t="inlineStr">
        <is>
          <t>8. Pension plan accruals and contributions</t>
        </is>
      </c>
      <c r="B60" s="9" t="n">
        <v>0</v>
      </c>
      <c r="C60" s="9" t="n"/>
      <c r="D60" s="9" t="n"/>
      <c r="E60" s="9" t="n"/>
    </row>
    <row r="61">
      <c r="A61" s="18" t="inlineStr">
        <is>
          <t>9. Other employee benefits</t>
        </is>
      </c>
      <c r="B61" s="9" t="n">
        <v>0</v>
      </c>
      <c r="C61" s="9" t="n"/>
      <c r="D61" s="9" t="n"/>
      <c r="E61" s="9" t="n"/>
    </row>
    <row r="62">
      <c r="A62" s="18" t="inlineStr">
        <is>
          <t>10. Payroll taxes</t>
        </is>
      </c>
      <c r="B62" s="9" t="n">
        <v>5086</v>
      </c>
      <c r="C62" s="9" t="n"/>
      <c r="D62" s="9" t="n">
        <v>5086</v>
      </c>
      <c r="E62" s="9" t="n"/>
    </row>
    <row r="63">
      <c r="A63" s="18" t="inlineStr">
        <is>
          <t>11a. Fees for services: management</t>
        </is>
      </c>
      <c r="B63" s="9" t="n">
        <v>0</v>
      </c>
      <c r="C63" s="9" t="n"/>
      <c r="D63" s="9" t="n"/>
      <c r="E63" s="9" t="n"/>
    </row>
    <row r="64">
      <c r="A64" s="18" t="inlineStr">
        <is>
          <t>11b. Fees for services: legal</t>
        </is>
      </c>
      <c r="B64" s="9" t="n">
        <v>0</v>
      </c>
      <c r="C64" s="9" t="n"/>
      <c r="D64" s="9" t="n"/>
      <c r="E64" s="9" t="n"/>
    </row>
    <row r="65">
      <c r="A65" s="18" t="inlineStr">
        <is>
          <t>11c. Fees for services: accounting</t>
        </is>
      </c>
      <c r="B65" s="9" t="n">
        <v>21328</v>
      </c>
      <c r="C65" s="9" t="n">
        <v>21328</v>
      </c>
      <c r="D65" s="9" t="n"/>
      <c r="E65" s="9" t="n"/>
    </row>
    <row r="66">
      <c r="A66" s="18" t="inlineStr">
        <is>
          <t>11d. Fees for services: lobbying</t>
        </is>
      </c>
      <c r="B66" s="9" t="n">
        <v>0</v>
      </c>
      <c r="C66" s="9" t="n"/>
      <c r="D66" s="9" t="n"/>
      <c r="E66" s="9" t="n"/>
    </row>
    <row r="67">
      <c r="A67" s="18" t="inlineStr">
        <is>
          <t>11e. Fees for services: professional fundraising</t>
        </is>
      </c>
      <c r="B67" s="9" t="n">
        <v>0</v>
      </c>
      <c r="C67" s="9" t="n"/>
      <c r="D67" s="9" t="n"/>
      <c r="E67" s="9" t="n"/>
    </row>
    <row r="68">
      <c r="A68" s="18" t="inlineStr">
        <is>
          <t>11f. Fees for services: investment management</t>
        </is>
      </c>
      <c r="B68" s="9" t="n">
        <v>0</v>
      </c>
      <c r="C68" s="9" t="n"/>
      <c r="D68" s="9" t="n"/>
      <c r="E68" s="9" t="n"/>
    </row>
    <row r="69">
      <c r="A69" s="18" t="inlineStr">
        <is>
          <t>11g. Fees for services: other</t>
        </is>
      </c>
      <c r="B69" s="9" t="n">
        <v>0</v>
      </c>
      <c r="C69" s="9" t="n"/>
      <c r="D69" s="9" t="n"/>
      <c r="E69" s="9" t="n"/>
    </row>
    <row r="70">
      <c r="A70" s="18" t="inlineStr">
        <is>
          <t>12. Advertising and promotion</t>
        </is>
      </c>
      <c r="B70" s="9" t="n">
        <v>0</v>
      </c>
      <c r="C70" s="9" t="n"/>
      <c r="D70" s="9" t="n"/>
      <c r="E70" s="9" t="n"/>
    </row>
    <row r="71">
      <c r="A71" s="18" t="inlineStr">
        <is>
          <t>13. Office expenses</t>
        </is>
      </c>
      <c r="B71" s="9" t="n">
        <v>12219</v>
      </c>
      <c r="C71" s="9" t="n">
        <v>12219</v>
      </c>
      <c r="D71" s="9" t="n"/>
      <c r="E71" s="9" t="n"/>
    </row>
    <row r="72">
      <c r="A72" s="18" t="inlineStr">
        <is>
          <t>14. Information technology</t>
        </is>
      </c>
      <c r="B72" s="9" t="n">
        <v>0</v>
      </c>
      <c r="C72" s="9" t="n"/>
      <c r="D72" s="9" t="n"/>
      <c r="E72" s="9" t="n"/>
    </row>
    <row r="73">
      <c r="A73" s="18" t="inlineStr">
        <is>
          <t>15. Royalties</t>
        </is>
      </c>
      <c r="B73" s="9" t="n">
        <v>0</v>
      </c>
      <c r="C73" s="9" t="n"/>
      <c r="D73" s="9" t="n"/>
      <c r="E73" s="9" t="n"/>
    </row>
    <row r="74">
      <c r="A74" s="18" t="inlineStr">
        <is>
          <t>16. Occupancy</t>
        </is>
      </c>
      <c r="B74" s="9" t="n">
        <v>0</v>
      </c>
      <c r="C74" s="9" t="n"/>
      <c r="D74" s="9" t="n"/>
      <c r="E74" s="9" t="n"/>
    </row>
    <row r="75">
      <c r="A75" s="18" t="inlineStr">
        <is>
          <t>17. Travel</t>
        </is>
      </c>
      <c r="B75" s="9" t="n">
        <v>0</v>
      </c>
      <c r="C75" s="9" t="n"/>
      <c r="D75" s="9" t="n"/>
      <c r="E75" s="9" t="n"/>
    </row>
    <row r="76">
      <c r="A76" s="18" t="inlineStr">
        <is>
          <t>18. Payments of travel/entertainment for public officials</t>
        </is>
      </c>
      <c r="B76" s="9" t="n">
        <v>0</v>
      </c>
      <c r="C76" s="9" t="n"/>
      <c r="D76" s="9" t="n"/>
      <c r="E76" s="9" t="n"/>
    </row>
    <row r="77">
      <c r="A77" s="18" t="inlineStr">
        <is>
          <t>19. Conferences, conventions, and meetings</t>
        </is>
      </c>
      <c r="B77" s="9" t="n">
        <v>1046</v>
      </c>
      <c r="C77" s="9" t="n"/>
      <c r="D77" s="9" t="n">
        <v>1046</v>
      </c>
      <c r="E77" s="9" t="n"/>
    </row>
    <row r="78">
      <c r="A78" s="18" t="inlineStr">
        <is>
          <t>20. Interest</t>
        </is>
      </c>
      <c r="B78" s="9" t="n">
        <v>42959</v>
      </c>
      <c r="C78" s="9" t="n">
        <v>42959</v>
      </c>
      <c r="D78" s="9" t="n"/>
      <c r="E78" s="9" t="n"/>
    </row>
    <row r="79">
      <c r="A79" s="18" t="inlineStr">
        <is>
          <t>21. Payments to affiliates</t>
        </is>
      </c>
      <c r="B79" s="9" t="n">
        <v>0</v>
      </c>
      <c r="C79" s="9" t="n"/>
      <c r="D79" s="9" t="n"/>
      <c r="E79" s="9" t="n"/>
    </row>
    <row r="80">
      <c r="A80" s="18" t="inlineStr">
        <is>
          <t>22. Depreciation, depletion, and amortization</t>
        </is>
      </c>
      <c r="B80" s="9" t="n">
        <v>39055</v>
      </c>
      <c r="C80" s="9" t="n"/>
      <c r="D80" s="9" t="n"/>
      <c r="E80" s="9" t="n"/>
    </row>
    <row r="81">
      <c r="A81" s="18" t="inlineStr">
        <is>
          <t>23. Insurance</t>
        </is>
      </c>
      <c r="B81" s="9" t="n">
        <v>10141</v>
      </c>
      <c r="C81" s="9" t="n">
        <v>10141</v>
      </c>
      <c r="D81" s="9" t="n"/>
      <c r="E81" s="9" t="n"/>
    </row>
    <row r="82">
      <c r="A82" s="10" t="inlineStr">
        <is>
          <t>25. Total (filed col A / B / C / D)</t>
        </is>
      </c>
      <c r="B82" s="11" t="n">
        <v>236482</v>
      </c>
      <c r="C82" s="11" t="n">
        <v>135531</v>
      </c>
      <c r="D82" s="11" t="n">
        <v>61896</v>
      </c>
      <c r="E82" s="11" t="n">
        <v>0</v>
      </c>
    </row>
    <row r="84" ht="42" customHeight="1">
      <c r="A84"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4:G84"/>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Balance Sheet - Form 990 Part X (end of year, USD)</t>
        </is>
      </c>
    </row>
    <row r="3">
      <c r="A3" s="2" t="inlineStr">
        <is>
          <t>Entity ID: cawc_0087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149031</v>
      </c>
      <c r="C7" s="9" t="n">
        <v>138059</v>
      </c>
      <c r="D7" s="9" t="n">
        <v>156195</v>
      </c>
      <c r="E7" s="9" t="n">
        <v>168963</v>
      </c>
      <c r="F7" s="9" t="n">
        <v>146304</v>
      </c>
      <c r="G7" s="9" t="n">
        <v>103556</v>
      </c>
    </row>
    <row r="8">
      <c r="A8" s="8" t="inlineStr">
        <is>
          <t xml:space="preserve">    2. Savings and temporary cash investments</t>
        </is>
      </c>
      <c r="B8" s="9" t="n">
        <v>120219</v>
      </c>
      <c r="C8" s="9" t="n">
        <v>133742</v>
      </c>
      <c r="D8" s="9" t="n">
        <v>104084</v>
      </c>
      <c r="E8" s="9" t="n">
        <v>108468</v>
      </c>
      <c r="F8" s="9" t="n">
        <v>93124</v>
      </c>
      <c r="G8" s="9" t="n">
        <v>93482</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18555</v>
      </c>
      <c r="C10" s="9" t="n">
        <v>4471</v>
      </c>
      <c r="D10" s="9" t="n">
        <v>7578</v>
      </c>
      <c r="E10" s="9" t="n">
        <v>4997</v>
      </c>
      <c r="F10" s="9" t="n">
        <v>14216</v>
      </c>
      <c r="G10" s="9" t="n">
        <v>14542</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5782</v>
      </c>
      <c r="C15" s="9" t="n">
        <v>1392</v>
      </c>
      <c r="D15" s="9" t="n">
        <v>1392</v>
      </c>
      <c r="E15" s="9" t="n">
        <v>1392</v>
      </c>
      <c r="F15" s="9" t="n">
        <v>1392</v>
      </c>
      <c r="G15" s="9" t="n">
        <v>465</v>
      </c>
    </row>
    <row r="16">
      <c r="A16" s="8" t="inlineStr">
        <is>
          <t xml:space="preserve">    10c. Land, buildings, and equipment, net</t>
        </is>
      </c>
      <c r="B16" s="9" t="n">
        <v>875630</v>
      </c>
      <c r="C16" s="9" t="n">
        <v>852448</v>
      </c>
      <c r="D16" s="9" t="n">
        <v>838158</v>
      </c>
      <c r="E16" s="9" t="n">
        <v>799103</v>
      </c>
      <c r="F16" s="9" t="n">
        <v>758424</v>
      </c>
      <c r="G16" s="9" t="n">
        <v>720798</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1171</v>
      </c>
      <c r="D21" s="9" t="n">
        <v>1171</v>
      </c>
      <c r="E21" s="9" t="n">
        <v>1171</v>
      </c>
      <c r="F21" s="9" t="n">
        <v>1171</v>
      </c>
      <c r="G21" s="9" t="n">
        <v>1170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10506</v>
      </c>
      <c r="C25" s="9" t="n">
        <v>8946</v>
      </c>
      <c r="D25" s="9" t="n">
        <v>8708</v>
      </c>
      <c r="E25" s="9" t="n">
        <v>11462</v>
      </c>
      <c r="F25" s="9" t="n">
        <v>16917</v>
      </c>
      <c r="G25" s="9" t="n">
        <v>8926</v>
      </c>
    </row>
    <row r="26">
      <c r="A26" s="8" t="inlineStr">
        <is>
          <t xml:space="preserve">    19. Deferred revenue</t>
        </is>
      </c>
      <c r="B26" s="14" t="inlineStr">
        <is>
          <t>not reported</t>
        </is>
      </c>
      <c r="C26" s="14" t="inlineStr">
        <is>
          <t>not reported</t>
        </is>
      </c>
      <c r="D26" s="9" t="n">
        <v>4696</v>
      </c>
      <c r="E26" s="9" t="n">
        <v>4690</v>
      </c>
      <c r="F26" s="9" t="n">
        <v>4282</v>
      </c>
      <c r="G26" s="9" t="n">
        <v>5477</v>
      </c>
    </row>
    <row r="27">
      <c r="A27" s="8" t="inlineStr">
        <is>
          <t xml:space="preserve">    23. Secured mortgages and notes payable</t>
        </is>
      </c>
      <c r="B27" s="9" t="n">
        <v>1103964</v>
      </c>
      <c r="C27" s="9" t="n">
        <v>1075132</v>
      </c>
      <c r="D27" s="9" t="n">
        <v>1045038</v>
      </c>
      <c r="E27" s="9" t="n">
        <v>1013627</v>
      </c>
      <c r="F27" s="9" t="n">
        <v>980841</v>
      </c>
      <c r="G27" s="9" t="n">
        <v>946622</v>
      </c>
    </row>
    <row r="28">
      <c r="A28" s="8" t="inlineStr">
        <is>
          <t xml:space="preserve">    25. Other liabilities</t>
        </is>
      </c>
      <c r="B28" s="14" t="inlineStr">
        <is>
          <t>not reported</t>
        </is>
      </c>
      <c r="C28" s="14" t="inlineStr">
        <is>
          <t>not reported</t>
        </is>
      </c>
      <c r="D28" s="14" t="inlineStr">
        <is>
          <t>not reported</t>
        </is>
      </c>
      <c r="E28" s="9" t="n">
        <v>1</v>
      </c>
      <c r="F28" s="14" t="inlineStr">
        <is>
          <t>not reported</t>
        </is>
      </c>
      <c r="G28" s="14" t="inlineStr">
        <is>
          <t>not reported</t>
        </is>
      </c>
    </row>
    <row r="29">
      <c r="A29" s="10" t="inlineStr">
        <is>
          <t>26. Total liabilities</t>
        </is>
      </c>
      <c r="B29" s="11">
        <f>SUM(B25:B28)</f>
        <v/>
      </c>
      <c r="C29" s="11">
        <f>SUM(C25:C28)</f>
        <v/>
      </c>
      <c r="D29" s="11">
        <f>SUM(D25:D28)</f>
        <v/>
      </c>
      <c r="E29" s="11">
        <f>SUM(E25:E28)</f>
        <v/>
      </c>
      <c r="F29" s="11">
        <f>SUM(F25:F28)</f>
        <v/>
      </c>
      <c r="G29" s="11">
        <f>SUM(G25:G28)</f>
        <v/>
      </c>
    </row>
    <row r="31">
      <c r="A31" s="6" t="inlineStr">
        <is>
          <t>Net assets / fund balances</t>
        </is>
      </c>
      <c r="B31" s="7" t="n"/>
      <c r="C31" s="7" t="n"/>
      <c r="D31" s="7" t="n"/>
      <c r="E31" s="7" t="n"/>
      <c r="F31" s="7" t="n"/>
      <c r="G31" s="7" t="n"/>
    </row>
    <row r="32">
      <c r="A32" s="8" t="inlineStr">
        <is>
          <t xml:space="preserve">    27. Net assets without donor restrictions</t>
        </is>
      </c>
      <c r="B32" s="9" t="n">
        <v>54747</v>
      </c>
      <c r="C32" s="9" t="n">
        <v>47205</v>
      </c>
      <c r="D32" s="9" t="n">
        <v>50136</v>
      </c>
      <c r="E32" s="9" t="n">
        <v>54314</v>
      </c>
      <c r="F32" s="9" t="n">
        <v>12591</v>
      </c>
      <c r="G32" s="9" t="n">
        <v>-27012</v>
      </c>
    </row>
    <row r="33">
      <c r="A33" s="10" t="inlineStr">
        <is>
          <t>32. Total net assets / fund balances</t>
        </is>
      </c>
      <c r="B33" s="11">
        <f>SUM(B32:B32)</f>
        <v/>
      </c>
      <c r="C33" s="11">
        <f>SUM(C32:C32)</f>
        <v/>
      </c>
      <c r="D33" s="11">
        <f>SUM(D32:D32)</f>
        <v/>
      </c>
      <c r="E33" s="11">
        <f>SUM(E32:E32)</f>
        <v/>
      </c>
      <c r="F33" s="11">
        <f>SUM(F32:F32)</f>
        <v/>
      </c>
      <c r="G33" s="11">
        <f>SUM(G32:G32)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Reconciliation of Net Assets - Form 990 Part XI (USD)</t>
        </is>
      </c>
    </row>
    <row r="3">
      <c r="A3" s="2" t="inlineStr">
        <is>
          <t>Entity ID: cawc_0087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52164</v>
      </c>
      <c r="C7" s="9" t="n">
        <v>55398</v>
      </c>
      <c r="D7" s="9" t="n">
        <v>47205</v>
      </c>
      <c r="E7" s="9" t="n">
        <v>50136</v>
      </c>
      <c r="F7" s="9" t="n">
        <v>54314</v>
      </c>
      <c r="G7" s="9" t="n">
        <v>12591</v>
      </c>
    </row>
    <row r="8">
      <c r="A8" s="8" t="inlineStr">
        <is>
          <t xml:space="preserve">    3. Revenue less expenses</t>
        </is>
      </c>
      <c r="B8" s="9" t="n">
        <v>2583</v>
      </c>
      <c r="C8" s="9" t="n">
        <v>-8193</v>
      </c>
      <c r="D8" s="9" t="n">
        <v>2931</v>
      </c>
      <c r="E8" s="9" t="n">
        <v>4178</v>
      </c>
      <c r="F8" s="9" t="n">
        <v>-41723</v>
      </c>
      <c r="G8" s="9" t="n">
        <v>-39603</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Cash Flow Proxies - derived (USD)</t>
        </is>
      </c>
    </row>
    <row r="3">
      <c r="A3" s="2" t="inlineStr">
        <is>
          <t>Entity ID: cawc_0087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2583</v>
      </c>
      <c r="C9" s="9" t="n">
        <v>-8193</v>
      </c>
      <c r="D9" s="9" t="n">
        <v>2931</v>
      </c>
      <c r="E9" s="9" t="n">
        <v>4178</v>
      </c>
      <c r="F9" s="9" t="n">
        <v>-41723</v>
      </c>
      <c r="G9" s="9" t="n">
        <v>-39603</v>
      </c>
    </row>
    <row r="10">
      <c r="A10" s="8" t="inlineStr">
        <is>
          <t xml:space="preserve">    + Depreciation (reported)</t>
        </is>
      </c>
      <c r="B10" s="9" t="n">
        <v>37261</v>
      </c>
      <c r="C10" s="9" t="n">
        <v>37758</v>
      </c>
      <c r="D10" s="9" t="n">
        <v>39503</v>
      </c>
      <c r="E10" s="9" t="n">
        <v>39055</v>
      </c>
      <c r="F10" s="9" t="n">
        <v>40679</v>
      </c>
      <c r="G10" s="9" t="n">
        <v>39055</v>
      </c>
    </row>
    <row r="11">
      <c r="A11" s="8" t="inlineStr">
        <is>
          <t xml:space="preserve">    − Δ Accounts receivable</t>
        </is>
      </c>
      <c r="B11" s="9" t="n"/>
      <c r="C11" s="9" t="n">
        <v>14084</v>
      </c>
      <c r="D11" s="9" t="n">
        <v>-3107</v>
      </c>
      <c r="E11" s="9" t="n">
        <v>2581</v>
      </c>
      <c r="F11" s="9" t="n">
        <v>-9219</v>
      </c>
      <c r="G11" s="9" t="n">
        <v>-326</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4390</v>
      </c>
      <c r="D13" s="9" t="n">
        <v>0</v>
      </c>
      <c r="E13" s="9" t="n">
        <v>0</v>
      </c>
      <c r="F13" s="9" t="n">
        <v>0</v>
      </c>
      <c r="G13" s="9" t="n">
        <v>927</v>
      </c>
    </row>
    <row r="14">
      <c r="A14" s="8" t="inlineStr">
        <is>
          <t xml:space="preserve">    + Δ Accounts payable</t>
        </is>
      </c>
      <c r="B14" s="9" t="n"/>
      <c r="C14" s="9" t="n">
        <v>-1560</v>
      </c>
      <c r="D14" s="9" t="n">
        <v>-238</v>
      </c>
      <c r="E14" s="9" t="n">
        <v>2754</v>
      </c>
      <c r="F14" s="9" t="n">
        <v>5455</v>
      </c>
      <c r="G14" s="9" t="n">
        <v>-7991</v>
      </c>
    </row>
    <row r="15">
      <c r="A15" s="10" t="inlineStr">
        <is>
          <t xml:space="preserve">    Operating cash flow proxy</t>
        </is>
      </c>
      <c r="B15" s="11" t="n"/>
      <c r="C15" s="11" t="n">
        <v>46479</v>
      </c>
      <c r="D15" s="11" t="n">
        <v>39089</v>
      </c>
      <c r="E15" s="11" t="n">
        <v>48568</v>
      </c>
      <c r="F15" s="11" t="n">
        <v>-4808</v>
      </c>
      <c r="G15" s="11" t="n">
        <v>-7938</v>
      </c>
    </row>
    <row r="17">
      <c r="A17" s="6" t="inlineStr">
        <is>
          <t>Investing</t>
        </is>
      </c>
      <c r="B17" s="7" t="n"/>
      <c r="C17" s="7" t="n"/>
      <c r="D17" s="7" t="n"/>
      <c r="E17" s="7" t="n"/>
      <c r="F17" s="7" t="n"/>
      <c r="G17" s="7" t="n"/>
    </row>
    <row r="18">
      <c r="A18" s="8" t="inlineStr">
        <is>
          <t xml:space="preserve">    − Δ PP&amp;E gross (capex proxy)</t>
        </is>
      </c>
      <c r="B18" s="9" t="n"/>
      <c r="C18" s="9" t="n">
        <v>-4828</v>
      </c>
      <c r="D18" s="9" t="n">
        <v>-14131</v>
      </c>
      <c r="E18" s="9" t="n">
        <v>0</v>
      </c>
      <c r="F18" s="9" t="n">
        <v>0</v>
      </c>
      <c r="G18" s="9" t="n">
        <v>-1429</v>
      </c>
    </row>
    <row r="20">
      <c r="A20" s="6" t="inlineStr">
        <is>
          <t>Financing</t>
        </is>
      </c>
      <c r="B20" s="7" t="n"/>
      <c r="C20" s="7" t="n"/>
      <c r="D20" s="7" t="n"/>
      <c r="E20" s="7" t="n"/>
      <c r="F20" s="7" t="n"/>
      <c r="G20" s="7" t="n"/>
    </row>
    <row r="21">
      <c r="A21" s="8" t="inlineStr">
        <is>
          <t xml:space="preserve">    Δ Mortgages &amp; notes payable</t>
        </is>
      </c>
      <c r="B21" s="9" t="n"/>
      <c r="C21" s="9" t="n">
        <v>-28832</v>
      </c>
      <c r="D21" s="9" t="n">
        <v>-30094</v>
      </c>
      <c r="E21" s="9" t="n">
        <v>-31411</v>
      </c>
      <c r="F21" s="9" t="n">
        <v>-32786</v>
      </c>
      <c r="G21" s="9" t="n">
        <v>-34219</v>
      </c>
    </row>
    <row r="23">
      <c r="A23" s="6" t="inlineStr">
        <is>
          <t>Reconciliation</t>
        </is>
      </c>
      <c r="B23" s="7" t="n"/>
      <c r="C23" s="7" t="n"/>
      <c r="D23" s="7" t="n"/>
      <c r="E23" s="7" t="n"/>
      <c r="F23" s="7" t="n"/>
      <c r="G23" s="7" t="n"/>
    </row>
    <row r="24">
      <c r="A24" s="10" t="inlineStr">
        <is>
          <t xml:space="preserve">    Δ Cash + temp. investments (actual)</t>
        </is>
      </c>
      <c r="B24" s="11" t="n"/>
      <c r="C24" s="11" t="n">
        <v>2551</v>
      </c>
      <c r="D24" s="11" t="n">
        <v>-11522</v>
      </c>
      <c r="E24" s="11" t="n">
        <v>17152</v>
      </c>
      <c r="F24" s="11" t="n">
        <v>-38003</v>
      </c>
      <c r="G24" s="11" t="n">
        <v>-42390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Tokay Park Water Company</t>
        </is>
      </c>
    </row>
    <row r="2">
      <c r="A2" s="2" t="inlineStr">
        <is>
          <t>Financial Ratios</t>
        </is>
      </c>
    </row>
    <row r="3">
      <c r="A3" s="2" t="inlineStr">
        <is>
          <t>Entity ID: cawc_0087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0.01601800863223694</v>
      </c>
      <c r="C7" s="12" t="n">
        <v>-0.05615605529928648</v>
      </c>
      <c r="D7" s="12" t="n">
        <v>0.01746181159592975</v>
      </c>
      <c r="E7" s="12" t="n">
        <v>0.02257085129601417</v>
      </c>
      <c r="F7" s="12" t="n">
        <v>-0.2242304054344555</v>
      </c>
      <c r="G7" s="12" t="n">
        <v>-0.2011540082995139</v>
      </c>
    </row>
    <row r="8">
      <c r="A8" s="8" t="inlineStr">
        <is>
          <t xml:space="preserve">    Expense ratio (expenses / revenue)</t>
        </is>
      </c>
      <c r="B8" s="12" t="n">
        <v>0.9839819913677631</v>
      </c>
      <c r="C8" s="12" t="n">
        <v>1.056156055299287</v>
      </c>
      <c r="D8" s="12" t="n">
        <v>0.9825381884040703</v>
      </c>
      <c r="E8" s="12" t="n">
        <v>0.9774291487039858</v>
      </c>
      <c r="F8" s="12" t="n">
        <v>1.224230405434455</v>
      </c>
      <c r="G8" s="12" t="n">
        <v>1.201154008299514</v>
      </c>
    </row>
    <row r="9">
      <c r="A9" s="8" t="inlineStr">
        <is>
          <t xml:space="preserve">    Return on assets (NI / assets)</t>
        </is>
      </c>
      <c r="B9" s="12" t="n">
        <v>0.002209170752734522</v>
      </c>
      <c r="C9" s="12" t="n">
        <v>-0.007242219674475794</v>
      </c>
      <c r="D9" s="12" t="n">
        <v>0.002643927626202216</v>
      </c>
      <c r="E9" s="12" t="n">
        <v>0.003853909347344418</v>
      </c>
      <c r="F9" s="12" t="n">
        <v>-0.041121353477274</v>
      </c>
      <c r="G9" s="12" t="n">
        <v>-0.04240090876679447</v>
      </c>
    </row>
    <row r="10">
      <c r="A10" s="8" t="inlineStr">
        <is>
          <t xml:space="preserve">    Revenue growth (YoY)</t>
        </is>
      </c>
      <c r="B10" s="12" t="n">
        <v>0.05829078451704359</v>
      </c>
      <c r="C10" s="12" t="n">
        <v>-0.09524606836334772</v>
      </c>
      <c r="D10" s="12" t="n">
        <v>0.1504828749048987</v>
      </c>
      <c r="E10" s="12" t="n">
        <v>0.1027929366346543</v>
      </c>
      <c r="F10" s="12" t="n">
        <v>0.005218631486823766</v>
      </c>
      <c r="G10" s="12" t="n">
        <v>0.05807966808547229</v>
      </c>
    </row>
    <row r="12">
      <c r="A12" s="6" t="inlineStr">
        <is>
          <t>Leverage &amp; solvency</t>
        </is>
      </c>
      <c r="B12" s="7" t="n"/>
      <c r="C12" s="7" t="n"/>
      <c r="D12" s="7" t="n"/>
      <c r="E12" s="7" t="n"/>
      <c r="F12" s="7" t="n"/>
      <c r="G12" s="7" t="n"/>
    </row>
    <row r="13">
      <c r="A13" s="8" t="inlineStr">
        <is>
          <t xml:space="preserve">    Debt-to-assets (liab. / assets)</t>
        </is>
      </c>
      <c r="B13" s="12" t="n">
        <v>0.9531763564847244</v>
      </c>
      <c r="C13" s="12" t="n">
        <v>0.9582730404328537</v>
      </c>
      <c r="D13" s="12" t="n">
        <v>0.9547744948934581</v>
      </c>
      <c r="E13" s="12" t="n">
        <v>0.9498991784845225</v>
      </c>
      <c r="F13" s="12" t="n">
        <v>0.98759056248035</v>
      </c>
      <c r="G13" s="12" t="n">
        <v>1.028920368346051</v>
      </c>
    </row>
    <row r="14">
      <c r="A14" s="8" t="inlineStr">
        <is>
          <t xml:space="preserve">    Equity ratio (net assets / assets)</t>
        </is>
      </c>
      <c r="B14" s="12" t="n">
        <v>0.04682364351527561</v>
      </c>
      <c r="C14" s="12" t="n">
        <v>0.04172695956714633</v>
      </c>
      <c r="D14" s="12" t="n">
        <v>0.04522550510654189</v>
      </c>
      <c r="E14" s="12" t="n">
        <v>0.05010082151547744</v>
      </c>
      <c r="F14" s="12" t="n">
        <v>0.01240943751965</v>
      </c>
      <c r="G14" s="12" t="n">
        <v>-0.02892036834605086</v>
      </c>
    </row>
    <row r="16">
      <c r="A16" s="6" t="inlineStr">
        <is>
          <t>Liquidity &amp; asset profile (derived here)</t>
        </is>
      </c>
      <c r="B16" s="7" t="n"/>
      <c r="C16" s="7" t="n"/>
      <c r="D16" s="7" t="n"/>
      <c r="E16" s="7" t="n"/>
      <c r="F16" s="7" t="n"/>
      <c r="G16" s="7" t="n"/>
    </row>
    <row r="17">
      <c r="A17" s="8" t="inlineStr">
        <is>
          <t xml:space="preserve">    Current ratio (current assets / AP)</t>
        </is>
      </c>
      <c r="B17" s="19" t="n">
        <v>27.94469826765658</v>
      </c>
      <c r="C17" s="19" t="n">
        <v>31.03778224904985</v>
      </c>
      <c r="D17" s="19" t="n">
        <v>30.91972898484153</v>
      </c>
      <c r="E17" s="19" t="n">
        <v>24.76182167161054</v>
      </c>
      <c r="F17" s="19" t="n">
        <v>15.07572264585919</v>
      </c>
      <c r="G17" s="19" t="n">
        <v>23.75588169392785</v>
      </c>
    </row>
    <row r="18">
      <c r="A18" s="8" t="inlineStr">
        <is>
          <t xml:space="preserve">    Cash ratio ((cash+temp inv.) / total liab.)</t>
        </is>
      </c>
      <c r="B18" s="19" t="n">
        <v>0.2415946593448007</v>
      </c>
      <c r="C18" s="19" t="n">
        <v>0.2507208890873166</v>
      </c>
      <c r="D18" s="19" t="n">
        <v>0.2459076642839192</v>
      </c>
      <c r="E18" s="19" t="n">
        <v>0.2694080288993765</v>
      </c>
      <c r="F18" s="19" t="n">
        <v>0.2389405612550397</v>
      </c>
      <c r="G18" s="19" t="n">
        <v>0.2050290054889311</v>
      </c>
    </row>
    <row r="19">
      <c r="A19" s="8" t="inlineStr">
        <is>
          <t xml:space="preserve">    Asset age proxy (accum. deprec. / gross PP&amp;E)</t>
        </is>
      </c>
      <c r="B19" s="12" t="n">
        <v>0.4306830269252475</v>
      </c>
      <c r="C19" s="12" t="n">
        <v>0.4474898630080162</v>
      </c>
      <c r="D19" s="12" t="n">
        <v>0.4616822790053918</v>
      </c>
      <c r="E19" s="12" t="n">
        <v>0.4867658534548923</v>
      </c>
      <c r="F19" s="12" t="n">
        <v>0.5128924627246716</v>
      </c>
      <c r="G19" s="12" t="n">
        <v>0.5374827389721925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Tokay Park Water Company</t>
        </is>
      </c>
    </row>
    <row r="2">
      <c r="A2" s="2" t="inlineStr">
        <is>
          <t>Unit economics - per-customer revenue by category (USD)</t>
        </is>
      </c>
    </row>
    <row r="3">
      <c r="A3" s="2" t="inlineStr">
        <is>
          <t>Entity ID: cawc_0087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Tokay Park Water Company</t>
        </is>
      </c>
    </row>
    <row r="2">
      <c r="A2" s="2" t="inlineStr">
        <is>
          <t>Rate structure and representative bill - eAR Section 8a</t>
        </is>
      </c>
    </row>
    <row r="3">
      <c r="A3" s="2" t="inlineStr">
        <is>
          <t>Entity ID: cawc_0087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Tokay Park Water Company</t>
        </is>
      </c>
    </row>
    <row r="2">
      <c r="A2" s="2" t="inlineStr">
        <is>
          <t>Operational metrics - plant per acre, density, terrain</t>
        </is>
      </c>
    </row>
    <row r="3">
      <c r="A3" s="2" t="inlineStr">
        <is>
          <t>Entity ID: cawc_0087   |   Fiscal year ends December 31.</t>
        </is>
      </c>
    </row>
    <row r="5">
      <c r="A5" s="6" t="inlineStr">
        <is>
          <t>Plant assets per acre</t>
        </is>
      </c>
      <c r="B5" s="7" t="n"/>
      <c r="C5" s="7" t="n"/>
    </row>
    <row r="6">
      <c r="A6" s="20" t="inlineStr">
        <is>
          <t>Service-area acres</t>
        </is>
      </c>
      <c r="B6" s="26" t="n">
        <v>60.2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25628.9701</v>
      </c>
      <c r="C8" s="9" t="n">
        <v>14160.2658</v>
      </c>
    </row>
    <row r="9">
      <c r="A9" s="18" t="inlineStr">
        <is>
          <t>FY2022</t>
        </is>
      </c>
      <c r="B9" s="9" t="n">
        <v>25863.7043</v>
      </c>
      <c r="C9" s="9" t="n">
        <v>13922.8904</v>
      </c>
    </row>
    <row r="10">
      <c r="A10" s="18" t="inlineStr">
        <is>
          <t>FY2023</t>
        </is>
      </c>
      <c r="B10" s="9" t="n">
        <v>25863.7043</v>
      </c>
      <c r="C10" s="9" t="n">
        <v>13274.1362</v>
      </c>
    </row>
    <row r="11">
      <c r="A11" s="18" t="inlineStr">
        <is>
          <t>FY2024</t>
        </is>
      </c>
      <c r="B11" s="9" t="n">
        <v>25863.7043</v>
      </c>
      <c r="C11" s="9" t="n">
        <v>12598.4053</v>
      </c>
    </row>
    <row r="12">
      <c r="A12" s="18" t="inlineStr">
        <is>
          <t>FY2025</t>
        </is>
      </c>
      <c r="B12" s="9" t="n">
        <v>25887.4419</v>
      </c>
      <c r="C12" s="9" t="n">
        <v>11973.3887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2.61</v>
      </c>
      <c r="C19" s="22" t="inlineStr">
        <is>
          <t>157 connections / 60.2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Tokay Park Water Company</t>
        </is>
      </c>
    </row>
    <row r="2">
      <c r="A2" s="2" t="inlineStr">
        <is>
          <t>Supply and weather indicators (DWR water year)</t>
        </is>
      </c>
    </row>
    <row r="3">
      <c r="A3" s="2" t="inlineStr">
        <is>
          <t>Entity ID: cawc_0087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Tokay Park Water Company</t>
        </is>
      </c>
    </row>
    <row r="2">
      <c r="A2" s="2" t="inlineStr">
        <is>
          <t>How this was built - forensic lineage</t>
        </is>
      </c>
    </row>
    <row r="3">
      <c r="A3" s="2" t="inlineStr">
        <is>
          <t>Entity ID: cawc_0087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Tokay Park Water Company</t>
        </is>
      </c>
    </row>
    <row r="2">
      <c r="A2" s="2" t="inlineStr">
        <is>
          <t>Anomaly Flags (automated; kept separate from the clean statements)</t>
        </is>
      </c>
    </row>
    <row r="3">
      <c r="A3" s="2" t="inlineStr">
        <is>
          <t>Entity ID: cawc_0087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FY2021 opening net assets differ from FY2020 closing</t>
        </is>
      </c>
      <c r="B7" s="7" t="n"/>
    </row>
    <row r="8">
      <c r="A8" s="20" t="inlineStr">
        <is>
          <t>Affected figure</t>
        </is>
      </c>
      <c r="B8" s="22" t="inlineStr">
        <is>
          <t>Net assets FY2021</t>
        </is>
      </c>
    </row>
    <row r="9">
      <c r="A9" s="20" t="inlineStr">
        <is>
          <t>Confidence</t>
        </is>
      </c>
      <c r="B9" s="22" t="inlineStr">
        <is>
          <t>high</t>
        </is>
      </c>
    </row>
    <row r="10" ht="72" customHeight="1">
      <c r="A10" s="20" t="inlineStr">
        <is>
          <t>What happened (filed, sourced)</t>
        </is>
      </c>
      <c r="B10" s="22" t="inlineStr">
        <is>
          <t>The company filed $55,398 as its beginning net assets for FY2021 and $54,747 as its ending net assets for FY2020, a difference of $651. Both figures are carried exactly as each year's own filing reports them. Neither is adjusted to match the other.</t>
        </is>
      </c>
    </row>
    <row r="11" ht="54" customHeight="1">
      <c r="A11" s="20" t="inlineStr">
        <is>
          <t>Source lines</t>
        </is>
      </c>
      <c r="B11" s="22" t="inlineStr">
        <is>
          <t>- FY2021 net assets, beginning of year (as filed): $55,398
- FY2020 net assets, end of year (as filed): $54,747
- Difference: $651</t>
        </is>
      </c>
    </row>
    <row r="12" ht="72" customHeight="1">
      <c r="A12" s="20" t="inlineStr">
        <is>
          <t>Confidence reasoning</t>
        </is>
      </c>
      <c r="B12" s="22"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2" t="inlineStr">
        <is>
          <t>The filing does not state a reason.</t>
        </is>
      </c>
    </row>
    <row r="14" ht="60" customHeight="1">
      <c r="A14" s="20" t="inlineStr">
        <is>
          <t>Possible explanation (guess)</t>
        </is>
      </c>
      <c r="B14" s="29"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1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Tokay Park Water Company</t>
        </is>
      </c>
    </row>
    <row r="2">
      <c r="A2" s="2" t="inlineStr">
        <is>
          <t>Sources &amp; audit - full provenance and tie-outs (kept off the statements so they read clean)</t>
        </is>
      </c>
    </row>
    <row r="3">
      <c r="A3" s="2" t="inlineStr">
        <is>
          <t>Entity ID: cawc_0087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ec2fa852-d753-4af2-a16d-9fa8d837cb65</t>
        </is>
      </c>
      <c r="F10" s="8" t="inlineStr">
        <is>
          <t>202143149349304974</t>
        </is>
      </c>
      <c r="G10" s="8" t="inlineStr">
        <is>
          <t>claude-opus-5</t>
        </is>
      </c>
      <c r="H10" s="8" t="inlineStr">
        <is>
          <t>2026-09-21T02:50:02+00:00</t>
        </is>
      </c>
      <c r="I10" s="8" t="inlineStr">
        <is>
          <t>https://apps.irs.gov/pub/epostcard/990/xml/2021/2021_TEOS_XML_01A.zip#202143149349304974_public.xml</t>
        </is>
      </c>
    </row>
    <row r="11">
      <c r="A11" s="27" t="inlineStr">
        <is>
          <t>FY2021</t>
        </is>
      </c>
      <c r="B11" s="8" t="inlineStr">
        <is>
          <t>2021-12-31</t>
        </is>
      </c>
      <c r="C11" s="8" t="inlineStr">
        <is>
          <t>990</t>
        </is>
      </c>
      <c r="D11" s="8" t="inlineStr">
        <is>
          <t>high</t>
        </is>
      </c>
      <c r="E11" s="8" t="inlineStr">
        <is>
          <t>3be95823-2bc2-4cc2-a5be-db97bb5af04b</t>
        </is>
      </c>
      <c r="F11" s="8" t="inlineStr">
        <is>
          <t>202203199349328970</t>
        </is>
      </c>
      <c r="G11" s="8" t="inlineStr">
        <is>
          <t>claude-opus-5</t>
        </is>
      </c>
      <c r="H11" s="8" t="inlineStr">
        <is>
          <t>2026-09-21T02:50:02+00:00</t>
        </is>
      </c>
      <c r="I11" s="8" t="inlineStr">
        <is>
          <t>https://apps.irs.gov/pub/epostcard/990/xml/2022/2022_TEOS_XML_02A.zip#202203199349328970_public.xml</t>
        </is>
      </c>
    </row>
    <row r="12">
      <c r="A12" s="27" t="inlineStr">
        <is>
          <t>FY2022</t>
        </is>
      </c>
      <c r="B12" s="8" t="inlineStr">
        <is>
          <t>2022-12-31</t>
        </is>
      </c>
      <c r="C12" s="8" t="inlineStr">
        <is>
          <t>990</t>
        </is>
      </c>
      <c r="D12" s="8" t="inlineStr">
        <is>
          <t>high</t>
        </is>
      </c>
      <c r="E12" s="8" t="inlineStr">
        <is>
          <t>2a376b34-3b8c-4d31-989e-c6fcf6ddcdea</t>
        </is>
      </c>
      <c r="F12" s="8" t="inlineStr">
        <is>
          <t>202322589349302072</t>
        </is>
      </c>
      <c r="G12" s="8" t="inlineStr">
        <is>
          <t>claude-opus-5</t>
        </is>
      </c>
      <c r="H12" s="8" t="inlineStr">
        <is>
          <t>2026-09-21T02:50:02+00:00</t>
        </is>
      </c>
      <c r="I12" s="8" t="inlineStr">
        <is>
          <t>https://apps.irs.gov/pub/epostcard/990/xml/2023/2023_TEOS_XML_09A.zip#202322589349302072_public.xml</t>
        </is>
      </c>
    </row>
    <row r="13">
      <c r="A13" s="27" t="inlineStr">
        <is>
          <t>FY2023</t>
        </is>
      </c>
      <c r="B13" s="8" t="inlineStr">
        <is>
          <t>2023-12-31</t>
        </is>
      </c>
      <c r="C13" s="8" t="inlineStr">
        <is>
          <t>990</t>
        </is>
      </c>
      <c r="D13" s="8" t="inlineStr">
        <is>
          <t>high</t>
        </is>
      </c>
      <c r="E13" s="8" t="inlineStr">
        <is>
          <t>f9ccaae8-34ed-4226-99da-a5e077620e80</t>
        </is>
      </c>
      <c r="F13" s="8" t="inlineStr">
        <is>
          <t>202433189349309953</t>
        </is>
      </c>
      <c r="G13" s="8" t="inlineStr">
        <is>
          <t>claude-opus-5</t>
        </is>
      </c>
      <c r="H13" s="8" t="inlineStr">
        <is>
          <t>2026-09-21T02:50:02+00:00</t>
        </is>
      </c>
      <c r="I13" s="8" t="inlineStr">
        <is>
          <t>https://apps.irs.gov/pub/epostcard/990/xml/2024/2024_TEOS_XML_11A.zip#202433189349309953_public.xml</t>
        </is>
      </c>
    </row>
    <row r="14">
      <c r="A14" s="27" t="inlineStr">
        <is>
          <t>FY2024</t>
        </is>
      </c>
      <c r="B14" s="8" t="inlineStr">
        <is>
          <t>2024-12-31</t>
        </is>
      </c>
      <c r="C14" s="8" t="inlineStr">
        <is>
          <t>990</t>
        </is>
      </c>
      <c r="D14" s="8" t="inlineStr">
        <is>
          <t>high</t>
        </is>
      </c>
      <c r="E14" s="8" t="inlineStr">
        <is>
          <t>f67a03b2-9ba0-48c8-ae82-b5b090c6689f</t>
        </is>
      </c>
      <c r="F14" s="8" t="inlineStr">
        <is>
          <t>202533119349304403</t>
        </is>
      </c>
      <c r="G14" s="8" t="inlineStr">
        <is>
          <t>claude-opus-5</t>
        </is>
      </c>
      <c r="H14" s="8" t="inlineStr">
        <is>
          <t>2026-09-21T02:50:02+00:00</t>
        </is>
      </c>
      <c r="I14" s="8" t="inlineStr">
        <is>
          <t>https://apps.irs.gov/pub/epostcard/990/xml/2025/2025_TEOS_XML_11B.zip#202533119349304403_public.xml</t>
        </is>
      </c>
    </row>
    <row r="15">
      <c r="A15" s="27" t="inlineStr">
        <is>
          <t>FY2025</t>
        </is>
      </c>
      <c r="B15" s="8" t="inlineStr">
        <is>
          <t>2025-12-31</t>
        </is>
      </c>
      <c r="C15" s="8" t="inlineStr">
        <is>
          <t>990</t>
        </is>
      </c>
      <c r="D15" s="8" t="inlineStr">
        <is>
          <t>high</t>
        </is>
      </c>
      <c r="E15" s="8" t="inlineStr">
        <is>
          <t>a800f243-2610-4774-aae5-d5a568c0ec43</t>
        </is>
      </c>
      <c r="F15" s="8" t="inlineStr">
        <is>
          <t>202642239349302124</t>
        </is>
      </c>
      <c r="G15" s="8" t="inlineStr">
        <is>
          <t>claude-opus-5</t>
        </is>
      </c>
      <c r="H15" s="8" t="inlineStr">
        <is>
          <t>2026-09-21T02:50:02+00:00</t>
        </is>
      </c>
      <c r="I15" s="8" t="inlineStr">
        <is>
          <t>https://apps.irs.gov/pub/epostcard/990/xml/2026/2026_TEOS_XML_08A.zip#202642239349302124_public.xml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161255</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145896</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171206</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185037</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186022</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196879</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1</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1</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1</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69</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50</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-3355</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0</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53172</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55764</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5021</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5086</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13300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19200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0</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26400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17629</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8788</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42480</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18179</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21328</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0</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0</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3433</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3607</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5093</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5623</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7172</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12219</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1311</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952</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728</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24</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650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6157</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1069</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1046</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49796</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48071</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46799</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45583</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44127</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42959</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37261</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37758</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39503</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39055</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40679</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39055</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6981</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10757</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7226</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7566</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3346</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10141</v>
      </c>
    </row>
    <row r="229">
      <c r="A229" s="8" t="inlineStr">
        <is>
          <t>Operating expenses (detail)</t>
        </is>
      </c>
      <c r="B229" s="8" t="inlineStr">
        <is>
          <t>B48</t>
        </is>
      </c>
      <c r="C229" s="8" t="inlineStr">
        <is>
          <t>24e. All other expenses</t>
        </is>
      </c>
      <c r="D229" s="8" t="inlineStr">
        <is>
          <t>24e</t>
        </is>
      </c>
      <c r="E229" s="8" t="inlineStr">
        <is>
          <t>part_ix_expenses.all_other_expenses</t>
        </is>
      </c>
      <c r="F229" s="8" t="inlineStr">
        <is>
          <t>high</t>
        </is>
      </c>
      <c r="G229" s="9" t="n">
        <v>1585</v>
      </c>
    </row>
    <row r="230">
      <c r="A230" s="8" t="inlineStr">
        <is>
          <t>Operating expenses (detail)</t>
        </is>
      </c>
      <c r="B230" s="8" t="inlineStr">
        <is>
          <t>C48</t>
        </is>
      </c>
      <c r="C230" s="8" t="inlineStr">
        <is>
          <t>24e. All other expenses</t>
        </is>
      </c>
      <c r="D230" s="8" t="inlineStr">
        <is>
          <t>24e</t>
        </is>
      </c>
      <c r="E230" s="8" t="inlineStr">
        <is>
          <t>part_ix_expenses.all_other_expenses</t>
        </is>
      </c>
      <c r="F230" s="8" t="inlineStr">
        <is>
          <t>high</t>
        </is>
      </c>
      <c r="G230" s="9" t="n">
        <v>0</v>
      </c>
    </row>
    <row r="231">
      <c r="A231" s="8" t="inlineStr">
        <is>
          <t>Operating expenses (detail)</t>
        </is>
      </c>
      <c r="B231" s="8" t="inlineStr">
        <is>
          <t>D48</t>
        </is>
      </c>
      <c r="C231" s="8" t="inlineStr">
        <is>
          <t>24e. All other expenses</t>
        </is>
      </c>
      <c r="D231" s="8" t="inlineStr">
        <is>
          <t>24e</t>
        </is>
      </c>
      <c r="E231" s="8" t="inlineStr">
        <is>
          <t>part_ix_expenses.all_other_expenses</t>
        </is>
      </c>
      <c r="F231" s="8" t="inlineStr">
        <is>
          <t>high</t>
        </is>
      </c>
      <c r="G231" s="9" t="n">
        <v>0</v>
      </c>
    </row>
    <row r="232">
      <c r="A232" s="8" t="inlineStr">
        <is>
          <t>Operating expenses (detail)</t>
        </is>
      </c>
      <c r="B232" s="8" t="inlineStr">
        <is>
          <t>E48</t>
        </is>
      </c>
      <c r="C232" s="8" t="inlineStr">
        <is>
          <t>24e. All other expenses</t>
        </is>
      </c>
      <c r="D232" s="8" t="inlineStr">
        <is>
          <t>24e</t>
        </is>
      </c>
      <c r="E232" s="8" t="inlineStr">
        <is>
          <t>part_ix_expenses.all_other_expenses</t>
        </is>
      </c>
      <c r="F232" s="8" t="inlineStr">
        <is>
          <t>high</t>
        </is>
      </c>
      <c r="G232" s="9" t="n">
        <v>0</v>
      </c>
    </row>
    <row r="233">
      <c r="A233" s="8" t="inlineStr">
        <is>
          <t>Operating expenses (detail)</t>
        </is>
      </c>
      <c r="B233" s="8" t="inlineStr">
        <is>
          <t>F48</t>
        </is>
      </c>
      <c r="C233" s="8" t="inlineStr">
        <is>
          <t>24e. All other expenses</t>
        </is>
      </c>
      <c r="D233" s="8" t="inlineStr">
        <is>
          <t>24e</t>
        </is>
      </c>
      <c r="E233" s="8" t="inlineStr">
        <is>
          <t>part_ix_expenses.all_other_expenses</t>
        </is>
      </c>
      <c r="F233" s="8" t="inlineStr">
        <is>
          <t>high</t>
        </is>
      </c>
      <c r="G233" s="9" t="n">
        <v>0</v>
      </c>
    </row>
    <row r="234">
      <c r="A234" s="8" t="inlineStr">
        <is>
          <t>Operating expenses (detail)</t>
        </is>
      </c>
      <c r="B234" s="8" t="inlineStr">
        <is>
          <t>G48</t>
        </is>
      </c>
      <c r="C234" s="8" t="inlineStr">
        <is>
          <t>24e. All other expenses</t>
        </is>
      </c>
      <c r="D234" s="8" t="inlineStr">
        <is>
          <t>24e</t>
        </is>
      </c>
      <c r="E234" s="8" t="inlineStr">
        <is>
          <t>part_ix_expenses.all_other_expenses</t>
        </is>
      </c>
      <c r="F234" s="8" t="inlineStr">
        <is>
          <t>high</t>
        </is>
      </c>
      <c r="G234" s="9" t="n">
        <v>1027</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149031</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138059</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156195</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168963</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146304</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103556</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120219</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133742</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104084</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108468</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93124</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93482</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18555</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4471</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7578</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4997</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14216</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14542</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5782</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1392</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1392</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1392</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1392</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465</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875630</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852448</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838158</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799103</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758424</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720798</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1171</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1171</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1171</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1171</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1170</v>
      </c>
    </row>
    <row r="325">
      <c r="A325" s="8" t="inlineStr">
        <is>
          <t>Balance sheet (detail)</t>
        </is>
      </c>
      <c r="B325" s="8" t="inlineStr">
        <is>
          <t>B25</t>
        </is>
      </c>
      <c r="C325" s="8" t="inlineStr">
        <is>
          <t>17. Accounts payable and accrued expenses</t>
        </is>
      </c>
      <c r="D325" s="8" t="inlineStr">
        <is>
          <t>17E</t>
        </is>
      </c>
      <c r="E325" s="8" t="inlineStr">
        <is>
          <t>part_x_balance_sheet.accounts_payable_eoy</t>
        </is>
      </c>
      <c r="F325" s="8" t="inlineStr">
        <is>
          <t>high</t>
        </is>
      </c>
      <c r="G325" s="9" t="n">
        <v>10506</v>
      </c>
    </row>
    <row r="326">
      <c r="A326" s="8" t="inlineStr">
        <is>
          <t>Balance sheet (detail)</t>
        </is>
      </c>
      <c r="B326" s="8" t="inlineStr">
        <is>
          <t>C25</t>
        </is>
      </c>
      <c r="C326" s="8" t="inlineStr">
        <is>
          <t>17. Accounts payable and accrued expenses</t>
        </is>
      </c>
      <c r="D326" s="8" t="inlineStr">
        <is>
          <t>17E</t>
        </is>
      </c>
      <c r="E326" s="8" t="inlineStr">
        <is>
          <t>part_x_balance_sheet.accounts_payable_eoy</t>
        </is>
      </c>
      <c r="F326" s="8" t="inlineStr">
        <is>
          <t>high</t>
        </is>
      </c>
      <c r="G326" s="9" t="n">
        <v>8946</v>
      </c>
    </row>
    <row r="327">
      <c r="A327" s="8" t="inlineStr">
        <is>
          <t>Balance sheet (detail)</t>
        </is>
      </c>
      <c r="B327" s="8" t="inlineStr">
        <is>
          <t>D25</t>
        </is>
      </c>
      <c r="C327" s="8" t="inlineStr">
        <is>
          <t>17. Accounts payable and accrued expenses</t>
        </is>
      </c>
      <c r="D327" s="8" t="inlineStr">
        <is>
          <t>17E</t>
        </is>
      </c>
      <c r="E327" s="8" t="inlineStr">
        <is>
          <t>part_x_balance_sheet.accounts_payable_eoy</t>
        </is>
      </c>
      <c r="F327" s="8" t="inlineStr">
        <is>
          <t>high</t>
        </is>
      </c>
      <c r="G327" s="9" t="n">
        <v>8708</v>
      </c>
    </row>
    <row r="328">
      <c r="A328" s="8" t="inlineStr">
        <is>
          <t>Balance sheet (detail)</t>
        </is>
      </c>
      <c r="B328" s="8" t="inlineStr">
        <is>
          <t>E25</t>
        </is>
      </c>
      <c r="C328" s="8" t="inlineStr">
        <is>
          <t>17. Accounts payable and accrued expenses</t>
        </is>
      </c>
      <c r="D328" s="8" t="inlineStr">
        <is>
          <t>17E</t>
        </is>
      </c>
      <c r="E328" s="8" t="inlineStr">
        <is>
          <t>part_x_balance_sheet.accounts_payable_eoy</t>
        </is>
      </c>
      <c r="F328" s="8" t="inlineStr">
        <is>
          <t>high</t>
        </is>
      </c>
      <c r="G328" s="9" t="n">
        <v>11462</v>
      </c>
    </row>
    <row r="329">
      <c r="A329" s="8" t="inlineStr">
        <is>
          <t>Balance sheet (detail)</t>
        </is>
      </c>
      <c r="B329" s="8" t="inlineStr">
        <is>
          <t>F25</t>
        </is>
      </c>
      <c r="C329" s="8" t="inlineStr">
        <is>
          <t>17. Accounts payable and accrued expenses</t>
        </is>
      </c>
      <c r="D329" s="8" t="inlineStr">
        <is>
          <t>17E</t>
        </is>
      </c>
      <c r="E329" s="8" t="inlineStr">
        <is>
          <t>part_x_balance_sheet.accounts_payable_eoy</t>
        </is>
      </c>
      <c r="F329" s="8" t="inlineStr">
        <is>
          <t>high</t>
        </is>
      </c>
      <c r="G329" s="9" t="n">
        <v>16917</v>
      </c>
    </row>
    <row r="330">
      <c r="A330" s="8" t="inlineStr">
        <is>
          <t>Balance sheet (detail)</t>
        </is>
      </c>
      <c r="B330" s="8" t="inlineStr">
        <is>
          <t>G25</t>
        </is>
      </c>
      <c r="C330" s="8" t="inlineStr">
        <is>
          <t>17. Accounts payable and accrued expenses</t>
        </is>
      </c>
      <c r="D330" s="8" t="inlineStr">
        <is>
          <t>17E</t>
        </is>
      </c>
      <c r="E330" s="8" t="inlineStr">
        <is>
          <t>part_x_balance_sheet.accounts_payable_eoy</t>
        </is>
      </c>
      <c r="F330" s="8" t="inlineStr">
        <is>
          <t>high</t>
        </is>
      </c>
      <c r="G330" s="9" t="n">
        <v>8926</v>
      </c>
    </row>
    <row r="331">
      <c r="A331" s="8" t="inlineStr">
        <is>
          <t>Balance sheet (detail)</t>
        </is>
      </c>
      <c r="B331" s="8" t="inlineStr">
        <is>
          <t>D26</t>
        </is>
      </c>
      <c r="C331" s="8" t="inlineStr">
        <is>
          <t>19. Deferred revenue</t>
        </is>
      </c>
      <c r="D331" s="8" t="inlineStr">
        <is>
          <t>19E</t>
        </is>
      </c>
      <c r="E331" s="8" t="inlineStr">
        <is>
          <t>part_x_balance_sheet.deferred_revenue_eoy</t>
        </is>
      </c>
      <c r="F331" s="8" t="inlineStr">
        <is>
          <t>high</t>
        </is>
      </c>
      <c r="G331" s="9" t="n">
        <v>4696</v>
      </c>
    </row>
    <row r="332">
      <c r="A332" s="8" t="inlineStr">
        <is>
          <t>Balance sheet (detail)</t>
        </is>
      </c>
      <c r="B332" s="8" t="inlineStr">
        <is>
          <t>E26</t>
        </is>
      </c>
      <c r="C332" s="8" t="inlineStr">
        <is>
          <t>19. Deferred revenue</t>
        </is>
      </c>
      <c r="D332" s="8" t="inlineStr">
        <is>
          <t>19E</t>
        </is>
      </c>
      <c r="E332" s="8" t="inlineStr">
        <is>
          <t>part_x_balance_sheet.deferred_revenue_eoy</t>
        </is>
      </c>
      <c r="F332" s="8" t="inlineStr">
        <is>
          <t>high</t>
        </is>
      </c>
      <c r="G332" s="9" t="n">
        <v>4690</v>
      </c>
    </row>
    <row r="333">
      <c r="A333" s="8" t="inlineStr">
        <is>
          <t>Balance sheet (detail)</t>
        </is>
      </c>
      <c r="B333" s="8" t="inlineStr">
        <is>
          <t>F26</t>
        </is>
      </c>
      <c r="C333" s="8" t="inlineStr">
        <is>
          <t>19. Deferred revenue</t>
        </is>
      </c>
      <c r="D333" s="8" t="inlineStr">
        <is>
          <t>19E</t>
        </is>
      </c>
      <c r="E333" s="8" t="inlineStr">
        <is>
          <t>part_x_balance_sheet.deferred_revenue_eoy</t>
        </is>
      </c>
      <c r="F333" s="8" t="inlineStr">
        <is>
          <t>high</t>
        </is>
      </c>
      <c r="G333" s="9" t="n">
        <v>4282</v>
      </c>
    </row>
    <row r="334">
      <c r="A334" s="8" t="inlineStr">
        <is>
          <t>Balance sheet (detail)</t>
        </is>
      </c>
      <c r="B334" s="8" t="inlineStr">
        <is>
          <t>G26</t>
        </is>
      </c>
      <c r="C334" s="8" t="inlineStr">
        <is>
          <t>19. Deferred revenue</t>
        </is>
      </c>
      <c r="D334" s="8" t="inlineStr">
        <is>
          <t>19E</t>
        </is>
      </c>
      <c r="E334" s="8" t="inlineStr">
        <is>
          <t>part_x_balance_sheet.deferred_revenue_eoy</t>
        </is>
      </c>
      <c r="F334" s="8" t="inlineStr">
        <is>
          <t>high</t>
        </is>
      </c>
      <c r="G334" s="9" t="n">
        <v>5477</v>
      </c>
    </row>
    <row r="335">
      <c r="A335" s="8" t="inlineStr">
        <is>
          <t>Balance sheet (detail)</t>
        </is>
      </c>
      <c r="B335" s="8" t="inlineStr">
        <is>
          <t>B27</t>
        </is>
      </c>
      <c r="C335" s="8" t="inlineStr">
        <is>
          <t>23. Secured mortgages and notes payable</t>
        </is>
      </c>
      <c r="D335" s="8" t="inlineStr">
        <is>
          <t>23E</t>
        </is>
      </c>
      <c r="E335" s="8" t="inlineStr">
        <is>
          <t>part_x_balance_sheet.mortgages_secured_notes_eoy</t>
        </is>
      </c>
      <c r="F335" s="8" t="inlineStr">
        <is>
          <t>high</t>
        </is>
      </c>
      <c r="G335" s="9" t="n">
        <v>1103964</v>
      </c>
    </row>
    <row r="336">
      <c r="A336" s="8" t="inlineStr">
        <is>
          <t>Balance sheet (detail)</t>
        </is>
      </c>
      <c r="B336" s="8" t="inlineStr">
        <is>
          <t>C27</t>
        </is>
      </c>
      <c r="C336" s="8" t="inlineStr">
        <is>
          <t>23. Secured mortgages and notes payable</t>
        </is>
      </c>
      <c r="D336" s="8" t="inlineStr">
        <is>
          <t>23E</t>
        </is>
      </c>
      <c r="E336" s="8" t="inlineStr">
        <is>
          <t>part_x_balance_sheet.mortgages_secured_notes_eoy</t>
        </is>
      </c>
      <c r="F336" s="8" t="inlineStr">
        <is>
          <t>high</t>
        </is>
      </c>
      <c r="G336" s="9" t="n">
        <v>1075132</v>
      </c>
    </row>
    <row r="337">
      <c r="A337" s="8" t="inlineStr">
        <is>
          <t>Balance sheet (detail)</t>
        </is>
      </c>
      <c r="B337" s="8" t="inlineStr">
        <is>
          <t>D27</t>
        </is>
      </c>
      <c r="C337" s="8" t="inlineStr">
        <is>
          <t>23. Secured mortgages and notes payable</t>
        </is>
      </c>
      <c r="D337" s="8" t="inlineStr">
        <is>
          <t>23E</t>
        </is>
      </c>
      <c r="E337" s="8" t="inlineStr">
        <is>
          <t>part_x_balance_sheet.mortgages_secured_notes_eoy</t>
        </is>
      </c>
      <c r="F337" s="8" t="inlineStr">
        <is>
          <t>high</t>
        </is>
      </c>
      <c r="G337" s="9" t="n">
        <v>1045038</v>
      </c>
    </row>
    <row r="338">
      <c r="A338" s="8" t="inlineStr">
        <is>
          <t>Balance sheet (detail)</t>
        </is>
      </c>
      <c r="B338" s="8" t="inlineStr">
        <is>
          <t>E27</t>
        </is>
      </c>
      <c r="C338" s="8" t="inlineStr">
        <is>
          <t>23. Secured mortgages and notes payable</t>
        </is>
      </c>
      <c r="D338" s="8" t="inlineStr">
        <is>
          <t>23E</t>
        </is>
      </c>
      <c r="E338" s="8" t="inlineStr">
        <is>
          <t>part_x_balance_sheet.mortgages_secured_notes_eoy</t>
        </is>
      </c>
      <c r="F338" s="8" t="inlineStr">
        <is>
          <t>high</t>
        </is>
      </c>
      <c r="G338" s="9" t="n">
        <v>1013627</v>
      </c>
    </row>
    <row r="339">
      <c r="A339" s="8" t="inlineStr">
        <is>
          <t>Balance sheet (detail)</t>
        </is>
      </c>
      <c r="B339" s="8" t="inlineStr">
        <is>
          <t>F27</t>
        </is>
      </c>
      <c r="C339" s="8" t="inlineStr">
        <is>
          <t>23. Secured mortgages and notes payable</t>
        </is>
      </c>
      <c r="D339" s="8" t="inlineStr">
        <is>
          <t>23E</t>
        </is>
      </c>
      <c r="E339" s="8" t="inlineStr">
        <is>
          <t>part_x_balance_sheet.mortgages_secured_notes_eoy</t>
        </is>
      </c>
      <c r="F339" s="8" t="inlineStr">
        <is>
          <t>high</t>
        </is>
      </c>
      <c r="G339" s="9" t="n">
        <v>980841</v>
      </c>
    </row>
    <row r="340">
      <c r="A340" s="8" t="inlineStr">
        <is>
          <t>Balance sheet (detail)</t>
        </is>
      </c>
      <c r="B340" s="8" t="inlineStr">
        <is>
          <t>G27</t>
        </is>
      </c>
      <c r="C340" s="8" t="inlineStr">
        <is>
          <t>23. Secured mortgages and notes payable</t>
        </is>
      </c>
      <c r="D340" s="8" t="inlineStr">
        <is>
          <t>23E</t>
        </is>
      </c>
      <c r="E340" s="8" t="inlineStr">
        <is>
          <t>part_x_balance_sheet.mortgages_secured_notes_eoy</t>
        </is>
      </c>
      <c r="F340" s="8" t="inlineStr">
        <is>
          <t>high</t>
        </is>
      </c>
      <c r="G340" s="9" t="n">
        <v>946622</v>
      </c>
    </row>
    <row r="341">
      <c r="A341" s="8" t="inlineStr">
        <is>
          <t>Balance sheet (detail)</t>
        </is>
      </c>
      <c r="B341" s="8" t="inlineStr">
        <is>
          <t>E28</t>
        </is>
      </c>
      <c r="C341" s="8" t="inlineStr">
        <is>
          <t>25. Other liabilities</t>
        </is>
      </c>
      <c r="D341" s="8" t="inlineStr">
        <is>
          <t>25E</t>
        </is>
      </c>
      <c r="E341" s="8" t="inlineStr">
        <is>
          <t>part_x_balance_sheet.other_liabilities_eoy</t>
        </is>
      </c>
      <c r="F341" s="8" t="inlineStr">
        <is>
          <t>high</t>
        </is>
      </c>
      <c r="G341" s="9" t="n">
        <v>1</v>
      </c>
    </row>
    <row r="342">
      <c r="A342" s="8" t="inlineStr">
        <is>
          <t>Balance sheet (detail)</t>
        </is>
      </c>
      <c r="B342" s="8" t="inlineStr">
        <is>
          <t>B32</t>
        </is>
      </c>
      <c r="C342" s="8" t="inlineStr">
        <is>
          <t>27. Net assets without donor restrictions</t>
        </is>
      </c>
      <c r="D342" s="8" t="inlineStr">
        <is>
          <t>27E</t>
        </is>
      </c>
      <c r="E342" s="8" t="inlineStr">
        <is>
          <t>part_x_balance_sheet.net_assets_no_donor_restriction_eoy</t>
        </is>
      </c>
      <c r="F342" s="8" t="inlineStr">
        <is>
          <t>high</t>
        </is>
      </c>
      <c r="G342" s="9" t="n">
        <v>54747</v>
      </c>
    </row>
    <row r="343">
      <c r="A343" s="8" t="inlineStr">
        <is>
          <t>Balance sheet (detail)</t>
        </is>
      </c>
      <c r="B343" s="8" t="inlineStr">
        <is>
          <t>C32</t>
        </is>
      </c>
      <c r="C343" s="8" t="inlineStr">
        <is>
          <t>27. Net assets without donor restrictions</t>
        </is>
      </c>
      <c r="D343" s="8" t="inlineStr">
        <is>
          <t>27E</t>
        </is>
      </c>
      <c r="E343" s="8" t="inlineStr">
        <is>
          <t>part_x_balance_sheet.net_assets_no_donor_restriction_eoy</t>
        </is>
      </c>
      <c r="F343" s="8" t="inlineStr">
        <is>
          <t>high</t>
        </is>
      </c>
      <c r="G343" s="9" t="n">
        <v>47205</v>
      </c>
    </row>
    <row r="344">
      <c r="A344" s="8" t="inlineStr">
        <is>
          <t>Balance sheet (detail)</t>
        </is>
      </c>
      <c r="B344" s="8" t="inlineStr">
        <is>
          <t>D32</t>
        </is>
      </c>
      <c r="C344" s="8" t="inlineStr">
        <is>
          <t>27. Net assets without donor restrictions</t>
        </is>
      </c>
      <c r="D344" s="8" t="inlineStr">
        <is>
          <t>27E</t>
        </is>
      </c>
      <c r="E344" s="8" t="inlineStr">
        <is>
          <t>part_x_balance_sheet.net_assets_no_donor_restriction_eoy</t>
        </is>
      </c>
      <c r="F344" s="8" t="inlineStr">
        <is>
          <t>high</t>
        </is>
      </c>
      <c r="G344" s="9" t="n">
        <v>50136</v>
      </c>
    </row>
    <row r="345">
      <c r="A345" s="8" t="inlineStr">
        <is>
          <t>Balance sheet (detail)</t>
        </is>
      </c>
      <c r="B345" s="8" t="inlineStr">
        <is>
          <t>E32</t>
        </is>
      </c>
      <c r="C345" s="8" t="inlineStr">
        <is>
          <t>27. Net assets without donor restrictions</t>
        </is>
      </c>
      <c r="D345" s="8" t="inlineStr">
        <is>
          <t>27E</t>
        </is>
      </c>
      <c r="E345" s="8" t="inlineStr">
        <is>
          <t>part_x_balance_sheet.net_assets_no_donor_restriction_eoy</t>
        </is>
      </c>
      <c r="F345" s="8" t="inlineStr">
        <is>
          <t>high</t>
        </is>
      </c>
      <c r="G345" s="9" t="n">
        <v>54314</v>
      </c>
    </row>
    <row r="346">
      <c r="A346" s="8" t="inlineStr">
        <is>
          <t>Balance sheet (detail)</t>
        </is>
      </c>
      <c r="B346" s="8" t="inlineStr">
        <is>
          <t>F32</t>
        </is>
      </c>
      <c r="C346" s="8" t="inlineStr">
        <is>
          <t>27. Net assets without donor restrictions</t>
        </is>
      </c>
      <c r="D346" s="8" t="inlineStr">
        <is>
          <t>27E</t>
        </is>
      </c>
      <c r="E346" s="8" t="inlineStr">
        <is>
          <t>part_x_balance_sheet.net_assets_no_donor_restriction_eoy</t>
        </is>
      </c>
      <c r="F346" s="8" t="inlineStr">
        <is>
          <t>high</t>
        </is>
      </c>
      <c r="G346" s="9" t="n">
        <v>12591</v>
      </c>
    </row>
    <row r="347">
      <c r="A347" s="8" t="inlineStr">
        <is>
          <t>Balance sheet (detail)</t>
        </is>
      </c>
      <c r="B347" s="8" t="inlineStr">
        <is>
          <t>G32</t>
        </is>
      </c>
      <c r="C347" s="8" t="inlineStr">
        <is>
          <t>27. Net assets without donor restrictions</t>
        </is>
      </c>
      <c r="D347" s="8" t="inlineStr">
        <is>
          <t>27E</t>
        </is>
      </c>
      <c r="E347" s="8" t="inlineStr">
        <is>
          <t>part_x_balance_sheet.net_assets_no_donor_restriction_eoy</t>
        </is>
      </c>
      <c r="F347" s="8" t="inlineStr">
        <is>
          <t>high</t>
        </is>
      </c>
      <c r="G347" s="9" t="n">
        <v>-27012</v>
      </c>
    </row>
    <row r="348">
      <c r="A348" s="8" t="inlineStr">
        <is>
          <t>Net-assets reconciliation</t>
        </is>
      </c>
      <c r="B348" s="8" t="inlineStr">
        <is>
          <t>B7</t>
        </is>
      </c>
      <c r="C348" s="8" t="inlineStr">
        <is>
          <t>4. Net assets, beginning of year</t>
        </is>
      </c>
      <c r="D348" s="8" t="inlineStr">
        <is>
          <t>Part XI line 4</t>
        </is>
      </c>
      <c r="E348" s="8" t="inlineStr">
        <is>
          <t>part_xi_reconciliation.net_assets_boy</t>
        </is>
      </c>
      <c r="F348" s="8" t="inlineStr">
        <is>
          <t>high</t>
        </is>
      </c>
      <c r="G348" s="9" t="n">
        <v>52164</v>
      </c>
    </row>
    <row r="349">
      <c r="A349" s="8" t="inlineStr">
        <is>
          <t>Net-assets reconciliation</t>
        </is>
      </c>
      <c r="B349" s="8" t="inlineStr">
        <is>
          <t>C7</t>
        </is>
      </c>
      <c r="C349" s="8" t="inlineStr">
        <is>
          <t>4. Net assets, beginning of year</t>
        </is>
      </c>
      <c r="D349" s="8" t="inlineStr">
        <is>
          <t>Part XI line 4</t>
        </is>
      </c>
      <c r="E349" s="8" t="inlineStr">
        <is>
          <t>part_xi_reconciliation.net_assets_boy</t>
        </is>
      </c>
      <c r="F349" s="8" t="inlineStr">
        <is>
          <t>high</t>
        </is>
      </c>
      <c r="G349" s="9" t="n">
        <v>55398</v>
      </c>
    </row>
    <row r="350">
      <c r="A350" s="8" t="inlineStr">
        <is>
          <t>Net-assets reconciliation</t>
        </is>
      </c>
      <c r="B350" s="8" t="inlineStr">
        <is>
          <t>D7</t>
        </is>
      </c>
      <c r="C350" s="8" t="inlineStr">
        <is>
          <t>4. Net assets, beginning of year</t>
        </is>
      </c>
      <c r="D350" s="8" t="inlineStr">
        <is>
          <t>Part XI line 4</t>
        </is>
      </c>
      <c r="E350" s="8" t="inlineStr">
        <is>
          <t>part_xi_reconciliation.net_assets_boy</t>
        </is>
      </c>
      <c r="F350" s="8" t="inlineStr">
        <is>
          <t>high</t>
        </is>
      </c>
      <c r="G350" s="9" t="n">
        <v>47205</v>
      </c>
    </row>
    <row r="351">
      <c r="A351" s="8" t="inlineStr">
        <is>
          <t>Net-assets reconciliation</t>
        </is>
      </c>
      <c r="B351" s="8" t="inlineStr">
        <is>
          <t>E7</t>
        </is>
      </c>
      <c r="C351" s="8" t="inlineStr">
        <is>
          <t>4. Net assets, beginning of year</t>
        </is>
      </c>
      <c r="D351" s="8" t="inlineStr">
        <is>
          <t>Part XI line 4</t>
        </is>
      </c>
      <c r="E351" s="8" t="inlineStr">
        <is>
          <t>part_xi_reconciliation.net_assets_boy</t>
        </is>
      </c>
      <c r="F351" s="8" t="inlineStr">
        <is>
          <t>high</t>
        </is>
      </c>
      <c r="G351" s="9" t="n">
        <v>50136</v>
      </c>
    </row>
    <row r="352">
      <c r="A352" s="8" t="inlineStr">
        <is>
          <t>Net-assets reconciliation</t>
        </is>
      </c>
      <c r="B352" s="8" t="inlineStr">
        <is>
          <t>F7</t>
        </is>
      </c>
      <c r="C352" s="8" t="inlineStr">
        <is>
          <t>4. Net assets, beginning of year</t>
        </is>
      </c>
      <c r="D352" s="8" t="inlineStr">
        <is>
          <t>Part XI line 4</t>
        </is>
      </c>
      <c r="E352" s="8" t="inlineStr">
        <is>
          <t>part_xi_reconciliation.net_assets_boy</t>
        </is>
      </c>
      <c r="F352" s="8" t="inlineStr">
        <is>
          <t>high</t>
        </is>
      </c>
      <c r="G352" s="9" t="n">
        <v>54314</v>
      </c>
    </row>
    <row r="353">
      <c r="A353" s="8" t="inlineStr">
        <is>
          <t>Net-assets reconciliation</t>
        </is>
      </c>
      <c r="B353" s="8" t="inlineStr">
        <is>
          <t>G7</t>
        </is>
      </c>
      <c r="C353" s="8" t="inlineStr">
        <is>
          <t>4. Net assets, beginning of year</t>
        </is>
      </c>
      <c r="D353" s="8" t="inlineStr">
        <is>
          <t>Part XI line 4</t>
        </is>
      </c>
      <c r="E353" s="8" t="inlineStr">
        <is>
          <t>part_xi_reconciliation.net_assets_boy</t>
        </is>
      </c>
      <c r="F353" s="8" t="inlineStr">
        <is>
          <t>high</t>
        </is>
      </c>
      <c r="G353" s="9" t="n">
        <v>12591</v>
      </c>
    </row>
    <row r="354">
      <c r="A354" s="8" t="inlineStr">
        <is>
          <t>Net-assets reconciliation</t>
        </is>
      </c>
      <c r="B354" s="8" t="inlineStr">
        <is>
          <t>B8</t>
        </is>
      </c>
      <c r="C354" s="8" t="inlineStr">
        <is>
          <t>3. Revenue less expenses</t>
        </is>
      </c>
      <c r="D354" s="8" t="inlineStr">
        <is>
          <t>Part XI line 3</t>
        </is>
      </c>
      <c r="E354" s="8" t="inlineStr">
        <is>
          <t>part_xi_reconciliation.reconciliation_revenue_expenses</t>
        </is>
      </c>
      <c r="F354" s="8" t="inlineStr">
        <is>
          <t>high</t>
        </is>
      </c>
      <c r="G354" s="9" t="n">
        <v>2583</v>
      </c>
    </row>
    <row r="355">
      <c r="A355" s="8" t="inlineStr">
        <is>
          <t>Net-assets reconciliation</t>
        </is>
      </c>
      <c r="B355" s="8" t="inlineStr">
        <is>
          <t>C8</t>
        </is>
      </c>
      <c r="C355" s="8" t="inlineStr">
        <is>
          <t>3. Revenue less expenses</t>
        </is>
      </c>
      <c r="D355" s="8" t="inlineStr">
        <is>
          <t>Part XI line 3</t>
        </is>
      </c>
      <c r="E355" s="8" t="inlineStr">
        <is>
          <t>part_xi_reconciliation.reconciliation_revenue_expenses</t>
        </is>
      </c>
      <c r="F355" s="8" t="inlineStr">
        <is>
          <t>high</t>
        </is>
      </c>
      <c r="G355" s="9" t="n">
        <v>-8193</v>
      </c>
    </row>
    <row r="356">
      <c r="A356" s="8" t="inlineStr">
        <is>
          <t>Net-assets reconciliation</t>
        </is>
      </c>
      <c r="B356" s="8" t="inlineStr">
        <is>
          <t>D8</t>
        </is>
      </c>
      <c r="C356" s="8" t="inlineStr">
        <is>
          <t>3. Revenue less expenses</t>
        </is>
      </c>
      <c r="D356" s="8" t="inlineStr">
        <is>
          <t>Part XI line 3</t>
        </is>
      </c>
      <c r="E356" s="8" t="inlineStr">
        <is>
          <t>part_xi_reconciliation.reconciliation_revenue_expenses</t>
        </is>
      </c>
      <c r="F356" s="8" t="inlineStr">
        <is>
          <t>high</t>
        </is>
      </c>
      <c r="G356" s="9" t="n">
        <v>2931</v>
      </c>
    </row>
    <row r="357">
      <c r="A357" s="8" t="inlineStr">
        <is>
          <t>Net-assets reconciliation</t>
        </is>
      </c>
      <c r="B357" s="8" t="inlineStr">
        <is>
          <t>E8</t>
        </is>
      </c>
      <c r="C357" s="8" t="inlineStr">
        <is>
          <t>3. Revenue less expenses</t>
        </is>
      </c>
      <c r="D357" s="8" t="inlineStr">
        <is>
          <t>Part XI line 3</t>
        </is>
      </c>
      <c r="E357" s="8" t="inlineStr">
        <is>
          <t>part_xi_reconciliation.reconciliation_revenue_expenses</t>
        </is>
      </c>
      <c r="F357" s="8" t="inlineStr">
        <is>
          <t>high</t>
        </is>
      </c>
      <c r="G357" s="9" t="n">
        <v>4178</v>
      </c>
    </row>
    <row r="358">
      <c r="A358" s="8" t="inlineStr">
        <is>
          <t>Net-assets reconciliation</t>
        </is>
      </c>
      <c r="B358" s="8" t="inlineStr">
        <is>
          <t>F8</t>
        </is>
      </c>
      <c r="C358" s="8" t="inlineStr">
        <is>
          <t>3. Revenue less expenses</t>
        </is>
      </c>
      <c r="D358" s="8" t="inlineStr">
        <is>
          <t>Part XI line 3</t>
        </is>
      </c>
      <c r="E358" s="8" t="inlineStr">
        <is>
          <t>part_xi_reconciliation.reconciliation_revenue_expenses</t>
        </is>
      </c>
      <c r="F358" s="8" t="inlineStr">
        <is>
          <t>high</t>
        </is>
      </c>
      <c r="G358" s="9" t="n">
        <v>-41723</v>
      </c>
    </row>
    <row r="359">
      <c r="A359" s="8" t="inlineStr">
        <is>
          <t>Net-assets reconciliation</t>
        </is>
      </c>
      <c r="B359" s="8" t="inlineStr">
        <is>
          <t>G8</t>
        </is>
      </c>
      <c r="C359" s="8" t="inlineStr">
        <is>
          <t>3. Revenue less expenses</t>
        </is>
      </c>
      <c r="D359" s="8" t="inlineStr">
        <is>
          <t>Part XI line 3</t>
        </is>
      </c>
      <c r="E359" s="8" t="inlineStr">
        <is>
          <t>part_xi_reconciliation.reconciliation_revenue_expenses</t>
        </is>
      </c>
      <c r="F359" s="8" t="inlineStr">
        <is>
          <t>high</t>
        </is>
      </c>
      <c r="G359" s="9" t="n">
        <v>-39603</v>
      </c>
    </row>
    <row r="361">
      <c r="A361" s="30" t="inlineStr">
        <is>
          <t>C. Tie-out checks (filed vs computed; any nonzero variance is flagged red)</t>
        </is>
      </c>
      <c r="B361" s="7" t="n"/>
      <c r="C361" s="7" t="n"/>
      <c r="D361" s="7" t="n"/>
      <c r="E361" s="7" t="n"/>
      <c r="F361" s="7" t="n"/>
      <c r="G361" s="7" t="n"/>
      <c r="H361" s="7" t="n"/>
      <c r="I361" s="7" t="n"/>
      <c r="J361" s="7" t="n"/>
      <c r="K361" s="7" t="n"/>
    </row>
    <row r="362">
      <c r="A362" s="5" t="inlineStr">
        <is>
          <t>Tab</t>
        </is>
      </c>
      <c r="B362" s="5" t="inlineStr">
        <is>
          <t>Check</t>
        </is>
      </c>
      <c r="C362" s="5" t="inlineStr">
        <is>
          <t>Fiscal year</t>
        </is>
      </c>
      <c r="D362" s="5" t="inlineStr">
        <is>
          <t>Filed</t>
        </is>
      </c>
      <c r="E362" s="5" t="inlineStr">
        <is>
          <t>Computed</t>
        </is>
      </c>
      <c r="F362" s="5" t="inlineStr">
        <is>
          <t>Variance (computed - filed)</t>
        </is>
      </c>
    </row>
    <row r="363">
      <c r="A363" s="18" t="inlineStr">
        <is>
          <t>Revenue (detail)</t>
        </is>
      </c>
      <c r="B363" s="18" t="inlineStr">
        <is>
          <t>12. Total revenue</t>
        </is>
      </c>
      <c r="C363" s="18" t="inlineStr">
        <is>
          <t>FY2020</t>
        </is>
      </c>
      <c r="D363" s="9" t="n">
        <v>161256</v>
      </c>
      <c r="E363" s="9">
        <f>'Revenue (detail)'!B13</f>
        <v/>
      </c>
      <c r="F363" s="9">
        <f>E363-D363</f>
        <v/>
      </c>
    </row>
    <row r="364">
      <c r="A364" s="18" t="inlineStr">
        <is>
          <t>Revenue (detail)</t>
        </is>
      </c>
      <c r="B364" s="18" t="inlineStr">
        <is>
          <t>12. Total revenue</t>
        </is>
      </c>
      <c r="C364" s="18" t="inlineStr">
        <is>
          <t>FY2021</t>
        </is>
      </c>
      <c r="D364" s="9" t="n">
        <v>145897</v>
      </c>
      <c r="E364" s="9">
        <f>'Revenue (detail)'!C13</f>
        <v/>
      </c>
      <c r="F364" s="9">
        <f>E364-D364</f>
        <v/>
      </c>
    </row>
    <row r="365">
      <c r="A365" s="18" t="inlineStr">
        <is>
          <t>Revenue (detail)</t>
        </is>
      </c>
      <c r="B365" s="18" t="inlineStr">
        <is>
          <t>12. Total revenue</t>
        </is>
      </c>
      <c r="C365" s="18" t="inlineStr">
        <is>
          <t>FY2022</t>
        </is>
      </c>
      <c r="D365" s="9" t="n">
        <v>167852</v>
      </c>
      <c r="E365" s="9">
        <f>'Revenue (detail)'!D13</f>
        <v/>
      </c>
      <c r="F365" s="9">
        <f>E365-D365</f>
        <v/>
      </c>
    </row>
    <row r="366">
      <c r="A366" s="18" t="inlineStr">
        <is>
          <t>Revenue (detail)</t>
        </is>
      </c>
      <c r="B366" s="18" t="inlineStr">
        <is>
          <t>12. Total revenue</t>
        </is>
      </c>
      <c r="C366" s="18" t="inlineStr">
        <is>
          <t>FY2023</t>
        </is>
      </c>
      <c r="D366" s="9" t="n">
        <v>185106</v>
      </c>
      <c r="E366" s="9">
        <f>'Revenue (detail)'!E13</f>
        <v/>
      </c>
      <c r="F366" s="9">
        <f>E366-D366</f>
        <v/>
      </c>
    </row>
    <row r="367">
      <c r="A367" s="18" t="inlineStr">
        <is>
          <t>Revenue (detail)</t>
        </is>
      </c>
      <c r="B367" s="18" t="inlineStr">
        <is>
          <t>12. Total revenue</t>
        </is>
      </c>
      <c r="C367" s="18" t="inlineStr">
        <is>
          <t>FY2024</t>
        </is>
      </c>
      <c r="D367" s="9" t="n">
        <v>186072</v>
      </c>
      <c r="E367" s="9">
        <f>'Revenue (detail)'!F13</f>
        <v/>
      </c>
      <c r="F367" s="9">
        <f>E367-D367</f>
        <v/>
      </c>
    </row>
    <row r="368">
      <c r="A368" s="18" t="inlineStr">
        <is>
          <t>Revenue (detail)</t>
        </is>
      </c>
      <c r="B368" s="18" t="inlineStr">
        <is>
          <t>12. Total revenue</t>
        </is>
      </c>
      <c r="C368" s="18" t="inlineStr">
        <is>
          <t>FY2025</t>
        </is>
      </c>
      <c r="D368" s="9" t="n">
        <v>196879</v>
      </c>
      <c r="E368" s="9">
        <f>'Revenue (detail)'!G13</f>
        <v/>
      </c>
      <c r="F368" s="9">
        <f>E368-D368</f>
        <v/>
      </c>
    </row>
    <row r="369">
      <c r="A369" s="18" t="inlineStr">
        <is>
          <t>Revenue (detail)</t>
        </is>
      </c>
      <c r="B369" s="18" t="inlineStr">
        <is>
          <t>2g program service revenue = sum of lines 2a-2f (FY2025)</t>
        </is>
      </c>
      <c r="C369" s="18" t="inlineStr">
        <is>
          <t>FY2025</t>
        </is>
      </c>
      <c r="D369" s="9" t="n">
        <v>196879</v>
      </c>
      <c r="E369" s="9">
        <f>SUM('Revenue (detail)'!C17:C17)</f>
        <v/>
      </c>
      <c r="F369" s="9">
        <f>E369-D369</f>
        <v/>
      </c>
    </row>
    <row r="370">
      <c r="A370" s="18" t="inlineStr">
        <is>
          <t>Operating expenses (detail)</t>
        </is>
      </c>
      <c r="B370" s="18" t="inlineStr">
        <is>
          <t>25. Total functional expenses</t>
        </is>
      </c>
      <c r="C370" s="18" t="inlineStr">
        <is>
          <t>FY2020</t>
        </is>
      </c>
      <c r="D370" s="9" t="n">
        <v>158673</v>
      </c>
      <c r="E370" s="9">
        <f>'Operating expenses (detail)'!B49</f>
        <v/>
      </c>
      <c r="F370" s="9">
        <f>E370-D370</f>
        <v/>
      </c>
    </row>
    <row r="371">
      <c r="A371" s="18" t="inlineStr">
        <is>
          <t>Operating expenses (detail)</t>
        </is>
      </c>
      <c r="B371" s="18" t="inlineStr">
        <is>
          <t>25. Total functional expenses</t>
        </is>
      </c>
      <c r="C371" s="18" t="inlineStr">
        <is>
          <t>FY2021</t>
        </is>
      </c>
      <c r="D371" s="9" t="n">
        <v>154090</v>
      </c>
      <c r="E371" s="9">
        <f>'Operating expenses (detail)'!C49</f>
        <v/>
      </c>
      <c r="F371" s="9">
        <f>E371-D371</f>
        <v/>
      </c>
    </row>
    <row r="372">
      <c r="A372" s="18" t="inlineStr">
        <is>
          <t>Operating expenses (detail)</t>
        </is>
      </c>
      <c r="B372" s="18" t="inlineStr">
        <is>
          <t>25. Total functional expenses</t>
        </is>
      </c>
      <c r="C372" s="18" t="inlineStr">
        <is>
          <t>FY2022</t>
        </is>
      </c>
      <c r="D372" s="9" t="n">
        <v>164921</v>
      </c>
      <c r="E372" s="9">
        <f>'Operating expenses (detail)'!D49</f>
        <v/>
      </c>
      <c r="F372" s="9">
        <f>E372-D372</f>
        <v/>
      </c>
    </row>
    <row r="373">
      <c r="A373" s="18" t="inlineStr">
        <is>
          <t>Operating expenses (detail)</t>
        </is>
      </c>
      <c r="B373" s="18" t="inlineStr">
        <is>
          <t>25. Total functional expenses</t>
        </is>
      </c>
      <c r="C373" s="18" t="inlineStr">
        <is>
          <t>FY2023</t>
        </is>
      </c>
      <c r="D373" s="9" t="n">
        <v>180928</v>
      </c>
      <c r="E373" s="9">
        <f>'Operating expenses (detail)'!E49</f>
        <v/>
      </c>
      <c r="F373" s="9">
        <f>E373-D373</f>
        <v/>
      </c>
    </row>
    <row r="374">
      <c r="A374" s="18" t="inlineStr">
        <is>
          <t>Operating expenses (detail)</t>
        </is>
      </c>
      <c r="B374" s="18" t="inlineStr">
        <is>
          <t>25. Total functional expenses</t>
        </is>
      </c>
      <c r="C374" s="18" t="inlineStr">
        <is>
          <t>FY2024</t>
        </is>
      </c>
      <c r="D374" s="9" t="n">
        <v>227795</v>
      </c>
      <c r="E374" s="9">
        <f>'Operating expenses (detail)'!F49</f>
        <v/>
      </c>
      <c r="F374" s="9">
        <f>E374-D374</f>
        <v/>
      </c>
    </row>
    <row r="375">
      <c r="A375" s="18" t="inlineStr">
        <is>
          <t>Operating expenses (detail)</t>
        </is>
      </c>
      <c r="B375" s="18" t="inlineStr">
        <is>
          <t>25. Total functional expenses</t>
        </is>
      </c>
      <c r="C375" s="18" t="inlineStr">
        <is>
          <t>FY2025</t>
        </is>
      </c>
      <c r="D375" s="9" t="n">
        <v>236482</v>
      </c>
      <c r="E375" s="9">
        <f>'Operating expenses (detail)'!G49</f>
        <v/>
      </c>
      <c r="F375" s="9">
        <f>E375-D375</f>
        <v/>
      </c>
    </row>
    <row r="376">
      <c r="A376" s="18" t="inlineStr">
        <is>
          <t>Operating expenses (detail)</t>
        </is>
      </c>
      <c r="B376" s="18" t="inlineStr">
        <is>
          <t>Part IX column split: col A = B + C + D (FY2025)</t>
        </is>
      </c>
      <c r="C376" s="18" t="inlineStr">
        <is>
          <t>FY2025</t>
        </is>
      </c>
      <c r="D376" s="9">
        <f>'Operating expenses (detail)'!B82</f>
        <v/>
      </c>
      <c r="E376" s="9">
        <f>'Operating expenses (detail)'!C82+'Operating expenses (detail)'!D82+'Operating expenses (detail)'!E82</f>
        <v/>
      </c>
      <c r="F376" s="9">
        <f>E376-D376</f>
        <v/>
      </c>
    </row>
    <row r="377">
      <c r="A377" s="18" t="inlineStr">
        <is>
          <t>Balance sheet (detail)</t>
        </is>
      </c>
      <c r="B377" s="18" t="inlineStr">
        <is>
          <t>16. Total assets</t>
        </is>
      </c>
      <c r="C377" s="18" t="inlineStr">
        <is>
          <t>FY2020</t>
        </is>
      </c>
      <c r="D377" s="9" t="n">
        <v>1169217</v>
      </c>
      <c r="E377" s="9">
        <f>'Balance sheet (detail)'!B22</f>
        <v/>
      </c>
      <c r="F377" s="9">
        <f>E377-D377</f>
        <v/>
      </c>
    </row>
    <row r="378">
      <c r="A378" s="18" t="inlineStr">
        <is>
          <t>Balance sheet (detail)</t>
        </is>
      </c>
      <c r="B378" s="18" t="inlineStr">
        <is>
          <t>16. Total assets</t>
        </is>
      </c>
      <c r="C378" s="18" t="inlineStr">
        <is>
          <t>FY2021</t>
        </is>
      </c>
      <c r="D378" s="9" t="n">
        <v>1131283</v>
      </c>
      <c r="E378" s="9">
        <f>'Balance sheet (detail)'!C22</f>
        <v/>
      </c>
      <c r="F378" s="9">
        <f>E378-D378</f>
        <v/>
      </c>
    </row>
    <row r="379">
      <c r="A379" s="18" t="inlineStr">
        <is>
          <t>Balance sheet (detail)</t>
        </is>
      </c>
      <c r="B379" s="18" t="inlineStr">
        <is>
          <t>16. Total assets</t>
        </is>
      </c>
      <c r="C379" s="18" t="inlineStr">
        <is>
          <t>FY2022</t>
        </is>
      </c>
      <c r="D379" s="9" t="n">
        <v>1108578</v>
      </c>
      <c r="E379" s="9">
        <f>'Balance sheet (detail)'!D22</f>
        <v/>
      </c>
      <c r="F379" s="9">
        <f>E379-D379</f>
        <v/>
      </c>
    </row>
    <row r="380">
      <c r="A380" s="18" t="inlineStr">
        <is>
          <t>Balance sheet (detail)</t>
        </is>
      </c>
      <c r="B380" s="18" t="inlineStr">
        <is>
          <t>16. Total assets</t>
        </is>
      </c>
      <c r="C380" s="18" t="inlineStr">
        <is>
          <t>FY2023</t>
        </is>
      </c>
      <c r="D380" s="9" t="n">
        <v>1084094</v>
      </c>
      <c r="E380" s="9">
        <f>'Balance sheet (detail)'!E22</f>
        <v/>
      </c>
      <c r="F380" s="9">
        <f>E380-D380</f>
        <v/>
      </c>
    </row>
    <row r="381">
      <c r="A381" s="18" t="inlineStr">
        <is>
          <t>Balance sheet (detail)</t>
        </is>
      </c>
      <c r="B381" s="18" t="inlineStr">
        <is>
          <t>16. Total assets</t>
        </is>
      </c>
      <c r="C381" s="18" t="inlineStr">
        <is>
          <t>FY2024</t>
        </is>
      </c>
      <c r="D381" s="9" t="n">
        <v>1014631</v>
      </c>
      <c r="E381" s="9">
        <f>'Balance sheet (detail)'!F22</f>
        <v/>
      </c>
      <c r="F381" s="9">
        <f>E381-D381</f>
        <v/>
      </c>
    </row>
    <row r="382">
      <c r="A382" s="18" t="inlineStr">
        <is>
          <t>Balance sheet (detail)</t>
        </is>
      </c>
      <c r="B382" s="18" t="inlineStr">
        <is>
          <t>16. Total assets</t>
        </is>
      </c>
      <c r="C382" s="18" t="inlineStr">
        <is>
          <t>FY2025</t>
        </is>
      </c>
      <c r="D382" s="9" t="n">
        <v>934013</v>
      </c>
      <c r="E382" s="9">
        <f>'Balance sheet (detail)'!G22</f>
        <v/>
      </c>
      <c r="F382" s="9">
        <f>E382-D382</f>
        <v/>
      </c>
    </row>
    <row r="383">
      <c r="A383" s="18" t="inlineStr">
        <is>
          <t>Balance sheet (detail)</t>
        </is>
      </c>
      <c r="B383" s="18" t="inlineStr">
        <is>
          <t>26. Total liabilities</t>
        </is>
      </c>
      <c r="C383" s="18" t="inlineStr">
        <is>
          <t>FY2020</t>
        </is>
      </c>
      <c r="D383" s="9" t="n">
        <v>1114470</v>
      </c>
      <c r="E383" s="9">
        <f>'Balance sheet (detail)'!B29</f>
        <v/>
      </c>
      <c r="F383" s="9">
        <f>E383-D383</f>
        <v/>
      </c>
    </row>
    <row r="384">
      <c r="A384" s="18" t="inlineStr">
        <is>
          <t>Balance sheet (detail)</t>
        </is>
      </c>
      <c r="B384" s="18" t="inlineStr">
        <is>
          <t>26. Total liabilities</t>
        </is>
      </c>
      <c r="C384" s="18" t="inlineStr">
        <is>
          <t>FY2021</t>
        </is>
      </c>
      <c r="D384" s="9" t="n">
        <v>1084078</v>
      </c>
      <c r="E384" s="9">
        <f>'Balance sheet (detail)'!C29</f>
        <v/>
      </c>
      <c r="F384" s="9">
        <f>E384-D384</f>
        <v/>
      </c>
    </row>
    <row r="385">
      <c r="A385" s="18" t="inlineStr">
        <is>
          <t>Balance sheet (detail)</t>
        </is>
      </c>
      <c r="B385" s="18" t="inlineStr">
        <is>
          <t>26. Total liabilities</t>
        </is>
      </c>
      <c r="C385" s="18" t="inlineStr">
        <is>
          <t>FY2022</t>
        </is>
      </c>
      <c r="D385" s="9" t="n">
        <v>1058442</v>
      </c>
      <c r="E385" s="9">
        <f>'Balance sheet (detail)'!D29</f>
        <v/>
      </c>
      <c r="F385" s="9">
        <f>E385-D385</f>
        <v/>
      </c>
    </row>
    <row r="386">
      <c r="A386" s="18" t="inlineStr">
        <is>
          <t>Balance sheet (detail)</t>
        </is>
      </c>
      <c r="B386" s="18" t="inlineStr">
        <is>
          <t>26. Total liabilities</t>
        </is>
      </c>
      <c r="C386" s="18" t="inlineStr">
        <is>
          <t>FY2023</t>
        </is>
      </c>
      <c r="D386" s="9" t="n">
        <v>1029780</v>
      </c>
      <c r="E386" s="9">
        <f>'Balance sheet (detail)'!E29</f>
        <v/>
      </c>
      <c r="F386" s="9">
        <f>E386-D386</f>
        <v/>
      </c>
    </row>
    <row r="387">
      <c r="A387" s="18" t="inlineStr">
        <is>
          <t>Balance sheet (detail)</t>
        </is>
      </c>
      <c r="B387" s="18" t="inlineStr">
        <is>
          <t>26. Total liabilities</t>
        </is>
      </c>
      <c r="C387" s="18" t="inlineStr">
        <is>
          <t>FY2024</t>
        </is>
      </c>
      <c r="D387" s="9" t="n">
        <v>1002040</v>
      </c>
      <c r="E387" s="9">
        <f>'Balance sheet (detail)'!F29</f>
        <v/>
      </c>
      <c r="F387" s="9">
        <f>E387-D387</f>
        <v/>
      </c>
    </row>
    <row r="388">
      <c r="A388" s="18" t="inlineStr">
        <is>
          <t>Balance sheet (detail)</t>
        </is>
      </c>
      <c r="B388" s="18" t="inlineStr">
        <is>
          <t>26. Total liabilities</t>
        </is>
      </c>
      <c r="C388" s="18" t="inlineStr">
        <is>
          <t>FY2025</t>
        </is>
      </c>
      <c r="D388" s="9" t="n">
        <v>961025</v>
      </c>
      <c r="E388" s="9">
        <f>'Balance sheet (detail)'!G29</f>
        <v/>
      </c>
      <c r="F388" s="9">
        <f>E388-D388</f>
        <v/>
      </c>
    </row>
    <row r="389">
      <c r="A389" s="18" t="inlineStr">
        <is>
          <t>Balance sheet (detail)</t>
        </is>
      </c>
      <c r="B389" s="18" t="inlineStr">
        <is>
          <t>32. Total net assets / fund balances</t>
        </is>
      </c>
      <c r="C389" s="18" t="inlineStr">
        <is>
          <t>FY2020</t>
        </is>
      </c>
      <c r="D389" s="9" t="n">
        <v>54747</v>
      </c>
      <c r="E389" s="9">
        <f>'Balance sheet (detail)'!B33</f>
        <v/>
      </c>
      <c r="F389" s="9">
        <f>E389-D389</f>
        <v/>
      </c>
    </row>
    <row r="390">
      <c r="A390" s="18" t="inlineStr">
        <is>
          <t>Balance sheet (detail)</t>
        </is>
      </c>
      <c r="B390" s="18" t="inlineStr">
        <is>
          <t>32. Total net assets / fund balances</t>
        </is>
      </c>
      <c r="C390" s="18" t="inlineStr">
        <is>
          <t>FY2021</t>
        </is>
      </c>
      <c r="D390" s="9" t="n">
        <v>47205</v>
      </c>
      <c r="E390" s="9">
        <f>'Balance sheet (detail)'!C33</f>
        <v/>
      </c>
      <c r="F390" s="9">
        <f>E390-D390</f>
        <v/>
      </c>
    </row>
    <row r="391">
      <c r="A391" s="18" t="inlineStr">
        <is>
          <t>Balance sheet (detail)</t>
        </is>
      </c>
      <c r="B391" s="18" t="inlineStr">
        <is>
          <t>32. Total net assets / fund balances</t>
        </is>
      </c>
      <c r="C391" s="18" t="inlineStr">
        <is>
          <t>FY2022</t>
        </is>
      </c>
      <c r="D391" s="9" t="n">
        <v>50136</v>
      </c>
      <c r="E391" s="9">
        <f>'Balance sheet (detail)'!D33</f>
        <v/>
      </c>
      <c r="F391" s="9">
        <f>E391-D391</f>
        <v/>
      </c>
    </row>
    <row r="392">
      <c r="A392" s="18" t="inlineStr">
        <is>
          <t>Balance sheet (detail)</t>
        </is>
      </c>
      <c r="B392" s="18" t="inlineStr">
        <is>
          <t>32. Total net assets / fund balances</t>
        </is>
      </c>
      <c r="C392" s="18" t="inlineStr">
        <is>
          <t>FY2023</t>
        </is>
      </c>
      <c r="D392" s="9" t="n">
        <v>54314</v>
      </c>
      <c r="E392" s="9">
        <f>'Balance sheet (detail)'!E33</f>
        <v/>
      </c>
      <c r="F392" s="9">
        <f>E392-D392</f>
        <v/>
      </c>
    </row>
    <row r="393">
      <c r="A393" s="18" t="inlineStr">
        <is>
          <t>Balance sheet (detail)</t>
        </is>
      </c>
      <c r="B393" s="18" t="inlineStr">
        <is>
          <t>32. Total net assets / fund balances</t>
        </is>
      </c>
      <c r="C393" s="18" t="inlineStr">
        <is>
          <t>FY2024</t>
        </is>
      </c>
      <c r="D393" s="9" t="n">
        <v>12591</v>
      </c>
      <c r="E393" s="9">
        <f>'Balance sheet (detail)'!F33</f>
        <v/>
      </c>
      <c r="F393" s="9">
        <f>E393-D393</f>
        <v/>
      </c>
    </row>
    <row r="394">
      <c r="A394" s="18" t="inlineStr">
        <is>
          <t>Balance sheet (detail)</t>
        </is>
      </c>
      <c r="B394" s="18" t="inlineStr">
        <is>
          <t>32. Total net assets / fund balances</t>
        </is>
      </c>
      <c r="C394" s="18" t="inlineStr">
        <is>
          <t>FY2025</t>
        </is>
      </c>
      <c r="D394" s="9" t="n">
        <v>-27012</v>
      </c>
      <c r="E394" s="9">
        <f>'Balance sheet (detail)'!G33</f>
        <v/>
      </c>
      <c r="F394" s="9">
        <f>E394-D394</f>
        <v/>
      </c>
    </row>
    <row r="395">
      <c r="A395" s="18" t="inlineStr">
        <is>
          <t>Balance sheet (detail)</t>
        </is>
      </c>
      <c r="B395" s="18" t="inlineStr">
        <is>
          <t>Balance sheet identity: line 16 = line 26 + line 32 (EOY)</t>
        </is>
      </c>
      <c r="C395" s="18" t="inlineStr">
        <is>
          <t>FY2020</t>
        </is>
      </c>
      <c r="D395" s="9">
        <f>'Balance sheet (detail)'!B22</f>
        <v/>
      </c>
      <c r="E395" s="9">
        <f>SUM('Balance sheet (detail)'!B29,'Balance sheet (detail)'!B33)</f>
        <v/>
      </c>
      <c r="F395" s="9">
        <f>E395-D395</f>
        <v/>
      </c>
    </row>
    <row r="396">
      <c r="A396" s="18" t="inlineStr">
        <is>
          <t>Balance sheet (detail)</t>
        </is>
      </c>
      <c r="B396" s="18" t="inlineStr">
        <is>
          <t>Balance sheet identity: line 16 = line 26 + line 32 (EOY)</t>
        </is>
      </c>
      <c r="C396" s="18" t="inlineStr">
        <is>
          <t>FY2021</t>
        </is>
      </c>
      <c r="D396" s="9">
        <f>'Balance sheet (detail)'!C22</f>
        <v/>
      </c>
      <c r="E396" s="9">
        <f>SUM('Balance sheet (detail)'!C29,'Balance sheet (detail)'!C33)</f>
        <v/>
      </c>
      <c r="F396" s="9">
        <f>E396-D396</f>
        <v/>
      </c>
    </row>
    <row r="397">
      <c r="A397" s="18" t="inlineStr">
        <is>
          <t>Balance sheet (detail)</t>
        </is>
      </c>
      <c r="B397" s="18" t="inlineStr">
        <is>
          <t>Balance sheet identity: line 16 = line 26 + line 32 (EOY)</t>
        </is>
      </c>
      <c r="C397" s="18" t="inlineStr">
        <is>
          <t>FY2022</t>
        </is>
      </c>
      <c r="D397" s="9">
        <f>'Balance sheet (detail)'!D22</f>
        <v/>
      </c>
      <c r="E397" s="9">
        <f>SUM('Balance sheet (detail)'!D29,'Balance sheet (detail)'!D33)</f>
        <v/>
      </c>
      <c r="F397" s="9">
        <f>E397-D397</f>
        <v/>
      </c>
    </row>
    <row r="398">
      <c r="A398" s="18" t="inlineStr">
        <is>
          <t>Balance sheet (detail)</t>
        </is>
      </c>
      <c r="B398" s="18" t="inlineStr">
        <is>
          <t>Balance sheet identity: line 16 = line 26 + line 32 (EOY)</t>
        </is>
      </c>
      <c r="C398" s="18" t="inlineStr">
        <is>
          <t>FY2023</t>
        </is>
      </c>
      <c r="D398" s="9">
        <f>'Balance sheet (detail)'!E22</f>
        <v/>
      </c>
      <c r="E398" s="9">
        <f>SUM('Balance sheet (detail)'!E29,'Balance sheet (detail)'!E33)</f>
        <v/>
      </c>
      <c r="F398" s="9">
        <f>E398-D398</f>
        <v/>
      </c>
    </row>
    <row r="399">
      <c r="A399" s="18" t="inlineStr">
        <is>
          <t>Balance sheet (detail)</t>
        </is>
      </c>
      <c r="B399" s="18" t="inlineStr">
        <is>
          <t>Balance sheet identity: line 16 = line 26 + line 32 (EOY)</t>
        </is>
      </c>
      <c r="C399" s="18" t="inlineStr">
        <is>
          <t>FY2024</t>
        </is>
      </c>
      <c r="D399" s="9">
        <f>'Balance sheet (detail)'!F22</f>
        <v/>
      </c>
      <c r="E399" s="9">
        <f>SUM('Balance sheet (detail)'!F29,'Balance sheet (detail)'!F33)</f>
        <v/>
      </c>
      <c r="F399" s="9">
        <f>E399-D399</f>
        <v/>
      </c>
    </row>
    <row r="400">
      <c r="A400" s="18" t="inlineStr">
        <is>
          <t>Balance sheet (detail)</t>
        </is>
      </c>
      <c r="B400" s="18" t="inlineStr">
        <is>
          <t>Balance sheet identity: line 16 = line 26 + line 32 (EOY)</t>
        </is>
      </c>
      <c r="C400" s="18" t="inlineStr">
        <is>
          <t>FY2025</t>
        </is>
      </c>
      <c r="D400" s="9">
        <f>'Balance sheet (detail)'!G22</f>
        <v/>
      </c>
      <c r="E400" s="9">
        <f>SUM('Balance sheet (detail)'!G29,'Balance sheet (detail)'!G33)</f>
        <v/>
      </c>
      <c r="F400" s="9">
        <f>E400-D400</f>
        <v/>
      </c>
    </row>
    <row r="401">
      <c r="A401" s="18" t="inlineStr">
        <is>
          <t>Net-assets reconciliation</t>
        </is>
      </c>
      <c r="B401" s="18" t="inlineStr">
        <is>
          <t>10. Net assets, end of year</t>
        </is>
      </c>
      <c r="C401" s="18" t="inlineStr">
        <is>
          <t>FY2020</t>
        </is>
      </c>
      <c r="D401" s="9" t="n">
        <v>54747</v>
      </c>
      <c r="E401" s="9">
        <f>'Net-assets reconciliation'!B11</f>
        <v/>
      </c>
      <c r="F401" s="9">
        <f>E401-D401</f>
        <v/>
      </c>
    </row>
    <row r="402">
      <c r="A402" s="18" t="inlineStr">
        <is>
          <t>Net-assets reconciliation</t>
        </is>
      </c>
      <c r="B402" s="18" t="inlineStr">
        <is>
          <t>10. Net assets, end of year</t>
        </is>
      </c>
      <c r="C402" s="18" t="inlineStr">
        <is>
          <t>FY2021</t>
        </is>
      </c>
      <c r="D402" s="9" t="n">
        <v>47205</v>
      </c>
      <c r="E402" s="9">
        <f>'Net-assets reconciliation'!C11</f>
        <v/>
      </c>
      <c r="F402" s="9">
        <f>E402-D402</f>
        <v/>
      </c>
    </row>
    <row r="403">
      <c r="A403" s="18" t="inlineStr">
        <is>
          <t>Net-assets reconciliation</t>
        </is>
      </c>
      <c r="B403" s="18" t="inlineStr">
        <is>
          <t>10. Net assets, end of year</t>
        </is>
      </c>
      <c r="C403" s="18" t="inlineStr">
        <is>
          <t>FY2022</t>
        </is>
      </c>
      <c r="D403" s="9" t="n">
        <v>50136</v>
      </c>
      <c r="E403" s="9">
        <f>'Net-assets reconciliation'!D11</f>
        <v/>
      </c>
      <c r="F403" s="9">
        <f>E403-D403</f>
        <v/>
      </c>
    </row>
    <row r="404">
      <c r="A404" s="18" t="inlineStr">
        <is>
          <t>Net-assets reconciliation</t>
        </is>
      </c>
      <c r="B404" s="18" t="inlineStr">
        <is>
          <t>10. Net assets, end of year</t>
        </is>
      </c>
      <c r="C404" s="18" t="inlineStr">
        <is>
          <t>FY2023</t>
        </is>
      </c>
      <c r="D404" s="9" t="n">
        <v>54314</v>
      </c>
      <c r="E404" s="9">
        <f>'Net-assets reconciliation'!E11</f>
        <v/>
      </c>
      <c r="F404" s="9">
        <f>E404-D404</f>
        <v/>
      </c>
    </row>
    <row r="405">
      <c r="A405" s="18" t="inlineStr">
        <is>
          <t>Net-assets reconciliation</t>
        </is>
      </c>
      <c r="B405" s="18" t="inlineStr">
        <is>
          <t>10. Net assets, end of year</t>
        </is>
      </c>
      <c r="C405" s="18" t="inlineStr">
        <is>
          <t>FY2024</t>
        </is>
      </c>
      <c r="D405" s="9" t="n">
        <v>12591</v>
      </c>
      <c r="E405" s="9">
        <f>'Net-assets reconciliation'!F11</f>
        <v/>
      </c>
      <c r="F405" s="9">
        <f>E405-D405</f>
        <v/>
      </c>
    </row>
    <row r="406">
      <c r="A406" s="18" t="inlineStr">
        <is>
          <t>Net-assets reconciliation</t>
        </is>
      </c>
      <c r="B406" s="18" t="inlineStr">
        <is>
          <t>10. Net assets, end of year</t>
        </is>
      </c>
      <c r="C406" s="18" t="inlineStr">
        <is>
          <t>FY2025</t>
        </is>
      </c>
      <c r="D406" s="9" t="n">
        <v>-27012</v>
      </c>
      <c r="E406" s="9">
        <f>'Net-assets reconciliation'!G11</f>
        <v/>
      </c>
      <c r="F406" s="9">
        <f>E406-D406</f>
        <v/>
      </c>
    </row>
    <row r="408">
      <c r="A408" s="30" t="inlineStr">
        <is>
          <t>D. Preparer / auditor trail (one row per fiscal year, as filed)</t>
        </is>
      </c>
      <c r="B408" s="7" t="n"/>
      <c r="C408" s="7" t="n"/>
      <c r="D408" s="7" t="n"/>
      <c r="E408" s="7" t="n"/>
      <c r="F408" s="7" t="n"/>
      <c r="G408" s="7" t="n"/>
      <c r="H408" s="7" t="n"/>
      <c r="I408" s="7" t="n"/>
      <c r="J408" s="7" t="n"/>
      <c r="K408" s="7" t="n"/>
    </row>
    <row r="409">
      <c r="A409" s="5" t="inlineStr">
        <is>
          <t>Fiscal year</t>
        </is>
      </c>
      <c r="B409" s="5" t="inlineStr">
        <is>
          <t>Paid preparer</t>
        </is>
      </c>
      <c r="C409" s="5" t="inlineStr">
        <is>
          <t>Preparer firm</t>
        </is>
      </c>
      <c r="D409" s="5" t="inlineStr">
        <is>
          <t>Independent auditor</t>
        </is>
      </c>
      <c r="E409" s="5" t="inlineStr">
        <is>
          <t>Citation</t>
        </is>
      </c>
    </row>
    <row r="410" ht="42" customHeight="1">
      <c r="A410" s="27" t="inlineStr">
        <is>
          <t>FY2020</t>
        </is>
      </c>
      <c r="B410" s="8" t="inlineStr">
        <is>
          <t>Michelle R Elder CPA</t>
        </is>
      </c>
      <c r="C410" s="8" t="inlineStr">
        <is>
          <t>ELDER ACCOUNTANCY</t>
        </is>
      </c>
      <c r="D410" s="31" t="inlineStr">
        <is>
          <t>not reported</t>
        </is>
      </c>
      <c r="E410" s="21" t="inlineStr">
        <is>
          <t>Form 990 Return Header, Paid Preparer block (return_header.preparer_person_name / preparer_firm_name); auditor: Part XII line 2 reports audited financial statements but does not name the firm.</t>
        </is>
      </c>
    </row>
    <row r="411" ht="42" customHeight="1">
      <c r="A411" s="27" t="inlineStr">
        <is>
          <t>FY2021</t>
        </is>
      </c>
      <c r="B411" s="8" t="inlineStr">
        <is>
          <t>Michelle R Elder CPA</t>
        </is>
      </c>
      <c r="C411" s="8" t="inlineStr">
        <is>
          <t>ELDER ACCOUNTANCY</t>
        </is>
      </c>
      <c r="D411" s="31" t="inlineStr">
        <is>
          <t>not reported</t>
        </is>
      </c>
      <c r="E411" s="21" t="inlineStr">
        <is>
          <t>Form 990 Return Header, Paid Preparer block (return_header.preparer_person_name / preparer_firm_name); auditor: Part XII line 2 reports audited financial statements but does not name the firm.</t>
        </is>
      </c>
    </row>
    <row r="412" ht="42" customHeight="1">
      <c r="A412" s="27" t="inlineStr">
        <is>
          <t>FY2022</t>
        </is>
      </c>
      <c r="B412" s="8" t="inlineStr">
        <is>
          <t>Michelle R Elder CPA</t>
        </is>
      </c>
      <c r="C412" s="8" t="inlineStr">
        <is>
          <t>ELDER ACCOUNTANCY</t>
        </is>
      </c>
      <c r="D412" s="31" t="inlineStr">
        <is>
          <t>not reported</t>
        </is>
      </c>
      <c r="E412" s="21" t="inlineStr">
        <is>
          <t>Form 990 Return Header, Paid Preparer block (return_header.preparer_person_name / preparer_firm_name); auditor: Part XII line 2 reports audited financial statements but does not name the firm.</t>
        </is>
      </c>
    </row>
    <row r="413" ht="42" customHeight="1">
      <c r="A413" s="27" t="inlineStr">
        <is>
          <t>FY2023</t>
        </is>
      </c>
      <c r="B413" s="8" t="inlineStr">
        <is>
          <t>Michelle R Elder CPA</t>
        </is>
      </c>
      <c r="C413" s="8" t="inlineStr">
        <is>
          <t>ELDER ACCOUNTANCY</t>
        </is>
      </c>
      <c r="D413" s="31" t="inlineStr">
        <is>
          <t>not reported</t>
        </is>
      </c>
      <c r="E413" s="21" t="inlineStr">
        <is>
          <t>Form 990 Return Header, Paid Preparer block (return_header.preparer_person_name / preparer_firm_name); auditor: Part XII line 2 reports audited financial statements but does not name the firm.</t>
        </is>
      </c>
    </row>
    <row r="414" ht="42" customHeight="1">
      <c r="A414" s="27" t="inlineStr">
        <is>
          <t>FY2024</t>
        </is>
      </c>
      <c r="B414" s="8" t="inlineStr">
        <is>
          <t>Michelle R Elder CPA</t>
        </is>
      </c>
      <c r="C414" s="8" t="inlineStr">
        <is>
          <t>ELDER ACCOUNTANCY</t>
        </is>
      </c>
      <c r="D414" s="31" t="inlineStr">
        <is>
          <t>not reported</t>
        </is>
      </c>
      <c r="E414" s="21" t="inlineStr">
        <is>
          <t>Form 990 Return Header, Paid Preparer block (return_header.preparer_person_name / preparer_firm_name); auditor: Part XII line 2 reports audited financial statements but does not name the firm.</t>
        </is>
      </c>
    </row>
    <row r="415" ht="42" customHeight="1">
      <c r="A415" s="27" t="inlineStr">
        <is>
          <t>FY2025</t>
        </is>
      </c>
      <c r="B415" s="8" t="inlineStr">
        <is>
          <t>Michelle R Elder CPA</t>
        </is>
      </c>
      <c r="C415" s="8" t="inlineStr">
        <is>
          <t>ELDER ACCOUNTANCY</t>
        </is>
      </c>
      <c r="D415" s="31" t="inlineStr">
        <is>
          <t>not reported</t>
        </is>
      </c>
      <c r="E415" s="21" t="inlineStr">
        <is>
          <t>Form 990 Return Header, Paid Preparer block (return_header.preparer_person_name / preparer_firm_name); auditor: Part XII line 2 reports audited financial statements but does not name the firm.</t>
        </is>
      </c>
    </row>
    <row r="417" ht="42" customHeight="1">
      <c r="A41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17:K417"/>
    <mergeCell ref="A3:K3"/>
    <mergeCell ref="A2:K2"/>
    <mergeCell ref="A5:K5"/>
    <mergeCell ref="A1:K1"/>
  </mergeCells>
  <conditionalFormatting sqref="F363:F406">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