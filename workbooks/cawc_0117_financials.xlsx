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Oak Knolls Mutual Water Company</t>
        </is>
      </c>
    </row>
    <row r="2">
      <c r="A2" s="2" t="inlineStr">
        <is>
          <t>Financial Summary - multi-year overview (USD)</t>
        </is>
      </c>
    </row>
    <row r="3">
      <c r="A3" s="2" t="inlineStr">
        <is>
          <t>Entity ID: cawc_0117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21455</v>
      </c>
      <c r="C10" s="9" t="n">
        <v>22085</v>
      </c>
      <c r="D10" s="9" t="n">
        <v>22144</v>
      </c>
      <c r="E10" s="9" t="n">
        <v>21952</v>
      </c>
      <c r="F10" s="9" t="n">
        <v>32953</v>
      </c>
      <c r="G10" s="9" t="n">
        <v>15290</v>
      </c>
    </row>
    <row r="11">
      <c r="A11" s="8" t="inlineStr">
        <is>
          <t xml:space="preserve">    Total expenses</t>
        </is>
      </c>
      <c r="B11" s="9" t="n">
        <v>15832</v>
      </c>
      <c r="C11" s="9" t="n">
        <v>16991</v>
      </c>
      <c r="D11" s="9" t="n">
        <v>30873</v>
      </c>
      <c r="E11" s="9" t="n">
        <v>26737</v>
      </c>
      <c r="F11" s="9" t="n">
        <v>24736</v>
      </c>
      <c r="G11" s="9" t="n">
        <v>18391</v>
      </c>
    </row>
    <row r="12">
      <c r="A12" s="10" t="inlineStr">
        <is>
          <t xml:space="preserve">    Net income</t>
        </is>
      </c>
      <c r="B12" s="11" t="n">
        <v>5623</v>
      </c>
      <c r="C12" s="11" t="n">
        <v>5094</v>
      </c>
      <c r="D12" s="11" t="n">
        <v>-8729</v>
      </c>
      <c r="E12" s="11" t="n">
        <v>-4785</v>
      </c>
      <c r="F12" s="11" t="n">
        <v>8217</v>
      </c>
      <c r="G12" s="11" t="n">
        <v>-3101</v>
      </c>
    </row>
    <row r="14">
      <c r="A14" s="6" t="inlineStr">
        <is>
          <t>Financial position (USD, end of year)</t>
        </is>
      </c>
      <c r="B14" s="7" t="n"/>
      <c r="C14" s="7" t="n"/>
      <c r="D14" s="7" t="n"/>
      <c r="E14" s="7" t="n"/>
      <c r="F14" s="7" t="n"/>
      <c r="G14" s="7" t="n"/>
    </row>
    <row r="15">
      <c r="A15" s="8" t="inlineStr">
        <is>
          <t xml:space="preserve">    Total assets</t>
        </is>
      </c>
      <c r="B15" s="9" t="n">
        <v>35735</v>
      </c>
      <c r="C15" s="9" t="n">
        <v>40829</v>
      </c>
      <c r="D15" s="9" t="n">
        <v>32100</v>
      </c>
      <c r="E15" s="9" t="n">
        <v>27315</v>
      </c>
      <c r="F15" s="9" t="n">
        <v>35532</v>
      </c>
      <c r="G15" s="9" t="n">
        <v>15179</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35735</v>
      </c>
      <c r="C17" s="11" t="n">
        <v>40829</v>
      </c>
      <c r="D17" s="11" t="n">
        <v>32100</v>
      </c>
      <c r="E17" s="11" t="n">
        <v>27315</v>
      </c>
      <c r="F17" s="11" t="n">
        <v>35532</v>
      </c>
      <c r="G17" s="11" t="n">
        <v>15179</v>
      </c>
    </row>
    <row r="19">
      <c r="A19" s="6" t="inlineStr">
        <is>
          <t>Headline ratios</t>
        </is>
      </c>
      <c r="B19" s="7" t="n"/>
      <c r="C19" s="7" t="n"/>
      <c r="D19" s="7" t="n"/>
      <c r="E19" s="7" t="n"/>
      <c r="F19" s="7" t="n"/>
      <c r="G19" s="7" t="n"/>
    </row>
    <row r="20">
      <c r="A20" s="8" t="inlineStr">
        <is>
          <t xml:space="preserve">    Operating margin</t>
        </is>
      </c>
      <c r="B20" s="12" t="n">
        <v>0.2620834304357958</v>
      </c>
      <c r="C20" s="12" t="n">
        <v>0.2306542902422459</v>
      </c>
      <c r="D20" s="12" t="n">
        <v>-0.3941925578034682</v>
      </c>
      <c r="E20" s="12" t="n">
        <v>-0.217975583090379</v>
      </c>
      <c r="F20" s="12" t="n">
        <v>0.2493551421721846</v>
      </c>
      <c r="G20" s="12" t="n">
        <v>-0.202812295618051</v>
      </c>
    </row>
    <row r="21">
      <c r="A21" s="8" t="inlineStr">
        <is>
          <t xml:space="preserve">    Revenue growth (YoY)</t>
        </is>
      </c>
      <c r="B21" s="12" t="n"/>
      <c r="C21" s="12" t="n"/>
      <c r="D21" s="12" t="n"/>
      <c r="E21" s="12" t="n"/>
      <c r="F21" s="12" t="n"/>
      <c r="G21" s="12" t="n"/>
    </row>
    <row r="22">
      <c r="A22" s="8" t="inlineStr">
        <is>
          <t xml:space="preserve">    Return on assets</t>
        </is>
      </c>
      <c r="B22" s="12" t="n">
        <v>0.1573527354134602</v>
      </c>
      <c r="C22" s="12" t="n">
        <v>0.1247642606970536</v>
      </c>
      <c r="D22" s="12" t="n">
        <v>-0.2719314641744549</v>
      </c>
      <c r="E22" s="12" t="n">
        <v>-0.1751784733662823</v>
      </c>
      <c r="F22" s="12" t="n">
        <v>0.2312563323201621</v>
      </c>
      <c r="G22" s="12" t="n">
        <v>-0.2042954081296528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Oak Knolls Mutual Water Company</t>
        </is>
      </c>
    </row>
    <row r="2">
      <c r="A2" s="2" t="inlineStr">
        <is>
          <t>Financial Statements - income statement, balance sheet, cash flow, member income test (USD)</t>
        </is>
      </c>
    </row>
    <row r="3">
      <c r="A3" s="2" t="inlineStr">
        <is>
          <t>Entity ID: cawc_0117   |   Fiscal year ends May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15832</v>
      </c>
      <c r="C19" s="11" t="n">
        <v>16991</v>
      </c>
      <c r="D19" s="11" t="n">
        <v>30873</v>
      </c>
      <c r="E19" s="11" t="n">
        <v>26737</v>
      </c>
      <c r="F19" s="11" t="n">
        <v>24736</v>
      </c>
      <c r="G19" s="11" t="n">
        <v>18391</v>
      </c>
    </row>
    <row r="21">
      <c r="A21" s="10" t="inlineStr">
        <is>
          <t>Net income</t>
        </is>
      </c>
      <c r="B21" s="11" t="n">
        <v>5623</v>
      </c>
      <c r="C21" s="11" t="n">
        <v>5094</v>
      </c>
      <c r="D21" s="11" t="n">
        <v>-8729</v>
      </c>
      <c r="E21" s="11" t="n">
        <v>-4785</v>
      </c>
      <c r="F21" s="11" t="n">
        <v>8217</v>
      </c>
      <c r="G21" s="11" t="n">
        <v>-3101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31678</v>
      </c>
      <c r="C27" s="9" t="n">
        <v>31601</v>
      </c>
      <c r="D27" s="9" t="n">
        <v>22238</v>
      </c>
      <c r="E27" s="9" t="n">
        <v>10303</v>
      </c>
      <c r="F27" s="9" t="n">
        <v>15600</v>
      </c>
      <c r="G27" s="9" t="n">
        <v>14764</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0</v>
      </c>
      <c r="C34" s="11" t="n">
        <v>0</v>
      </c>
      <c r="D34" s="11" t="n">
        <v>0</v>
      </c>
      <c r="E34" s="11" t="n">
        <v>0</v>
      </c>
      <c r="F34" s="11" t="n">
        <v>0</v>
      </c>
      <c r="G34" s="11" t="n">
        <v>0</v>
      </c>
    </row>
    <row r="35">
      <c r="A35" s="10" t="inlineStr">
        <is>
          <t>Total assets</t>
        </is>
      </c>
      <c r="B35" s="11" t="n">
        <v>35735</v>
      </c>
      <c r="C35" s="11" t="n">
        <v>40829</v>
      </c>
      <c r="D35" s="11" t="n">
        <v>32100</v>
      </c>
      <c r="E35" s="11" t="n">
        <v>27315</v>
      </c>
      <c r="F35" s="11" t="n">
        <v>35532</v>
      </c>
      <c r="G35" s="11" t="n">
        <v>15179</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35735</v>
      </c>
      <c r="C46" s="11" t="n">
        <v>40829</v>
      </c>
      <c r="D46" s="11" t="n">
        <v>32100</v>
      </c>
      <c r="E46" s="11" t="n">
        <v>27315</v>
      </c>
      <c r="F46" s="11" t="n">
        <v>35532</v>
      </c>
      <c r="G46" s="11" t="n">
        <v>15179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5623</v>
      </c>
      <c r="C52" s="9" t="n">
        <v>5094</v>
      </c>
      <c r="D52" s="9" t="n">
        <v>-8729</v>
      </c>
      <c r="E52" s="9" t="n">
        <v>-4785</v>
      </c>
      <c r="F52" s="9" t="n">
        <v>8217</v>
      </c>
      <c r="G52" s="9" t="n">
        <v>-3101</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5094</v>
      </c>
      <c r="D58" s="11" t="n">
        <v>-8729</v>
      </c>
      <c r="E58" s="11" t="n">
        <v>-4785</v>
      </c>
      <c r="F58" s="11" t="n">
        <v>8217</v>
      </c>
      <c r="G58" s="11" t="n">
        <v>-3101</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-77</v>
      </c>
      <c r="D67" s="11" t="n">
        <v>-9363</v>
      </c>
      <c r="E67" s="11" t="n">
        <v>-11935</v>
      </c>
      <c r="F67" s="11" t="n">
        <v>5297</v>
      </c>
      <c r="G67" s="11" t="n">
        <v>-836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Oak Knolls Mutual Water Company</t>
        </is>
      </c>
    </row>
    <row r="2">
      <c r="A2" s="2" t="inlineStr">
        <is>
          <t>Balance Sheet - as reported (USD, end of year)</t>
        </is>
      </c>
    </row>
    <row r="3">
      <c r="A3" s="2" t="inlineStr">
        <is>
          <t>Entity ID: cawc_0117   |   Fiscal year ends May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31678</v>
      </c>
      <c r="C7" s="9" t="n">
        <v>31601</v>
      </c>
      <c r="D7" s="9" t="n">
        <v>22238</v>
      </c>
      <c r="E7" s="9" t="n">
        <v>10303</v>
      </c>
      <c r="F7" s="9" t="n">
        <v>15600</v>
      </c>
      <c r="G7" s="9" t="n">
        <v>14764</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0</v>
      </c>
      <c r="C14" s="11" t="n">
        <v>0</v>
      </c>
      <c r="D14" s="11" t="n">
        <v>0</v>
      </c>
      <c r="E14" s="11" t="n">
        <v>0</v>
      </c>
      <c r="F14" s="11" t="n">
        <v>0</v>
      </c>
      <c r="G14" s="11" t="n">
        <v>0</v>
      </c>
    </row>
    <row r="15">
      <c r="A15" s="10" t="inlineStr">
        <is>
          <t>Total assets</t>
        </is>
      </c>
      <c r="B15" s="11" t="n">
        <v>35735</v>
      </c>
      <c r="C15" s="11" t="n">
        <v>40829</v>
      </c>
      <c r="D15" s="11" t="n">
        <v>32100</v>
      </c>
      <c r="E15" s="11" t="n">
        <v>27315</v>
      </c>
      <c r="F15" s="11" t="n">
        <v>35532</v>
      </c>
      <c r="G15" s="11" t="n">
        <v>15179</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35735</v>
      </c>
      <c r="C26" s="11" t="n">
        <v>40829</v>
      </c>
      <c r="D26" s="11" t="n">
        <v>32100</v>
      </c>
      <c r="E26" s="11" t="n">
        <v>27315</v>
      </c>
      <c r="F26" s="11" t="n">
        <v>35532</v>
      </c>
      <c r="G26" s="11" t="n">
        <v>15179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Oak Knolls Mutual Water Company</t>
        </is>
      </c>
    </row>
    <row r="2">
      <c r="A2" s="2" t="inlineStr">
        <is>
          <t>Form 990-EZ - Part I (revenue, expenses, net assets) and Part II (balance sheet), as filed (USD)</t>
        </is>
      </c>
    </row>
    <row r="3">
      <c r="A3" s="2" t="inlineStr">
        <is>
          <t>Entity ID: cawc_0117   |   Fiscal year ends May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1. Contributions, gifts, grants</t>
        </is>
      </c>
      <c r="B7" s="9" t="n">
        <v>21450</v>
      </c>
      <c r="C7" s="9" t="n">
        <v>22080</v>
      </c>
      <c r="D7" s="9" t="n">
        <v>22140</v>
      </c>
      <c r="E7" s="9" t="n">
        <v>21950</v>
      </c>
      <c r="F7" s="14" t="inlineStr">
        <is>
          <t>not reported</t>
        </is>
      </c>
      <c r="G7" s="14" t="inlineStr">
        <is>
          <t>not reported</t>
        </is>
      </c>
    </row>
    <row r="8">
      <c r="A8" s="8" t="inlineStr">
        <is>
          <t xml:space="preserve">    3. Membership dues and assessments</t>
        </is>
      </c>
      <c r="B8" s="14" t="inlineStr">
        <is>
          <t>not reported</t>
        </is>
      </c>
      <c r="C8" s="14" t="inlineStr">
        <is>
          <t>not reported</t>
        </is>
      </c>
      <c r="D8" s="14" t="inlineStr">
        <is>
          <t>not reported</t>
        </is>
      </c>
      <c r="E8" s="14" t="inlineStr">
        <is>
          <t>not reported</t>
        </is>
      </c>
      <c r="F8" s="9" t="n">
        <v>32950</v>
      </c>
      <c r="G8" s="9" t="n">
        <v>15290</v>
      </c>
    </row>
    <row r="9">
      <c r="A9" s="8" t="inlineStr">
        <is>
          <t xml:space="preserve">    4. Investment income</t>
        </is>
      </c>
      <c r="B9" s="9" t="n">
        <v>5</v>
      </c>
      <c r="C9" s="9" t="n">
        <v>5</v>
      </c>
      <c r="D9" s="9" t="n">
        <v>4</v>
      </c>
      <c r="E9" s="9" t="n">
        <v>2</v>
      </c>
      <c r="F9" s="9" t="n">
        <v>3</v>
      </c>
      <c r="G9" s="14" t="inlineStr">
        <is>
          <t>not reported</t>
        </is>
      </c>
    </row>
    <row r="10">
      <c r="A10" s="10" t="inlineStr">
        <is>
          <t>9. Total revenue</t>
        </is>
      </c>
      <c r="B10" s="11" t="n">
        <v>21455</v>
      </c>
      <c r="C10" s="11" t="n">
        <v>22085</v>
      </c>
      <c r="D10" s="11" t="n">
        <v>22144</v>
      </c>
      <c r="E10" s="11" t="n">
        <v>21952</v>
      </c>
      <c r="F10" s="11" t="n">
        <v>32953</v>
      </c>
      <c r="G10" s="11" t="n">
        <v>15290</v>
      </c>
    </row>
    <row r="12">
      <c r="A12" s="6" t="inlineStr">
        <is>
          <t>Expenses (Part I)</t>
        </is>
      </c>
      <c r="B12" s="7" t="n"/>
      <c r="C12" s="7" t="n"/>
      <c r="D12" s="7" t="n"/>
      <c r="E12" s="7" t="n"/>
      <c r="F12" s="7" t="n"/>
      <c r="G12" s="7" t="n"/>
    </row>
    <row r="13">
      <c r="A13" s="8" t="inlineStr">
        <is>
          <t xml:space="preserve">    13. Fees for services (independent contractors)</t>
        </is>
      </c>
      <c r="B13" s="9" t="n">
        <v>13449</v>
      </c>
      <c r="C13" s="9" t="n">
        <v>14155</v>
      </c>
      <c r="D13" s="9" t="n">
        <v>27287</v>
      </c>
      <c r="E13" s="9" t="n">
        <v>23409</v>
      </c>
      <c r="F13" s="9" t="n">
        <v>20409</v>
      </c>
      <c r="G13" s="9" t="n">
        <v>13993</v>
      </c>
    </row>
    <row r="14">
      <c r="A14" s="8" t="inlineStr">
        <is>
          <t xml:space="preserve">    14. Occupancy, rent, utilities, maintenance</t>
        </is>
      </c>
      <c r="B14" s="9" t="n">
        <v>1767</v>
      </c>
      <c r="C14" s="9" t="n">
        <v>2555</v>
      </c>
      <c r="D14" s="9" t="n">
        <v>3128</v>
      </c>
      <c r="E14" s="9" t="n">
        <v>3130</v>
      </c>
      <c r="F14" s="9" t="n">
        <v>3703</v>
      </c>
      <c r="G14" s="9" t="n">
        <v>4128</v>
      </c>
    </row>
    <row r="15">
      <c r="A15" s="8" t="inlineStr">
        <is>
          <t xml:space="preserve">    16. Other expenses</t>
        </is>
      </c>
      <c r="B15" s="9" t="n">
        <v>616</v>
      </c>
      <c r="C15" s="9" t="n">
        <v>281</v>
      </c>
      <c r="D15" s="9" t="n">
        <v>458</v>
      </c>
      <c r="E15" s="9" t="n">
        <v>198</v>
      </c>
      <c r="F15" s="9" t="n">
        <v>624</v>
      </c>
      <c r="G15" s="9" t="n">
        <v>270</v>
      </c>
    </row>
    <row r="16">
      <c r="A16" s="10" t="inlineStr">
        <is>
          <t>17. Total expenses</t>
        </is>
      </c>
      <c r="B16" s="11">
        <f>SUM(B13:B15)</f>
        <v/>
      </c>
      <c r="C16" s="11">
        <f>SUM(C13:C15)</f>
        <v/>
      </c>
      <c r="D16" s="11">
        <f>SUM(D13:D15)</f>
        <v/>
      </c>
      <c r="E16" s="11">
        <f>SUM(E13:E15)</f>
        <v/>
      </c>
      <c r="F16" s="11">
        <f>SUM(F13:F15)</f>
        <v/>
      </c>
      <c r="G16" s="11">
        <f>SUM(G13:G15)</f>
        <v/>
      </c>
    </row>
    <row r="18">
      <c r="A18" s="6" t="inlineStr">
        <is>
          <t>Net-assets reconciliation (Part I)</t>
        </is>
      </c>
      <c r="B18" s="7" t="n"/>
      <c r="C18" s="7" t="n"/>
      <c r="D18" s="7" t="n"/>
      <c r="E18" s="7" t="n"/>
      <c r="F18" s="7" t="n"/>
      <c r="G18" s="7" t="n"/>
    </row>
    <row r="19">
      <c r="A19" s="8" t="inlineStr">
        <is>
          <t xml:space="preserve">    19. Net assets or fund balances, beginning of year</t>
        </is>
      </c>
      <c r="B19" s="9" t="n">
        <v>30112</v>
      </c>
      <c r="C19" s="9" t="n">
        <v>35735</v>
      </c>
      <c r="D19" s="9" t="n">
        <v>40829</v>
      </c>
      <c r="E19" s="9" t="n">
        <v>32100</v>
      </c>
      <c r="F19" s="9" t="n">
        <v>27315</v>
      </c>
      <c r="G19" s="9" t="n">
        <v>18280</v>
      </c>
    </row>
    <row r="20">
      <c r="A20" s="8" t="inlineStr">
        <is>
          <t xml:space="preserve">    18. Excess or (deficit) for the year</t>
        </is>
      </c>
      <c r="B20" s="9" t="n">
        <v>5623</v>
      </c>
      <c r="C20" s="9" t="n">
        <v>5094</v>
      </c>
      <c r="D20" s="9" t="n">
        <v>-8729</v>
      </c>
      <c r="E20" s="9" t="n">
        <v>-4785</v>
      </c>
      <c r="F20" s="9" t="n">
        <v>8217</v>
      </c>
      <c r="G20" s="9" t="n">
        <v>-3101</v>
      </c>
    </row>
    <row r="21">
      <c r="A21" s="10" t="inlineStr">
        <is>
          <t>21. Net assets or fund balances, end of year</t>
        </is>
      </c>
      <c r="B21" s="11">
        <f>SUM(B19,B20)</f>
        <v/>
      </c>
      <c r="C21" s="11">
        <f>SUM(C19,C20)</f>
        <v/>
      </c>
      <c r="D21" s="11">
        <f>SUM(D19,D20)</f>
        <v/>
      </c>
      <c r="E21" s="11">
        <f>SUM(E19,E20)</f>
        <v/>
      </c>
      <c r="F21" s="11">
        <f>SUM(F19,F20)</f>
        <v/>
      </c>
      <c r="G21" s="11">
        <f>SUM(G19,G20)</f>
        <v/>
      </c>
    </row>
    <row r="23">
      <c r="A23" s="6" t="inlineStr">
        <is>
          <t>Balance sheet (Part II, end of year - column B)</t>
        </is>
      </c>
      <c r="B23" s="7" t="n"/>
      <c r="C23" s="7" t="n"/>
      <c r="D23" s="7" t="n"/>
      <c r="E23" s="7" t="n"/>
      <c r="F23" s="7" t="n"/>
      <c r="G23" s="7" t="n"/>
    </row>
    <row r="24">
      <c r="A24" s="8" t="inlineStr">
        <is>
          <t xml:space="preserve">    22. Cash, savings, and investments</t>
        </is>
      </c>
      <c r="B24" s="9" t="n">
        <v>31678</v>
      </c>
      <c r="C24" s="9" t="n">
        <v>31601</v>
      </c>
      <c r="D24" s="9" t="n">
        <v>22238</v>
      </c>
      <c r="E24" s="9" t="n">
        <v>10303</v>
      </c>
      <c r="F24" s="9" t="n">
        <v>15600</v>
      </c>
      <c r="G24" s="9" t="n">
        <v>14764</v>
      </c>
    </row>
    <row r="25">
      <c r="A25" s="8" t="inlineStr">
        <is>
          <t xml:space="preserve">    23. Land and buildings</t>
        </is>
      </c>
      <c r="B25" s="9" t="n">
        <v>0</v>
      </c>
      <c r="C25" s="9" t="n">
        <v>0</v>
      </c>
      <c r="D25" s="9" t="n">
        <v>0</v>
      </c>
      <c r="E25" s="9" t="n">
        <v>0</v>
      </c>
      <c r="F25" s="9" t="n">
        <v>0</v>
      </c>
      <c r="G25" s="9" t="n">
        <v>0</v>
      </c>
    </row>
    <row r="26">
      <c r="A26" s="8" t="inlineStr">
        <is>
          <t xml:space="preserve">    24. Other assets</t>
        </is>
      </c>
      <c r="B26" s="9" t="n">
        <v>4057</v>
      </c>
      <c r="C26" s="9" t="n">
        <v>9228</v>
      </c>
      <c r="D26" s="9" t="n">
        <v>9862</v>
      </c>
      <c r="E26" s="9" t="n">
        <v>17012</v>
      </c>
      <c r="F26" s="9" t="n">
        <v>19932</v>
      </c>
      <c r="G26" s="9" t="n">
        <v>415</v>
      </c>
    </row>
    <row r="27">
      <c r="A27" s="10" t="inlineStr">
        <is>
          <t>25. Total assets</t>
        </is>
      </c>
      <c r="B27" s="11">
        <f>SUM(B24:B26)</f>
        <v/>
      </c>
      <c r="C27" s="11">
        <f>SUM(C24:C26)</f>
        <v/>
      </c>
      <c r="D27" s="11">
        <f>SUM(D24:D26)</f>
        <v/>
      </c>
      <c r="E27" s="11">
        <f>SUM(E24:E26)</f>
        <v/>
      </c>
      <c r="F27" s="11">
        <f>SUM(F24:F26)</f>
        <v/>
      </c>
      <c r="G27" s="11">
        <f>SUM(G24:G26)</f>
        <v/>
      </c>
    </row>
    <row r="28">
      <c r="A28" s="10" t="inlineStr">
        <is>
          <t>26. Total liabilities</t>
        </is>
      </c>
      <c r="B28" s="11" t="n">
        <v>0</v>
      </c>
      <c r="C28" s="11" t="n">
        <v>0</v>
      </c>
      <c r="D28" s="11" t="n">
        <v>0</v>
      </c>
      <c r="E28" s="11" t="n">
        <v>0</v>
      </c>
      <c r="F28" s="11" t="n">
        <v>0</v>
      </c>
      <c r="G28" s="11" t="n">
        <v>0</v>
      </c>
    </row>
    <row r="29">
      <c r="A29" s="10" t="inlineStr">
        <is>
          <t>27. Net assets or fund balances</t>
        </is>
      </c>
      <c r="B29" s="11" t="n">
        <v>35735</v>
      </c>
      <c r="C29" s="11" t="n">
        <v>40829</v>
      </c>
      <c r="D29" s="11" t="n">
        <v>32100</v>
      </c>
      <c r="E29" s="11" t="n">
        <v>27315</v>
      </c>
      <c r="F29" s="11" t="n">
        <v>35532</v>
      </c>
      <c r="G29" s="11" t="n">
        <v>15179</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1:G31"/>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Oak Knolls Mutual Water Company</t>
        </is>
      </c>
    </row>
    <row r="2">
      <c r="A2" s="2" t="inlineStr">
        <is>
          <t>Cash Flow Proxies - derived (USD)</t>
        </is>
      </c>
    </row>
    <row r="3">
      <c r="A3" s="2" t="inlineStr">
        <is>
          <t>Entity ID: cawc_0117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5623</v>
      </c>
      <c r="C9" s="9" t="n">
        <v>5094</v>
      </c>
      <c r="D9" s="9" t="n">
        <v>-8729</v>
      </c>
      <c r="E9" s="9" t="n">
        <v>-4785</v>
      </c>
      <c r="F9" s="9" t="n">
        <v>8217</v>
      </c>
      <c r="G9" s="9" t="n">
        <v>-3101</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5094</v>
      </c>
      <c r="D15" s="11" t="n">
        <v>-8729</v>
      </c>
      <c r="E15" s="11" t="n">
        <v>-4785</v>
      </c>
      <c r="F15" s="11" t="n">
        <v>8217</v>
      </c>
      <c r="G15" s="11" t="n">
        <v>-3101</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-77</v>
      </c>
      <c r="D24" s="11" t="n">
        <v>-9363</v>
      </c>
      <c r="E24" s="11" t="n">
        <v>-11935</v>
      </c>
      <c r="F24" s="11" t="n">
        <v>5297</v>
      </c>
      <c r="G24" s="11" t="n">
        <v>-836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Oak Knolls Mutual Water Company</t>
        </is>
      </c>
    </row>
    <row r="2">
      <c r="A2" s="2" t="inlineStr">
        <is>
          <t>Financial Ratios</t>
        </is>
      </c>
    </row>
    <row r="3">
      <c r="A3" s="2" t="inlineStr">
        <is>
          <t>Entity ID: cawc_0117   |   Fiscal year ends May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0.2620834304357958</v>
      </c>
      <c r="C7" s="12" t="n">
        <v>0.2306542902422459</v>
      </c>
      <c r="D7" s="12" t="n">
        <v>-0.3941925578034682</v>
      </c>
      <c r="E7" s="12" t="n">
        <v>-0.217975583090379</v>
      </c>
      <c r="F7" s="12" t="n">
        <v>0.2493551421721846</v>
      </c>
      <c r="G7" s="12" t="n">
        <v>-0.202812295618051</v>
      </c>
    </row>
    <row r="8">
      <c r="A8" s="8" t="inlineStr">
        <is>
          <t xml:space="preserve">    Expense ratio (expenses / revenue)</t>
        </is>
      </c>
      <c r="B8" s="12" t="n">
        <v>0.7379165695642042</v>
      </c>
      <c r="C8" s="12" t="n">
        <v>0.7693457097577542</v>
      </c>
      <c r="D8" s="12" t="n">
        <v>1.394192557803468</v>
      </c>
      <c r="E8" s="12" t="n">
        <v>1.217975583090379</v>
      </c>
      <c r="F8" s="12" t="n">
        <v>0.7506448578278154</v>
      </c>
      <c r="G8" s="12" t="n">
        <v>1.202812295618051</v>
      </c>
    </row>
    <row r="9">
      <c r="A9" s="8" t="inlineStr">
        <is>
          <t xml:space="preserve">    Return on assets (NI / assets)</t>
        </is>
      </c>
      <c r="B9" s="12" t="n">
        <v>0.1573527354134602</v>
      </c>
      <c r="C9" s="12" t="n">
        <v>0.1247642606970536</v>
      </c>
      <c r="D9" s="12" t="n">
        <v>-0.2719314641744549</v>
      </c>
      <c r="E9" s="12" t="n">
        <v>-0.1751784733662823</v>
      </c>
      <c r="F9" s="12" t="n">
        <v>0.2312563323201621</v>
      </c>
      <c r="G9" s="12" t="n">
        <v>-0.2042954081296528</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Oak Knolls Mutual Water Company</t>
        </is>
      </c>
    </row>
    <row r="2">
      <c r="A2" s="2" t="inlineStr">
        <is>
          <t>Unit economics - per-customer revenue by category (USD)</t>
        </is>
      </c>
    </row>
    <row r="3">
      <c r="A3" s="2" t="inlineStr">
        <is>
          <t>Entity ID: cawc_0117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Oak Knolls Mutual Water Company</t>
        </is>
      </c>
    </row>
    <row r="2">
      <c r="A2" s="2" t="inlineStr">
        <is>
          <t>Rate structure and representative bill - eAR Section 8a</t>
        </is>
      </c>
    </row>
    <row r="3">
      <c r="A3" s="2" t="inlineStr">
        <is>
          <t>Entity ID: cawc_0117   |   Fiscal year ends May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Oak Knolls Mutual Water Company</t>
        </is>
      </c>
    </row>
    <row r="2">
      <c r="A2" s="2" t="inlineStr">
        <is>
          <t>Operational metrics - plant per acre, density, terrain</t>
        </is>
      </c>
    </row>
    <row r="3">
      <c r="A3" s="2" t="inlineStr">
        <is>
          <t>Entity ID: cawc_0117   |   Fiscal year ends May 31.</t>
        </is>
      </c>
    </row>
    <row r="5">
      <c r="A5" s="6" t="inlineStr">
        <is>
          <t>Connections per acre</t>
        </is>
      </c>
      <c r="B5" s="7" t="n"/>
      <c r="C5" s="7" t="n"/>
    </row>
    <row r="6">
      <c r="A6" s="16" t="inlineStr">
        <is>
          <t>Connections per acre</t>
        </is>
      </c>
      <c r="B6" s="15" t="n">
        <v>4.7</v>
      </c>
      <c r="C6" s="18" t="inlineStr">
        <is>
          <t>47 connections / 10.0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Oak Knolls Mutual Water Company</t>
        </is>
      </c>
    </row>
    <row r="2">
      <c r="A2" s="2" t="inlineStr">
        <is>
          <t>Supply and weather indicators (DWR water year)</t>
        </is>
      </c>
    </row>
    <row r="3">
      <c r="A3" s="2" t="inlineStr">
        <is>
          <t>Entity ID: cawc_0117   |   Fiscal year ends May 31.</t>
        </is>
      </c>
    </row>
    <row r="5" ht="96"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Oak Knolls Mutual Water Company</t>
        </is>
      </c>
    </row>
    <row r="2">
      <c r="A2" s="2" t="inlineStr">
        <is>
          <t>How this was built - forensic lineage</t>
        </is>
      </c>
    </row>
    <row r="3">
      <c r="A3" s="2" t="inlineStr">
        <is>
          <t>Entity ID: cawc_0117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Oak Knolls Mutual Water Company</t>
        </is>
      </c>
    </row>
    <row r="2">
      <c r="A2" s="2" t="inlineStr">
        <is>
          <t>Anomaly Flags (automated; kept separate from the clean statements)</t>
        </is>
      </c>
    </row>
    <row r="3">
      <c r="A3" s="2" t="inlineStr">
        <is>
          <t>Entity ID: cawc_0117   |   Fiscal year ends May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opening net assets differ from FY2024 closing</t>
        </is>
      </c>
      <c r="B7" s="7" t="n"/>
    </row>
    <row r="8">
      <c r="A8" s="16" t="inlineStr">
        <is>
          <t>Affected figure</t>
        </is>
      </c>
      <c r="B8" s="18" t="inlineStr">
        <is>
          <t>Net assets FY2025</t>
        </is>
      </c>
    </row>
    <row r="9">
      <c r="A9" s="16" t="inlineStr">
        <is>
          <t>Confidence</t>
        </is>
      </c>
      <c r="B9" s="18" t="inlineStr">
        <is>
          <t>high</t>
        </is>
      </c>
    </row>
    <row r="10" ht="72" customHeight="1">
      <c r="A10" s="16" t="inlineStr">
        <is>
          <t>What happened (filed, sourced)</t>
        </is>
      </c>
      <c r="B10" s="18" t="inlineStr">
        <is>
          <t>The company filed $18,280 as its beginning net assets for FY2025 and $35,532 as its ending net assets for FY2024, a difference of $-17,252. Both figures are carried exactly as each year's own filing reports them. Neither is adjusted to match the other.</t>
        </is>
      </c>
    </row>
    <row r="11" ht="54" customHeight="1">
      <c r="A11" s="16" t="inlineStr">
        <is>
          <t>Source lines</t>
        </is>
      </c>
      <c r="B11" s="18" t="inlineStr">
        <is>
          <t>- FY2025 net assets, beginning of year (as filed): $18,280
- FY2024 net assets, end of year (as filed): $35,532
- Difference: $-17,252</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Oak Knolls Mutual Water Company</t>
        </is>
      </c>
    </row>
    <row r="2">
      <c r="A2" s="2" t="inlineStr">
        <is>
          <t>Sources &amp; audit - full provenance and tie-outs (kept off the statements so they read clean)</t>
        </is>
      </c>
    </row>
    <row r="3">
      <c r="A3" s="2" t="inlineStr">
        <is>
          <t>Entity ID: cawc_0117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2020-05-31</t>
        </is>
      </c>
      <c r="C10" s="8" t="inlineStr">
        <is>
          <t>990-EZ</t>
        </is>
      </c>
      <c r="D10" s="8" t="inlineStr">
        <is>
          <t>high</t>
        </is>
      </c>
      <c r="E10" s="8" t="inlineStr">
        <is>
          <t>d4e1cc96-736b-4cf3-8e6f-ecd73651a373</t>
        </is>
      </c>
      <c r="F10" s="8" t="inlineStr">
        <is>
          <t>202140929349200829</t>
        </is>
      </c>
      <c r="G10" s="8" t="inlineStr">
        <is>
          <t>claude-opus-5</t>
        </is>
      </c>
      <c r="H10" s="8" t="inlineStr">
        <is>
          <t>2026-10-02T18:54:16+00:00</t>
        </is>
      </c>
      <c r="I10" s="8" t="inlineStr">
        <is>
          <t>https://apps.irs.gov/pub/epostcard/990/xml/2021/2021_TEOS_XML_01A.zip#202140929349200829_public.xml</t>
        </is>
      </c>
    </row>
    <row r="11">
      <c r="A11" s="22" t="inlineStr">
        <is>
          <t>FY2021</t>
        </is>
      </c>
      <c r="B11" s="8" t="inlineStr">
        <is>
          <t>2021-05-31</t>
        </is>
      </c>
      <c r="C11" s="8" t="inlineStr">
        <is>
          <t>990-EZ</t>
        </is>
      </c>
      <c r="D11" s="8" t="inlineStr">
        <is>
          <t>high</t>
        </is>
      </c>
      <c r="E11" s="8" t="inlineStr">
        <is>
          <t>035edfd0-82e1-405b-adce-bed2ed4ef0e6</t>
        </is>
      </c>
      <c r="F11" s="8" t="inlineStr">
        <is>
          <t>202240389349200819</t>
        </is>
      </c>
      <c r="G11" s="8" t="inlineStr">
        <is>
          <t>claude-opus-5</t>
        </is>
      </c>
      <c r="H11" s="8" t="inlineStr">
        <is>
          <t>2026-10-02T18:54:16+00:00</t>
        </is>
      </c>
      <c r="I11" s="8" t="inlineStr">
        <is>
          <t>https://apps.irs.gov/pub/epostcard/990/xml/2022/2022_TEOS_XML_01A.zip#202240389349200819_public.xml</t>
        </is>
      </c>
    </row>
    <row r="12">
      <c r="A12" s="22" t="inlineStr">
        <is>
          <t>FY2022</t>
        </is>
      </c>
      <c r="B12" s="8" t="inlineStr">
        <is>
          <t>2022-05-31</t>
        </is>
      </c>
      <c r="C12" s="8" t="inlineStr">
        <is>
          <t>990-EZ</t>
        </is>
      </c>
      <c r="D12" s="8" t="inlineStr">
        <is>
          <t>high</t>
        </is>
      </c>
      <c r="E12" s="8" t="inlineStr">
        <is>
          <t>8923682a-4161-431c-aa0f-e55382860eff</t>
        </is>
      </c>
      <c r="F12" s="8" t="inlineStr">
        <is>
          <t>202232909349201403</t>
        </is>
      </c>
      <c r="G12" s="8" t="inlineStr">
        <is>
          <t>claude-opus-5</t>
        </is>
      </c>
      <c r="H12" s="8" t="inlineStr">
        <is>
          <t>2026-10-02T18:54:16+00:00</t>
        </is>
      </c>
      <c r="I12" s="8" t="inlineStr">
        <is>
          <t>https://apps.irs.gov/pub/epostcard/990/xml/2022/2022_TEOS_XML_02A.zip#202232909349201403_public.xml</t>
        </is>
      </c>
    </row>
    <row r="13">
      <c r="A13" s="22" t="inlineStr">
        <is>
          <t>FY2023</t>
        </is>
      </c>
      <c r="B13" s="8" t="inlineStr">
        <is>
          <t>2023-05-31</t>
        </is>
      </c>
      <c r="C13" s="8" t="inlineStr">
        <is>
          <t>990-EZ</t>
        </is>
      </c>
      <c r="D13" s="8" t="inlineStr">
        <is>
          <t>high</t>
        </is>
      </c>
      <c r="E13" s="8" t="inlineStr">
        <is>
          <t>92f8ad55-20ec-4c44-a351-2566c48c3f0b</t>
        </is>
      </c>
      <c r="F13" s="8" t="inlineStr">
        <is>
          <t>202431109349200233</t>
        </is>
      </c>
      <c r="G13" s="8" t="inlineStr">
        <is>
          <t>claude-opus-5</t>
        </is>
      </c>
      <c r="H13" s="8" t="inlineStr">
        <is>
          <t>2026-10-02T18:54:16+00:00</t>
        </is>
      </c>
      <c r="I13" s="8" t="inlineStr">
        <is>
          <t>https://apps.irs.gov/pub/epostcard/990/xml/2024/2024_TEOS_XML_04A.zip#202431109349200233_public.xml</t>
        </is>
      </c>
    </row>
    <row r="14">
      <c r="A14" s="22" t="inlineStr">
        <is>
          <t>FY2024</t>
        </is>
      </c>
      <c r="B14" s="8" t="inlineStr">
        <is>
          <t>2024-05-31</t>
        </is>
      </c>
      <c r="C14" s="8" t="inlineStr">
        <is>
          <t>990-EZ</t>
        </is>
      </c>
      <c r="D14" s="8" t="inlineStr">
        <is>
          <t>high</t>
        </is>
      </c>
      <c r="E14" s="8" t="inlineStr">
        <is>
          <t>9ff54b9a-d7e2-47e6-a316-0267174fd0b1</t>
        </is>
      </c>
      <c r="F14" s="8" t="inlineStr">
        <is>
          <t>202530859349201233</t>
        </is>
      </c>
      <c r="G14" s="8" t="inlineStr">
        <is>
          <t>claude-opus-5</t>
        </is>
      </c>
      <c r="H14" s="8" t="inlineStr">
        <is>
          <t>2026-10-02T18:54:16+00:00</t>
        </is>
      </c>
      <c r="I14" s="8" t="inlineStr">
        <is>
          <t>https://apps.irs.gov/pub/epostcard/990/xml/2025/2025_TEOS_XML_04A.zip#202530859349201233_public.xml</t>
        </is>
      </c>
    </row>
    <row r="15">
      <c r="A15" s="22" t="inlineStr">
        <is>
          <t>FY2025</t>
        </is>
      </c>
      <c r="B15" s="8" t="inlineStr">
        <is>
          <t>2025-05-31</t>
        </is>
      </c>
      <c r="C15" s="8" t="inlineStr">
        <is>
          <t>990-EZ</t>
        </is>
      </c>
      <c r="D15" s="8" t="inlineStr">
        <is>
          <t>high</t>
        </is>
      </c>
      <c r="E15" s="8" t="inlineStr">
        <is>
          <t>97968c95-3956-41ff-a207-f8f5213aa305</t>
        </is>
      </c>
      <c r="F15" s="8" t="inlineStr">
        <is>
          <t>202522259349201112</t>
        </is>
      </c>
      <c r="G15" s="8" t="inlineStr">
        <is>
          <t>claude-opus-5</t>
        </is>
      </c>
      <c r="H15" s="8" t="inlineStr">
        <is>
          <t>2026-10-02T18:54:16+00:00</t>
        </is>
      </c>
      <c r="I15" s="8" t="inlineStr">
        <is>
          <t>https://apps.irs.gov/pub/epostcard/990/xml/2025/2025_TEOS_XML_08A.zip#202522259349201112_public.xml</t>
        </is>
      </c>
    </row>
    <row r="17">
      <c r="A17" s="25"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1. Contributions, gifts, grants</t>
        </is>
      </c>
      <c r="D19" s="8" t="inlineStr">
        <is>
          <t>Part I line 1</t>
        </is>
      </c>
      <c r="E19" s="8" t="inlineStr">
        <is>
          <t>part_i_revenue_expenses.contributions_grants</t>
        </is>
      </c>
      <c r="F19" s="8" t="inlineStr">
        <is>
          <t>high</t>
        </is>
      </c>
      <c r="G19" s="9" t="n">
        <v>21450</v>
      </c>
    </row>
    <row r="20">
      <c r="A20" s="8" t="inlineStr">
        <is>
          <t>Form 990-EZ Parts I &amp; II</t>
        </is>
      </c>
      <c r="B20" s="8" t="inlineStr">
        <is>
          <t>C7</t>
        </is>
      </c>
      <c r="C20" s="8" t="inlineStr">
        <is>
          <t>1. Contributions, gifts, grants</t>
        </is>
      </c>
      <c r="D20" s="8" t="inlineStr">
        <is>
          <t>Part I line 1</t>
        </is>
      </c>
      <c r="E20" s="8" t="inlineStr">
        <is>
          <t>part_i_revenue_expenses.contributions_grants</t>
        </is>
      </c>
      <c r="F20" s="8" t="inlineStr">
        <is>
          <t>high</t>
        </is>
      </c>
      <c r="G20" s="9" t="n">
        <v>22080</v>
      </c>
    </row>
    <row r="21">
      <c r="A21" s="8" t="inlineStr">
        <is>
          <t>Form 990-EZ Parts I &amp; II</t>
        </is>
      </c>
      <c r="B21" s="8" t="inlineStr">
        <is>
          <t>D7</t>
        </is>
      </c>
      <c r="C21" s="8" t="inlineStr">
        <is>
          <t>1. Contributions, gifts, grants</t>
        </is>
      </c>
      <c r="D21" s="8" t="inlineStr">
        <is>
          <t>Part I line 1</t>
        </is>
      </c>
      <c r="E21" s="8" t="inlineStr">
        <is>
          <t>part_i_revenue_expenses.contributions_grants</t>
        </is>
      </c>
      <c r="F21" s="8" t="inlineStr">
        <is>
          <t>high</t>
        </is>
      </c>
      <c r="G21" s="9" t="n">
        <v>22140</v>
      </c>
    </row>
    <row r="22">
      <c r="A22" s="8" t="inlineStr">
        <is>
          <t>Form 990-EZ Parts I &amp; II</t>
        </is>
      </c>
      <c r="B22" s="8" t="inlineStr">
        <is>
          <t>E7</t>
        </is>
      </c>
      <c r="C22" s="8" t="inlineStr">
        <is>
          <t>1. Contributions, gifts, grants</t>
        </is>
      </c>
      <c r="D22" s="8" t="inlineStr">
        <is>
          <t>Part I line 1</t>
        </is>
      </c>
      <c r="E22" s="8" t="inlineStr">
        <is>
          <t>part_i_revenue_expenses.contributions_grants</t>
        </is>
      </c>
      <c r="F22" s="8" t="inlineStr">
        <is>
          <t>high</t>
        </is>
      </c>
      <c r="G22" s="9" t="n">
        <v>21950</v>
      </c>
    </row>
    <row r="23">
      <c r="A23" s="8" t="inlineStr">
        <is>
          <t>Form 990-EZ Parts I &amp; II</t>
        </is>
      </c>
      <c r="B23" s="8" t="inlineStr">
        <is>
          <t>F8</t>
        </is>
      </c>
      <c r="C23" s="8" t="inlineStr">
        <is>
          <t>3. Membership dues and assessments</t>
        </is>
      </c>
      <c r="D23" s="8" t="inlineStr">
        <is>
          <t>Part I line 3</t>
        </is>
      </c>
      <c r="E23" s="8" t="inlineStr">
        <is>
          <t>part_i_revenue_expenses.membership_dues</t>
        </is>
      </c>
      <c r="F23" s="8" t="inlineStr">
        <is>
          <t>high</t>
        </is>
      </c>
      <c r="G23" s="9" t="n">
        <v>32950</v>
      </c>
    </row>
    <row r="24">
      <c r="A24" s="8" t="inlineStr">
        <is>
          <t>Form 990-EZ Parts I &amp; II</t>
        </is>
      </c>
      <c r="B24" s="8" t="inlineStr">
        <is>
          <t>G8</t>
        </is>
      </c>
      <c r="C24" s="8" t="inlineStr">
        <is>
          <t>3. Membership dues and assessments</t>
        </is>
      </c>
      <c r="D24" s="8" t="inlineStr">
        <is>
          <t>Part I line 3</t>
        </is>
      </c>
      <c r="E24" s="8" t="inlineStr">
        <is>
          <t>part_i_revenue_expenses.membership_dues</t>
        </is>
      </c>
      <c r="F24" s="8" t="inlineStr">
        <is>
          <t>high</t>
        </is>
      </c>
      <c r="G24" s="9" t="n">
        <v>15290</v>
      </c>
    </row>
    <row r="25">
      <c r="A25" s="8" t="inlineStr">
        <is>
          <t>Form 990-EZ Parts I &amp; II</t>
        </is>
      </c>
      <c r="B25" s="8" t="inlineStr">
        <is>
          <t>B9</t>
        </is>
      </c>
      <c r="C25" s="8" t="inlineStr">
        <is>
          <t>4. Investment income</t>
        </is>
      </c>
      <c r="D25" s="8" t="inlineStr">
        <is>
          <t>Part I line 4</t>
        </is>
      </c>
      <c r="E25" s="8" t="inlineStr">
        <is>
          <t>part_i_revenue_expenses.investment_income</t>
        </is>
      </c>
      <c r="F25" s="8" t="inlineStr">
        <is>
          <t>high</t>
        </is>
      </c>
      <c r="G25" s="9" t="n">
        <v>5</v>
      </c>
    </row>
    <row r="26">
      <c r="A26" s="8" t="inlineStr">
        <is>
          <t>Form 990-EZ Parts I &amp; II</t>
        </is>
      </c>
      <c r="B26" s="8" t="inlineStr">
        <is>
          <t>C9</t>
        </is>
      </c>
      <c r="C26" s="8" t="inlineStr">
        <is>
          <t>4. Investment income</t>
        </is>
      </c>
      <c r="D26" s="8" t="inlineStr">
        <is>
          <t>Part I line 4</t>
        </is>
      </c>
      <c r="E26" s="8" t="inlineStr">
        <is>
          <t>part_i_revenue_expenses.investment_income</t>
        </is>
      </c>
      <c r="F26" s="8" t="inlineStr">
        <is>
          <t>high</t>
        </is>
      </c>
      <c r="G26" s="9" t="n">
        <v>5</v>
      </c>
    </row>
    <row r="27">
      <c r="A27" s="8" t="inlineStr">
        <is>
          <t>Form 990-EZ Parts I &amp; II</t>
        </is>
      </c>
      <c r="B27" s="8" t="inlineStr">
        <is>
          <t>D9</t>
        </is>
      </c>
      <c r="C27" s="8" t="inlineStr">
        <is>
          <t>4. Investment income</t>
        </is>
      </c>
      <c r="D27" s="8" t="inlineStr">
        <is>
          <t>Part I line 4</t>
        </is>
      </c>
      <c r="E27" s="8" t="inlineStr">
        <is>
          <t>part_i_revenue_expenses.investment_income</t>
        </is>
      </c>
      <c r="F27" s="8" t="inlineStr">
        <is>
          <t>high</t>
        </is>
      </c>
      <c r="G27" s="9" t="n">
        <v>4</v>
      </c>
    </row>
    <row r="28">
      <c r="A28" s="8" t="inlineStr">
        <is>
          <t>Form 990-EZ Parts I &amp; II</t>
        </is>
      </c>
      <c r="B28" s="8" t="inlineStr">
        <is>
          <t>E9</t>
        </is>
      </c>
      <c r="C28" s="8" t="inlineStr">
        <is>
          <t>4. Investment income</t>
        </is>
      </c>
      <c r="D28" s="8" t="inlineStr">
        <is>
          <t>Part I line 4</t>
        </is>
      </c>
      <c r="E28" s="8" t="inlineStr">
        <is>
          <t>part_i_revenue_expenses.investment_income</t>
        </is>
      </c>
      <c r="F28" s="8" t="inlineStr">
        <is>
          <t>high</t>
        </is>
      </c>
      <c r="G28" s="9" t="n">
        <v>2</v>
      </c>
    </row>
    <row r="29">
      <c r="A29" s="8" t="inlineStr">
        <is>
          <t>Form 990-EZ Parts I &amp; II</t>
        </is>
      </c>
      <c r="B29" s="8" t="inlineStr">
        <is>
          <t>F9</t>
        </is>
      </c>
      <c r="C29" s="8" t="inlineStr">
        <is>
          <t>4. Investment income</t>
        </is>
      </c>
      <c r="D29" s="8" t="inlineStr">
        <is>
          <t>Part I line 4</t>
        </is>
      </c>
      <c r="E29" s="8" t="inlineStr">
        <is>
          <t>part_i_revenue_expenses.investment_income</t>
        </is>
      </c>
      <c r="F29" s="8" t="inlineStr">
        <is>
          <t>high</t>
        </is>
      </c>
      <c r="G29" s="9" t="n">
        <v>3</v>
      </c>
    </row>
    <row r="30">
      <c r="A30" s="8" t="inlineStr">
        <is>
          <t>Form 990-EZ Parts I &amp; II</t>
        </is>
      </c>
      <c r="B30" s="8" t="inlineStr">
        <is>
          <t>B10</t>
        </is>
      </c>
      <c r="C30" s="8" t="inlineStr">
        <is>
          <t>9. Total revenue</t>
        </is>
      </c>
      <c r="D30" s="8" t="inlineStr">
        <is>
          <t>Part I line 9</t>
        </is>
      </c>
      <c r="E30" s="8" t="inlineStr">
        <is>
          <t>part_i_revenue_expenses.total_revenue</t>
        </is>
      </c>
      <c r="F30" s="8" t="inlineStr">
        <is>
          <t>high</t>
        </is>
      </c>
      <c r="G30" s="9" t="n">
        <v>21455</v>
      </c>
    </row>
    <row r="31">
      <c r="A31" s="8" t="inlineStr">
        <is>
          <t>Form 990-EZ Parts I &amp; II</t>
        </is>
      </c>
      <c r="B31" s="8" t="inlineStr">
        <is>
          <t>C10</t>
        </is>
      </c>
      <c r="C31" s="8" t="inlineStr">
        <is>
          <t>9. Total revenue</t>
        </is>
      </c>
      <c r="D31" s="8" t="inlineStr">
        <is>
          <t>Part I line 9</t>
        </is>
      </c>
      <c r="E31" s="8" t="inlineStr">
        <is>
          <t>part_i_revenue_expenses.total_revenue</t>
        </is>
      </c>
      <c r="F31" s="8" t="inlineStr">
        <is>
          <t>high</t>
        </is>
      </c>
      <c r="G31" s="9" t="n">
        <v>22085</v>
      </c>
    </row>
    <row r="32">
      <c r="A32" s="8" t="inlineStr">
        <is>
          <t>Form 990-EZ Parts I &amp; II</t>
        </is>
      </c>
      <c r="B32" s="8" t="inlineStr">
        <is>
          <t>D10</t>
        </is>
      </c>
      <c r="C32" s="8" t="inlineStr">
        <is>
          <t>9. Total revenue</t>
        </is>
      </c>
      <c r="D32" s="8" t="inlineStr">
        <is>
          <t>Part I line 9</t>
        </is>
      </c>
      <c r="E32" s="8" t="inlineStr">
        <is>
          <t>part_i_revenue_expenses.total_revenue</t>
        </is>
      </c>
      <c r="F32" s="8" t="inlineStr">
        <is>
          <t>high</t>
        </is>
      </c>
      <c r="G32" s="9" t="n">
        <v>22144</v>
      </c>
    </row>
    <row r="33">
      <c r="A33" s="8" t="inlineStr">
        <is>
          <t>Form 990-EZ Parts I &amp; II</t>
        </is>
      </c>
      <c r="B33" s="8" t="inlineStr">
        <is>
          <t>E10</t>
        </is>
      </c>
      <c r="C33" s="8" t="inlineStr">
        <is>
          <t>9. Total revenue</t>
        </is>
      </c>
      <c r="D33" s="8" t="inlineStr">
        <is>
          <t>Part I line 9</t>
        </is>
      </c>
      <c r="E33" s="8" t="inlineStr">
        <is>
          <t>part_i_revenue_expenses.total_revenue</t>
        </is>
      </c>
      <c r="F33" s="8" t="inlineStr">
        <is>
          <t>high</t>
        </is>
      </c>
      <c r="G33" s="9" t="n">
        <v>21952</v>
      </c>
    </row>
    <row r="34">
      <c r="A34" s="8" t="inlineStr">
        <is>
          <t>Form 990-EZ Parts I &amp; II</t>
        </is>
      </c>
      <c r="B34" s="8" t="inlineStr">
        <is>
          <t>F10</t>
        </is>
      </c>
      <c r="C34" s="8" t="inlineStr">
        <is>
          <t>9. Total revenue</t>
        </is>
      </c>
      <c r="D34" s="8" t="inlineStr">
        <is>
          <t>Part I line 9</t>
        </is>
      </c>
      <c r="E34" s="8" t="inlineStr">
        <is>
          <t>part_i_revenue_expenses.total_revenue</t>
        </is>
      </c>
      <c r="F34" s="8" t="inlineStr">
        <is>
          <t>high</t>
        </is>
      </c>
      <c r="G34" s="9" t="n">
        <v>32953</v>
      </c>
    </row>
    <row r="35">
      <c r="A35" s="8" t="inlineStr">
        <is>
          <t>Form 990-EZ Parts I &amp; II</t>
        </is>
      </c>
      <c r="B35" s="8" t="inlineStr">
        <is>
          <t>G10</t>
        </is>
      </c>
      <c r="C35" s="8" t="inlineStr">
        <is>
          <t>9. Total revenue</t>
        </is>
      </c>
      <c r="D35" s="8" t="inlineStr">
        <is>
          <t>Part I line 9</t>
        </is>
      </c>
      <c r="E35" s="8" t="inlineStr">
        <is>
          <t>part_i_revenue_expenses.total_revenue</t>
        </is>
      </c>
      <c r="F35" s="8" t="inlineStr">
        <is>
          <t>high</t>
        </is>
      </c>
      <c r="G35" s="9" t="n">
        <v>15290</v>
      </c>
    </row>
    <row r="36">
      <c r="A36" s="8" t="inlineStr">
        <is>
          <t>Form 990-EZ Parts I &amp; II</t>
        </is>
      </c>
      <c r="B36" s="8" t="inlineStr">
        <is>
          <t>B13</t>
        </is>
      </c>
      <c r="C36" s="8" t="inlineStr">
        <is>
          <t>13. Fees for services (independent contractors)</t>
        </is>
      </c>
      <c r="D36" s="8" t="inlineStr">
        <is>
          <t>Part I line 13</t>
        </is>
      </c>
      <c r="E36" s="8" t="inlineStr">
        <is>
          <t>part_i_revenue_expenses.fees_ind_contractors</t>
        </is>
      </c>
      <c r="F36" s="8" t="inlineStr">
        <is>
          <t>high</t>
        </is>
      </c>
      <c r="G36" s="9" t="n">
        <v>13449</v>
      </c>
    </row>
    <row r="37">
      <c r="A37" s="8" t="inlineStr">
        <is>
          <t>Form 990-EZ Parts I &amp; II</t>
        </is>
      </c>
      <c r="B37" s="8" t="inlineStr">
        <is>
          <t>C13</t>
        </is>
      </c>
      <c r="C37" s="8" t="inlineStr">
        <is>
          <t>13. Fees for services (independent contractors)</t>
        </is>
      </c>
      <c r="D37" s="8" t="inlineStr">
        <is>
          <t>Part I line 13</t>
        </is>
      </c>
      <c r="E37" s="8" t="inlineStr">
        <is>
          <t>part_i_revenue_expenses.fees_ind_contractors</t>
        </is>
      </c>
      <c r="F37" s="8" t="inlineStr">
        <is>
          <t>high</t>
        </is>
      </c>
      <c r="G37" s="9" t="n">
        <v>14155</v>
      </c>
    </row>
    <row r="38">
      <c r="A38" s="8" t="inlineStr">
        <is>
          <t>Form 990-EZ Parts I &amp; II</t>
        </is>
      </c>
      <c r="B38" s="8" t="inlineStr">
        <is>
          <t>D13</t>
        </is>
      </c>
      <c r="C38" s="8" t="inlineStr">
        <is>
          <t>13. Fees for services (independent contractors)</t>
        </is>
      </c>
      <c r="D38" s="8" t="inlineStr">
        <is>
          <t>Part I line 13</t>
        </is>
      </c>
      <c r="E38" s="8" t="inlineStr">
        <is>
          <t>part_i_revenue_expenses.fees_ind_contractors</t>
        </is>
      </c>
      <c r="F38" s="8" t="inlineStr">
        <is>
          <t>high</t>
        </is>
      </c>
      <c r="G38" s="9" t="n">
        <v>27287</v>
      </c>
    </row>
    <row r="39">
      <c r="A39" s="8" t="inlineStr">
        <is>
          <t>Form 990-EZ Parts I &amp; II</t>
        </is>
      </c>
      <c r="B39" s="8" t="inlineStr">
        <is>
          <t>E13</t>
        </is>
      </c>
      <c r="C39" s="8" t="inlineStr">
        <is>
          <t>13. Fees for services (independent contractors)</t>
        </is>
      </c>
      <c r="D39" s="8" t="inlineStr">
        <is>
          <t>Part I line 13</t>
        </is>
      </c>
      <c r="E39" s="8" t="inlineStr">
        <is>
          <t>part_i_revenue_expenses.fees_ind_contractors</t>
        </is>
      </c>
      <c r="F39" s="8" t="inlineStr">
        <is>
          <t>high</t>
        </is>
      </c>
      <c r="G39" s="9" t="n">
        <v>23409</v>
      </c>
    </row>
    <row r="40">
      <c r="A40" s="8" t="inlineStr">
        <is>
          <t>Form 990-EZ Parts I &amp; II</t>
        </is>
      </c>
      <c r="B40" s="8" t="inlineStr">
        <is>
          <t>F13</t>
        </is>
      </c>
      <c r="C40" s="8" t="inlineStr">
        <is>
          <t>13. Fees for services (independent contractors)</t>
        </is>
      </c>
      <c r="D40" s="8" t="inlineStr">
        <is>
          <t>Part I line 13</t>
        </is>
      </c>
      <c r="E40" s="8" t="inlineStr">
        <is>
          <t>part_i_revenue_expenses.fees_ind_contractors</t>
        </is>
      </c>
      <c r="F40" s="8" t="inlineStr">
        <is>
          <t>high</t>
        </is>
      </c>
      <c r="G40" s="9" t="n">
        <v>20409</v>
      </c>
    </row>
    <row r="41">
      <c r="A41" s="8" t="inlineStr">
        <is>
          <t>Form 990-EZ Parts I &amp; II</t>
        </is>
      </c>
      <c r="B41" s="8" t="inlineStr">
        <is>
          <t>G13</t>
        </is>
      </c>
      <c r="C41" s="8" t="inlineStr">
        <is>
          <t>13. Fees for services (independent contractors)</t>
        </is>
      </c>
      <c r="D41" s="8" t="inlineStr">
        <is>
          <t>Part I line 13</t>
        </is>
      </c>
      <c r="E41" s="8" t="inlineStr">
        <is>
          <t>part_i_revenue_expenses.fees_ind_contractors</t>
        </is>
      </c>
      <c r="F41" s="8" t="inlineStr">
        <is>
          <t>high</t>
        </is>
      </c>
      <c r="G41" s="9" t="n">
        <v>13993</v>
      </c>
    </row>
    <row r="42">
      <c r="A42" s="8" t="inlineStr">
        <is>
          <t>Form 990-EZ Parts I &amp; II</t>
        </is>
      </c>
      <c r="B42" s="8" t="inlineStr">
        <is>
          <t>B14</t>
        </is>
      </c>
      <c r="C42" s="8" t="inlineStr">
        <is>
          <t>14. Occupancy, rent, utilities, maintenance</t>
        </is>
      </c>
      <c r="D42" s="8" t="inlineStr">
        <is>
          <t>Part I line 14</t>
        </is>
      </c>
      <c r="E42" s="8" t="inlineStr">
        <is>
          <t>part_i_revenue_expenses.occupancy_utilities_maint</t>
        </is>
      </c>
      <c r="F42" s="8" t="inlineStr">
        <is>
          <t>high</t>
        </is>
      </c>
      <c r="G42" s="9" t="n">
        <v>1767</v>
      </c>
    </row>
    <row r="43">
      <c r="A43" s="8" t="inlineStr">
        <is>
          <t>Form 990-EZ Parts I &amp; II</t>
        </is>
      </c>
      <c r="B43" s="8" t="inlineStr">
        <is>
          <t>C14</t>
        </is>
      </c>
      <c r="C43" s="8" t="inlineStr">
        <is>
          <t>14. Occupancy, rent, utilities, maintenance</t>
        </is>
      </c>
      <c r="D43" s="8" t="inlineStr">
        <is>
          <t>Part I line 14</t>
        </is>
      </c>
      <c r="E43" s="8" t="inlineStr">
        <is>
          <t>part_i_revenue_expenses.occupancy_utilities_maint</t>
        </is>
      </c>
      <c r="F43" s="8" t="inlineStr">
        <is>
          <t>high</t>
        </is>
      </c>
      <c r="G43" s="9" t="n">
        <v>2555</v>
      </c>
    </row>
    <row r="44">
      <c r="A44" s="8" t="inlineStr">
        <is>
          <t>Form 990-EZ Parts I &amp; II</t>
        </is>
      </c>
      <c r="B44" s="8" t="inlineStr">
        <is>
          <t>D14</t>
        </is>
      </c>
      <c r="C44" s="8" t="inlineStr">
        <is>
          <t>14. Occupancy, rent, utilities, maintenance</t>
        </is>
      </c>
      <c r="D44" s="8" t="inlineStr">
        <is>
          <t>Part I line 14</t>
        </is>
      </c>
      <c r="E44" s="8" t="inlineStr">
        <is>
          <t>part_i_revenue_expenses.occupancy_utilities_maint</t>
        </is>
      </c>
      <c r="F44" s="8" t="inlineStr">
        <is>
          <t>high</t>
        </is>
      </c>
      <c r="G44" s="9" t="n">
        <v>3128</v>
      </c>
    </row>
    <row r="45">
      <c r="A45" s="8" t="inlineStr">
        <is>
          <t>Form 990-EZ Parts I &amp; II</t>
        </is>
      </c>
      <c r="B45" s="8" t="inlineStr">
        <is>
          <t>E14</t>
        </is>
      </c>
      <c r="C45" s="8" t="inlineStr">
        <is>
          <t>14. Occupancy, rent, utilities, maintenance</t>
        </is>
      </c>
      <c r="D45" s="8" t="inlineStr">
        <is>
          <t>Part I line 14</t>
        </is>
      </c>
      <c r="E45" s="8" t="inlineStr">
        <is>
          <t>part_i_revenue_expenses.occupancy_utilities_maint</t>
        </is>
      </c>
      <c r="F45" s="8" t="inlineStr">
        <is>
          <t>high</t>
        </is>
      </c>
      <c r="G45" s="9" t="n">
        <v>3130</v>
      </c>
    </row>
    <row r="46">
      <c r="A46" s="8" t="inlineStr">
        <is>
          <t>Form 990-EZ Parts I &amp; II</t>
        </is>
      </c>
      <c r="B46" s="8" t="inlineStr">
        <is>
          <t>F14</t>
        </is>
      </c>
      <c r="C46" s="8" t="inlineStr">
        <is>
          <t>14. Occupancy, rent, utilities, maintenance</t>
        </is>
      </c>
      <c r="D46" s="8" t="inlineStr">
        <is>
          <t>Part I line 14</t>
        </is>
      </c>
      <c r="E46" s="8" t="inlineStr">
        <is>
          <t>part_i_revenue_expenses.occupancy_utilities_maint</t>
        </is>
      </c>
      <c r="F46" s="8" t="inlineStr">
        <is>
          <t>high</t>
        </is>
      </c>
      <c r="G46" s="9" t="n">
        <v>3703</v>
      </c>
    </row>
    <row r="47">
      <c r="A47" s="8" t="inlineStr">
        <is>
          <t>Form 990-EZ Parts I &amp; II</t>
        </is>
      </c>
      <c r="B47" s="8" t="inlineStr">
        <is>
          <t>G14</t>
        </is>
      </c>
      <c r="C47" s="8" t="inlineStr">
        <is>
          <t>14. Occupancy, rent, utilities, maintenance</t>
        </is>
      </c>
      <c r="D47" s="8" t="inlineStr">
        <is>
          <t>Part I line 14</t>
        </is>
      </c>
      <c r="E47" s="8" t="inlineStr">
        <is>
          <t>part_i_revenue_expenses.occupancy_utilities_maint</t>
        </is>
      </c>
      <c r="F47" s="8" t="inlineStr">
        <is>
          <t>high</t>
        </is>
      </c>
      <c r="G47" s="9" t="n">
        <v>4128</v>
      </c>
    </row>
    <row r="48">
      <c r="A48" s="8" t="inlineStr">
        <is>
          <t>Form 990-EZ Parts I &amp; II</t>
        </is>
      </c>
      <c r="B48" s="8" t="inlineStr">
        <is>
          <t>B15</t>
        </is>
      </c>
      <c r="C48" s="8" t="inlineStr">
        <is>
          <t>16. Other expenses</t>
        </is>
      </c>
      <c r="D48" s="8" t="inlineStr">
        <is>
          <t>Part I line 16</t>
        </is>
      </c>
      <c r="E48" s="8" t="inlineStr">
        <is>
          <t>part_i_revenue_expenses.other_expenses_total</t>
        </is>
      </c>
      <c r="F48" s="8" t="inlineStr">
        <is>
          <t>high</t>
        </is>
      </c>
      <c r="G48" s="9" t="n">
        <v>616</v>
      </c>
    </row>
    <row r="49">
      <c r="A49" s="8" t="inlineStr">
        <is>
          <t>Form 990-EZ Parts I &amp; II</t>
        </is>
      </c>
      <c r="B49" s="8" t="inlineStr">
        <is>
          <t>C15</t>
        </is>
      </c>
      <c r="C49" s="8" t="inlineStr">
        <is>
          <t>16. Other expenses</t>
        </is>
      </c>
      <c r="D49" s="8" t="inlineStr">
        <is>
          <t>Part I line 16</t>
        </is>
      </c>
      <c r="E49" s="8" t="inlineStr">
        <is>
          <t>part_i_revenue_expenses.other_expenses_total</t>
        </is>
      </c>
      <c r="F49" s="8" t="inlineStr">
        <is>
          <t>high</t>
        </is>
      </c>
      <c r="G49" s="9" t="n">
        <v>281</v>
      </c>
    </row>
    <row r="50">
      <c r="A50" s="8" t="inlineStr">
        <is>
          <t>Form 990-EZ Parts I &amp; II</t>
        </is>
      </c>
      <c r="B50" s="8" t="inlineStr">
        <is>
          <t>D15</t>
        </is>
      </c>
      <c r="C50" s="8" t="inlineStr">
        <is>
          <t>16. Other expenses</t>
        </is>
      </c>
      <c r="D50" s="8" t="inlineStr">
        <is>
          <t>Part I line 16</t>
        </is>
      </c>
      <c r="E50" s="8" t="inlineStr">
        <is>
          <t>part_i_revenue_expenses.other_expenses_total</t>
        </is>
      </c>
      <c r="F50" s="8" t="inlineStr">
        <is>
          <t>high</t>
        </is>
      </c>
      <c r="G50" s="9" t="n">
        <v>458</v>
      </c>
    </row>
    <row r="51">
      <c r="A51" s="8" t="inlineStr">
        <is>
          <t>Form 990-EZ Parts I &amp; II</t>
        </is>
      </c>
      <c r="B51" s="8" t="inlineStr">
        <is>
          <t>E15</t>
        </is>
      </c>
      <c r="C51" s="8" t="inlineStr">
        <is>
          <t>16. Other expenses</t>
        </is>
      </c>
      <c r="D51" s="8" t="inlineStr">
        <is>
          <t>Part I line 16</t>
        </is>
      </c>
      <c r="E51" s="8" t="inlineStr">
        <is>
          <t>part_i_revenue_expenses.other_expenses_total</t>
        </is>
      </c>
      <c r="F51" s="8" t="inlineStr">
        <is>
          <t>high</t>
        </is>
      </c>
      <c r="G51" s="9" t="n">
        <v>198</v>
      </c>
    </row>
    <row r="52">
      <c r="A52" s="8" t="inlineStr">
        <is>
          <t>Form 990-EZ Parts I &amp; II</t>
        </is>
      </c>
      <c r="B52" s="8" t="inlineStr">
        <is>
          <t>F15</t>
        </is>
      </c>
      <c r="C52" s="8" t="inlineStr">
        <is>
          <t>16. Other expenses</t>
        </is>
      </c>
      <c r="D52" s="8" t="inlineStr">
        <is>
          <t>Part I line 16</t>
        </is>
      </c>
      <c r="E52" s="8" t="inlineStr">
        <is>
          <t>part_i_revenue_expenses.other_expenses_total</t>
        </is>
      </c>
      <c r="F52" s="8" t="inlineStr">
        <is>
          <t>high</t>
        </is>
      </c>
      <c r="G52" s="9" t="n">
        <v>624</v>
      </c>
    </row>
    <row r="53">
      <c r="A53" s="8" t="inlineStr">
        <is>
          <t>Form 990-EZ Parts I &amp; II</t>
        </is>
      </c>
      <c r="B53" s="8" t="inlineStr">
        <is>
          <t>G15</t>
        </is>
      </c>
      <c r="C53" s="8" t="inlineStr">
        <is>
          <t>16. Other expenses</t>
        </is>
      </c>
      <c r="D53" s="8" t="inlineStr">
        <is>
          <t>Part I line 16</t>
        </is>
      </c>
      <c r="E53" s="8" t="inlineStr">
        <is>
          <t>part_i_revenue_expenses.other_expenses_total</t>
        </is>
      </c>
      <c r="F53" s="8" t="inlineStr">
        <is>
          <t>high</t>
        </is>
      </c>
      <c r="G53" s="9" t="n">
        <v>270</v>
      </c>
    </row>
    <row r="54">
      <c r="A54" s="8" t="inlineStr">
        <is>
          <t>Form 990-EZ Parts I &amp; II</t>
        </is>
      </c>
      <c r="B54" s="8" t="inlineStr">
        <is>
          <t>B19</t>
        </is>
      </c>
      <c r="C54" s="8" t="inlineStr">
        <is>
          <t>19. Net assets or fund balances, beginning of year</t>
        </is>
      </c>
      <c r="D54" s="8" t="inlineStr">
        <is>
          <t>Part I line 19</t>
        </is>
      </c>
      <c r="E54" s="8" t="inlineStr">
        <is>
          <t>part_i_revenue_expenses.net_assets_boy</t>
        </is>
      </c>
      <c r="F54" s="8" t="inlineStr">
        <is>
          <t>high</t>
        </is>
      </c>
      <c r="G54" s="9" t="n">
        <v>30112</v>
      </c>
    </row>
    <row r="55">
      <c r="A55" s="8" t="inlineStr">
        <is>
          <t>Form 990-EZ Parts I &amp; II</t>
        </is>
      </c>
      <c r="B55" s="8" t="inlineStr">
        <is>
          <t>C19</t>
        </is>
      </c>
      <c r="C55" s="8" t="inlineStr">
        <is>
          <t>19. Net assets or fund balances, beginning of year</t>
        </is>
      </c>
      <c r="D55" s="8" t="inlineStr">
        <is>
          <t>Part I line 19</t>
        </is>
      </c>
      <c r="E55" s="8" t="inlineStr">
        <is>
          <t>part_i_revenue_expenses.net_assets_boy</t>
        </is>
      </c>
      <c r="F55" s="8" t="inlineStr">
        <is>
          <t>high</t>
        </is>
      </c>
      <c r="G55" s="9" t="n">
        <v>35735</v>
      </c>
    </row>
    <row r="56">
      <c r="A56" s="8" t="inlineStr">
        <is>
          <t>Form 990-EZ Parts I &amp; II</t>
        </is>
      </c>
      <c r="B56" s="8" t="inlineStr">
        <is>
          <t>D19</t>
        </is>
      </c>
      <c r="C56" s="8" t="inlineStr">
        <is>
          <t>19. Net assets or fund balances, beginning of year</t>
        </is>
      </c>
      <c r="D56" s="8" t="inlineStr">
        <is>
          <t>Part I line 19</t>
        </is>
      </c>
      <c r="E56" s="8" t="inlineStr">
        <is>
          <t>part_i_revenue_expenses.net_assets_boy</t>
        </is>
      </c>
      <c r="F56" s="8" t="inlineStr">
        <is>
          <t>high</t>
        </is>
      </c>
      <c r="G56" s="9" t="n">
        <v>40829</v>
      </c>
    </row>
    <row r="57">
      <c r="A57" s="8" t="inlineStr">
        <is>
          <t>Form 990-EZ Parts I &amp; II</t>
        </is>
      </c>
      <c r="B57" s="8" t="inlineStr">
        <is>
          <t>E19</t>
        </is>
      </c>
      <c r="C57" s="8" t="inlineStr">
        <is>
          <t>19. Net assets or fund balances, beginning of year</t>
        </is>
      </c>
      <c r="D57" s="8" t="inlineStr">
        <is>
          <t>Part I line 19</t>
        </is>
      </c>
      <c r="E57" s="8" t="inlineStr">
        <is>
          <t>part_i_revenue_expenses.net_assets_boy</t>
        </is>
      </c>
      <c r="F57" s="8" t="inlineStr">
        <is>
          <t>high</t>
        </is>
      </c>
      <c r="G57" s="9" t="n">
        <v>32100</v>
      </c>
    </row>
    <row r="58">
      <c r="A58" s="8" t="inlineStr">
        <is>
          <t>Form 990-EZ Parts I &amp; II</t>
        </is>
      </c>
      <c r="B58" s="8" t="inlineStr">
        <is>
          <t>F19</t>
        </is>
      </c>
      <c r="C58" s="8" t="inlineStr">
        <is>
          <t>19. Net assets or fund balances, beginning of year</t>
        </is>
      </c>
      <c r="D58" s="8" t="inlineStr">
        <is>
          <t>Part I line 19</t>
        </is>
      </c>
      <c r="E58" s="8" t="inlineStr">
        <is>
          <t>part_i_revenue_expenses.net_assets_boy</t>
        </is>
      </c>
      <c r="F58" s="8" t="inlineStr">
        <is>
          <t>high</t>
        </is>
      </c>
      <c r="G58" s="9" t="n">
        <v>27315</v>
      </c>
    </row>
    <row r="59">
      <c r="A59" s="8" t="inlineStr">
        <is>
          <t>Form 990-EZ Parts I &amp; II</t>
        </is>
      </c>
      <c r="B59" s="8" t="inlineStr">
        <is>
          <t>G19</t>
        </is>
      </c>
      <c r="C59" s="8" t="inlineStr">
        <is>
          <t>19. Net assets or fund balances, beginning of year</t>
        </is>
      </c>
      <c r="D59" s="8" t="inlineStr">
        <is>
          <t>Part I line 19</t>
        </is>
      </c>
      <c r="E59" s="8" t="inlineStr">
        <is>
          <t>part_i_revenue_expenses.net_assets_boy</t>
        </is>
      </c>
      <c r="F59" s="8" t="inlineStr">
        <is>
          <t>high</t>
        </is>
      </c>
      <c r="G59" s="9" t="n">
        <v>18280</v>
      </c>
    </row>
    <row r="60">
      <c r="A60" s="8" t="inlineStr">
        <is>
          <t>Form 990-EZ Parts I &amp; II</t>
        </is>
      </c>
      <c r="B60" s="8" t="inlineStr">
        <is>
          <t>B20</t>
        </is>
      </c>
      <c r="C60" s="8" t="inlineStr">
        <is>
          <t>18. Excess or (deficit) for the year</t>
        </is>
      </c>
      <c r="D60" s="8" t="inlineStr">
        <is>
          <t>Part I line 18</t>
        </is>
      </c>
      <c r="E60" s="8" t="inlineStr">
        <is>
          <t>part_i_revenue_expenses.excess_or_deficit</t>
        </is>
      </c>
      <c r="F60" s="8" t="inlineStr">
        <is>
          <t>high</t>
        </is>
      </c>
      <c r="G60" s="9" t="n">
        <v>5623</v>
      </c>
    </row>
    <row r="61">
      <c r="A61" s="8" t="inlineStr">
        <is>
          <t>Form 990-EZ Parts I &amp; II</t>
        </is>
      </c>
      <c r="B61" s="8" t="inlineStr">
        <is>
          <t>C20</t>
        </is>
      </c>
      <c r="C61" s="8" t="inlineStr">
        <is>
          <t>18. Excess or (deficit) for the year</t>
        </is>
      </c>
      <c r="D61" s="8" t="inlineStr">
        <is>
          <t>Part I line 18</t>
        </is>
      </c>
      <c r="E61" s="8" t="inlineStr">
        <is>
          <t>part_i_revenue_expenses.excess_or_deficit</t>
        </is>
      </c>
      <c r="F61" s="8" t="inlineStr">
        <is>
          <t>high</t>
        </is>
      </c>
      <c r="G61" s="9" t="n">
        <v>5094</v>
      </c>
    </row>
    <row r="62">
      <c r="A62" s="8" t="inlineStr">
        <is>
          <t>Form 990-EZ Parts I &amp; II</t>
        </is>
      </c>
      <c r="B62" s="8" t="inlineStr">
        <is>
          <t>D20</t>
        </is>
      </c>
      <c r="C62" s="8" t="inlineStr">
        <is>
          <t>18. Excess or (deficit) for the year</t>
        </is>
      </c>
      <c r="D62" s="8" t="inlineStr">
        <is>
          <t>Part I line 18</t>
        </is>
      </c>
      <c r="E62" s="8" t="inlineStr">
        <is>
          <t>part_i_revenue_expenses.excess_or_deficit</t>
        </is>
      </c>
      <c r="F62" s="8" t="inlineStr">
        <is>
          <t>high</t>
        </is>
      </c>
      <c r="G62" s="9" t="n">
        <v>-8729</v>
      </c>
    </row>
    <row r="63">
      <c r="A63" s="8" t="inlineStr">
        <is>
          <t>Form 990-EZ Parts I &amp; II</t>
        </is>
      </c>
      <c r="B63" s="8" t="inlineStr">
        <is>
          <t>E20</t>
        </is>
      </c>
      <c r="C63" s="8" t="inlineStr">
        <is>
          <t>18. Excess or (deficit) for the year</t>
        </is>
      </c>
      <c r="D63" s="8" t="inlineStr">
        <is>
          <t>Part I line 18</t>
        </is>
      </c>
      <c r="E63" s="8" t="inlineStr">
        <is>
          <t>part_i_revenue_expenses.excess_or_deficit</t>
        </is>
      </c>
      <c r="F63" s="8" t="inlineStr">
        <is>
          <t>high</t>
        </is>
      </c>
      <c r="G63" s="9" t="n">
        <v>-4785</v>
      </c>
    </row>
    <row r="64">
      <c r="A64" s="8" t="inlineStr">
        <is>
          <t>Form 990-EZ Parts I &amp; II</t>
        </is>
      </c>
      <c r="B64" s="8" t="inlineStr">
        <is>
          <t>F20</t>
        </is>
      </c>
      <c r="C64" s="8" t="inlineStr">
        <is>
          <t>18. Excess or (deficit) for the year</t>
        </is>
      </c>
      <c r="D64" s="8" t="inlineStr">
        <is>
          <t>Part I line 18</t>
        </is>
      </c>
      <c r="E64" s="8" t="inlineStr">
        <is>
          <t>part_i_revenue_expenses.excess_or_deficit</t>
        </is>
      </c>
      <c r="F64" s="8" t="inlineStr">
        <is>
          <t>high</t>
        </is>
      </c>
      <c r="G64" s="9" t="n">
        <v>8217</v>
      </c>
    </row>
    <row r="65">
      <c r="A65" s="8" t="inlineStr">
        <is>
          <t>Form 990-EZ Parts I &amp; II</t>
        </is>
      </c>
      <c r="B65" s="8" t="inlineStr">
        <is>
          <t>G20</t>
        </is>
      </c>
      <c r="C65" s="8" t="inlineStr">
        <is>
          <t>18. Excess or (deficit) for the year</t>
        </is>
      </c>
      <c r="D65" s="8" t="inlineStr">
        <is>
          <t>Part I line 18</t>
        </is>
      </c>
      <c r="E65" s="8" t="inlineStr">
        <is>
          <t>part_i_revenue_expenses.excess_or_deficit</t>
        </is>
      </c>
      <c r="F65" s="8" t="inlineStr">
        <is>
          <t>high</t>
        </is>
      </c>
      <c r="G65" s="9" t="n">
        <v>-3101</v>
      </c>
    </row>
    <row r="66">
      <c r="A66" s="8" t="inlineStr">
        <is>
          <t>Form 990-EZ Parts I &amp; II</t>
        </is>
      </c>
      <c r="B66" s="8" t="inlineStr">
        <is>
          <t>B24</t>
        </is>
      </c>
      <c r="C66" s="8" t="inlineStr">
        <is>
          <t>22. Cash, savings, and investments</t>
        </is>
      </c>
      <c r="D66" s="8" t="inlineStr">
        <is>
          <t>Part II line 22 col B</t>
        </is>
      </c>
      <c r="E66" s="8" t="inlineStr">
        <is>
          <t>part_ii_balance_sheet.cash_savings_investments_eoy</t>
        </is>
      </c>
      <c r="F66" s="8" t="inlineStr">
        <is>
          <t>high</t>
        </is>
      </c>
      <c r="G66" s="9" t="n">
        <v>31678</v>
      </c>
    </row>
    <row r="67">
      <c r="A67" s="8" t="inlineStr">
        <is>
          <t>Form 990-EZ Parts I &amp; II</t>
        </is>
      </c>
      <c r="B67" s="8" t="inlineStr">
        <is>
          <t>C24</t>
        </is>
      </c>
      <c r="C67" s="8" t="inlineStr">
        <is>
          <t>22. Cash, savings, and investments</t>
        </is>
      </c>
      <c r="D67" s="8" t="inlineStr">
        <is>
          <t>Part II line 22 col B</t>
        </is>
      </c>
      <c r="E67" s="8" t="inlineStr">
        <is>
          <t>part_ii_balance_sheet.cash_savings_investments_eoy</t>
        </is>
      </c>
      <c r="F67" s="8" t="inlineStr">
        <is>
          <t>high</t>
        </is>
      </c>
      <c r="G67" s="9" t="n">
        <v>31601</v>
      </c>
    </row>
    <row r="68">
      <c r="A68" s="8" t="inlineStr">
        <is>
          <t>Form 990-EZ Parts I &amp; II</t>
        </is>
      </c>
      <c r="B68" s="8" t="inlineStr">
        <is>
          <t>D24</t>
        </is>
      </c>
      <c r="C68" s="8" t="inlineStr">
        <is>
          <t>22. Cash, savings, and investments</t>
        </is>
      </c>
      <c r="D68" s="8" t="inlineStr">
        <is>
          <t>Part II line 22 col B</t>
        </is>
      </c>
      <c r="E68" s="8" t="inlineStr">
        <is>
          <t>part_ii_balance_sheet.cash_savings_investments_eoy</t>
        </is>
      </c>
      <c r="F68" s="8" t="inlineStr">
        <is>
          <t>high</t>
        </is>
      </c>
      <c r="G68" s="9" t="n">
        <v>22238</v>
      </c>
    </row>
    <row r="69">
      <c r="A69" s="8" t="inlineStr">
        <is>
          <t>Form 990-EZ Parts I &amp; II</t>
        </is>
      </c>
      <c r="B69" s="8" t="inlineStr">
        <is>
          <t>E24</t>
        </is>
      </c>
      <c r="C69" s="8" t="inlineStr">
        <is>
          <t>22. Cash, savings, and investments</t>
        </is>
      </c>
      <c r="D69" s="8" t="inlineStr">
        <is>
          <t>Part II line 22 col B</t>
        </is>
      </c>
      <c r="E69" s="8" t="inlineStr">
        <is>
          <t>part_ii_balance_sheet.cash_savings_investments_eoy</t>
        </is>
      </c>
      <c r="F69" s="8" t="inlineStr">
        <is>
          <t>high</t>
        </is>
      </c>
      <c r="G69" s="9" t="n">
        <v>10303</v>
      </c>
    </row>
    <row r="70">
      <c r="A70" s="8" t="inlineStr">
        <is>
          <t>Form 990-EZ Parts I &amp; II</t>
        </is>
      </c>
      <c r="B70" s="8" t="inlineStr">
        <is>
          <t>F24</t>
        </is>
      </c>
      <c r="C70" s="8" t="inlineStr">
        <is>
          <t>22. Cash, savings, and investments</t>
        </is>
      </c>
      <c r="D70" s="8" t="inlineStr">
        <is>
          <t>Part II line 22 col B</t>
        </is>
      </c>
      <c r="E70" s="8" t="inlineStr">
        <is>
          <t>part_ii_balance_sheet.cash_savings_investments_eoy</t>
        </is>
      </c>
      <c r="F70" s="8" t="inlineStr">
        <is>
          <t>high</t>
        </is>
      </c>
      <c r="G70" s="9" t="n">
        <v>15600</v>
      </c>
    </row>
    <row r="71">
      <c r="A71" s="8" t="inlineStr">
        <is>
          <t>Form 990-EZ Parts I &amp; II</t>
        </is>
      </c>
      <c r="B71" s="8" t="inlineStr">
        <is>
          <t>G24</t>
        </is>
      </c>
      <c r="C71" s="8" t="inlineStr">
        <is>
          <t>22. Cash, savings, and investments</t>
        </is>
      </c>
      <c r="D71" s="8" t="inlineStr">
        <is>
          <t>Part II line 22 col B</t>
        </is>
      </c>
      <c r="E71" s="8" t="inlineStr">
        <is>
          <t>part_ii_balance_sheet.cash_savings_investments_eoy</t>
        </is>
      </c>
      <c r="F71" s="8" t="inlineStr">
        <is>
          <t>high</t>
        </is>
      </c>
      <c r="G71" s="9" t="n">
        <v>14764</v>
      </c>
    </row>
    <row r="72">
      <c r="A72" s="8" t="inlineStr">
        <is>
          <t>Form 990-EZ Parts I &amp; II</t>
        </is>
      </c>
      <c r="B72" s="8" t="inlineStr">
        <is>
          <t>B25</t>
        </is>
      </c>
      <c r="C72" s="8" t="inlineStr">
        <is>
          <t>23. Land and buildings</t>
        </is>
      </c>
      <c r="D72" s="8" t="inlineStr">
        <is>
          <t>Part II line 23 col B</t>
        </is>
      </c>
      <c r="E72" s="8" t="inlineStr">
        <is>
          <t>part_ii_balance_sheet.land_and_buildings_eoy</t>
        </is>
      </c>
      <c r="F72" s="8" t="inlineStr">
        <is>
          <t>high</t>
        </is>
      </c>
      <c r="G72" s="9" t="n">
        <v>0</v>
      </c>
    </row>
    <row r="73">
      <c r="A73" s="8" t="inlineStr">
        <is>
          <t>Form 990-EZ Parts I &amp; II</t>
        </is>
      </c>
      <c r="B73" s="8" t="inlineStr">
        <is>
          <t>C25</t>
        </is>
      </c>
      <c r="C73" s="8" t="inlineStr">
        <is>
          <t>23. Land and buildings</t>
        </is>
      </c>
      <c r="D73" s="8" t="inlineStr">
        <is>
          <t>Part II line 23 col B</t>
        </is>
      </c>
      <c r="E73" s="8" t="inlineStr">
        <is>
          <t>part_ii_balance_sheet.land_and_buildings_eoy</t>
        </is>
      </c>
      <c r="F73" s="8" t="inlineStr">
        <is>
          <t>high</t>
        </is>
      </c>
      <c r="G73" s="9" t="n">
        <v>0</v>
      </c>
    </row>
    <row r="74">
      <c r="A74" s="8" t="inlineStr">
        <is>
          <t>Form 990-EZ Parts I &amp; II</t>
        </is>
      </c>
      <c r="B74" s="8" t="inlineStr">
        <is>
          <t>D25</t>
        </is>
      </c>
      <c r="C74" s="8" t="inlineStr">
        <is>
          <t>23. Land and buildings</t>
        </is>
      </c>
      <c r="D74" s="8" t="inlineStr">
        <is>
          <t>Part II line 23 col B</t>
        </is>
      </c>
      <c r="E74" s="8" t="inlineStr">
        <is>
          <t>part_ii_balance_sheet.land_and_buildings_eoy</t>
        </is>
      </c>
      <c r="F74" s="8" t="inlineStr">
        <is>
          <t>high</t>
        </is>
      </c>
      <c r="G74" s="9" t="n">
        <v>0</v>
      </c>
    </row>
    <row r="75">
      <c r="A75" s="8" t="inlineStr">
        <is>
          <t>Form 990-EZ Parts I &amp; II</t>
        </is>
      </c>
      <c r="B75" s="8" t="inlineStr">
        <is>
          <t>E25</t>
        </is>
      </c>
      <c r="C75" s="8" t="inlineStr">
        <is>
          <t>23. Land and buildings</t>
        </is>
      </c>
      <c r="D75" s="8" t="inlineStr">
        <is>
          <t>Part II line 23 col B</t>
        </is>
      </c>
      <c r="E75" s="8" t="inlineStr">
        <is>
          <t>part_ii_balance_sheet.land_and_buildings_eoy</t>
        </is>
      </c>
      <c r="F75" s="8" t="inlineStr">
        <is>
          <t>high</t>
        </is>
      </c>
      <c r="G75" s="9" t="n">
        <v>0</v>
      </c>
    </row>
    <row r="76">
      <c r="A76" s="8" t="inlineStr">
        <is>
          <t>Form 990-EZ Parts I &amp; II</t>
        </is>
      </c>
      <c r="B76" s="8" t="inlineStr">
        <is>
          <t>F25</t>
        </is>
      </c>
      <c r="C76" s="8" t="inlineStr">
        <is>
          <t>23. Land and buildings</t>
        </is>
      </c>
      <c r="D76" s="8" t="inlineStr">
        <is>
          <t>Part II line 23 col B</t>
        </is>
      </c>
      <c r="E76" s="8" t="inlineStr">
        <is>
          <t>part_ii_balance_sheet.land_and_buildings_eoy</t>
        </is>
      </c>
      <c r="F76" s="8" t="inlineStr">
        <is>
          <t>high</t>
        </is>
      </c>
      <c r="G76" s="9" t="n">
        <v>0</v>
      </c>
    </row>
    <row r="77">
      <c r="A77" s="8" t="inlineStr">
        <is>
          <t>Form 990-EZ Parts I &amp; II</t>
        </is>
      </c>
      <c r="B77" s="8" t="inlineStr">
        <is>
          <t>G25</t>
        </is>
      </c>
      <c r="C77" s="8" t="inlineStr">
        <is>
          <t>23. Land and buildings</t>
        </is>
      </c>
      <c r="D77" s="8" t="inlineStr">
        <is>
          <t>Part II line 23 col B</t>
        </is>
      </c>
      <c r="E77" s="8" t="inlineStr">
        <is>
          <t>part_ii_balance_sheet.land_and_buildings_eoy</t>
        </is>
      </c>
      <c r="F77" s="8" t="inlineStr">
        <is>
          <t>high</t>
        </is>
      </c>
      <c r="G77" s="9" t="n">
        <v>0</v>
      </c>
    </row>
    <row r="78">
      <c r="A78" s="8" t="inlineStr">
        <is>
          <t>Form 990-EZ Parts I &amp; II</t>
        </is>
      </c>
      <c r="B78" s="8" t="inlineStr">
        <is>
          <t>B26</t>
        </is>
      </c>
      <c r="C78" s="8" t="inlineStr">
        <is>
          <t>24. Other assets</t>
        </is>
      </c>
      <c r="D78" s="8" t="inlineStr">
        <is>
          <t>Part II line 24 col B</t>
        </is>
      </c>
      <c r="E78" s="8" t="inlineStr">
        <is>
          <t>part_ii_balance_sheet.other_assets_eoy</t>
        </is>
      </c>
      <c r="F78" s="8" t="inlineStr">
        <is>
          <t>high</t>
        </is>
      </c>
      <c r="G78" s="9" t="n">
        <v>4057</v>
      </c>
    </row>
    <row r="79">
      <c r="A79" s="8" t="inlineStr">
        <is>
          <t>Form 990-EZ Parts I &amp; II</t>
        </is>
      </c>
      <c r="B79" s="8" t="inlineStr">
        <is>
          <t>C26</t>
        </is>
      </c>
      <c r="C79" s="8" t="inlineStr">
        <is>
          <t>24. Other assets</t>
        </is>
      </c>
      <c r="D79" s="8" t="inlineStr">
        <is>
          <t>Part II line 24 col B</t>
        </is>
      </c>
      <c r="E79" s="8" t="inlineStr">
        <is>
          <t>part_ii_balance_sheet.other_assets_eoy</t>
        </is>
      </c>
      <c r="F79" s="8" t="inlineStr">
        <is>
          <t>high</t>
        </is>
      </c>
      <c r="G79" s="9" t="n">
        <v>9228</v>
      </c>
    </row>
    <row r="80">
      <c r="A80" s="8" t="inlineStr">
        <is>
          <t>Form 990-EZ Parts I &amp; II</t>
        </is>
      </c>
      <c r="B80" s="8" t="inlineStr">
        <is>
          <t>D26</t>
        </is>
      </c>
      <c r="C80" s="8" t="inlineStr">
        <is>
          <t>24. Other assets</t>
        </is>
      </c>
      <c r="D80" s="8" t="inlineStr">
        <is>
          <t>Part II line 24 col B</t>
        </is>
      </c>
      <c r="E80" s="8" t="inlineStr">
        <is>
          <t>part_ii_balance_sheet.other_assets_eoy</t>
        </is>
      </c>
      <c r="F80" s="8" t="inlineStr">
        <is>
          <t>high</t>
        </is>
      </c>
      <c r="G80" s="9" t="n">
        <v>9862</v>
      </c>
    </row>
    <row r="81">
      <c r="A81" s="8" t="inlineStr">
        <is>
          <t>Form 990-EZ Parts I &amp; II</t>
        </is>
      </c>
      <c r="B81" s="8" t="inlineStr">
        <is>
          <t>E26</t>
        </is>
      </c>
      <c r="C81" s="8" t="inlineStr">
        <is>
          <t>24. Other assets</t>
        </is>
      </c>
      <c r="D81" s="8" t="inlineStr">
        <is>
          <t>Part II line 24 col B</t>
        </is>
      </c>
      <c r="E81" s="8" t="inlineStr">
        <is>
          <t>part_ii_balance_sheet.other_assets_eoy</t>
        </is>
      </c>
      <c r="F81" s="8" t="inlineStr">
        <is>
          <t>high</t>
        </is>
      </c>
      <c r="G81" s="9" t="n">
        <v>17012</v>
      </c>
    </row>
    <row r="82">
      <c r="A82" s="8" t="inlineStr">
        <is>
          <t>Form 990-EZ Parts I &amp; II</t>
        </is>
      </c>
      <c r="B82" s="8" t="inlineStr">
        <is>
          <t>F26</t>
        </is>
      </c>
      <c r="C82" s="8" t="inlineStr">
        <is>
          <t>24. Other assets</t>
        </is>
      </c>
      <c r="D82" s="8" t="inlineStr">
        <is>
          <t>Part II line 24 col B</t>
        </is>
      </c>
      <c r="E82" s="8" t="inlineStr">
        <is>
          <t>part_ii_balance_sheet.other_assets_eoy</t>
        </is>
      </c>
      <c r="F82" s="8" t="inlineStr">
        <is>
          <t>high</t>
        </is>
      </c>
      <c r="G82" s="9" t="n">
        <v>19932</v>
      </c>
    </row>
    <row r="83">
      <c r="A83" s="8" t="inlineStr">
        <is>
          <t>Form 990-EZ Parts I &amp; II</t>
        </is>
      </c>
      <c r="B83" s="8" t="inlineStr">
        <is>
          <t>G26</t>
        </is>
      </c>
      <c r="C83" s="8" t="inlineStr">
        <is>
          <t>24. Other assets</t>
        </is>
      </c>
      <c r="D83" s="8" t="inlineStr">
        <is>
          <t>Part II line 24 col B</t>
        </is>
      </c>
      <c r="E83" s="8" t="inlineStr">
        <is>
          <t>part_ii_balance_sheet.other_assets_eoy</t>
        </is>
      </c>
      <c r="F83" s="8" t="inlineStr">
        <is>
          <t>high</t>
        </is>
      </c>
      <c r="G83" s="9" t="n">
        <v>415</v>
      </c>
    </row>
    <row r="84">
      <c r="A84" s="8" t="inlineStr">
        <is>
          <t>Form 990-EZ Parts I &amp; II</t>
        </is>
      </c>
      <c r="B84" s="8" t="inlineStr">
        <is>
          <t>B28</t>
        </is>
      </c>
      <c r="C84" s="8" t="inlineStr">
        <is>
          <t>26. Total liabilities</t>
        </is>
      </c>
      <c r="D84" s="8" t="inlineStr">
        <is>
          <t>Part II line 26 col B</t>
        </is>
      </c>
      <c r="E84" s="8" t="inlineStr">
        <is>
          <t>part_ii_balance_sheet.total_liabilities_eoy</t>
        </is>
      </c>
      <c r="F84" s="8" t="inlineStr">
        <is>
          <t>high</t>
        </is>
      </c>
      <c r="G84" s="9" t="n">
        <v>0</v>
      </c>
    </row>
    <row r="85">
      <c r="A85" s="8" t="inlineStr">
        <is>
          <t>Form 990-EZ Parts I &amp; II</t>
        </is>
      </c>
      <c r="B85" s="8" t="inlineStr">
        <is>
          <t>C28</t>
        </is>
      </c>
      <c r="C85" s="8" t="inlineStr">
        <is>
          <t>26. Total liabilities</t>
        </is>
      </c>
      <c r="D85" s="8" t="inlineStr">
        <is>
          <t>Part II line 26 col B</t>
        </is>
      </c>
      <c r="E85" s="8" t="inlineStr">
        <is>
          <t>part_ii_balance_sheet.total_liabilities_eoy</t>
        </is>
      </c>
      <c r="F85" s="8" t="inlineStr">
        <is>
          <t>high</t>
        </is>
      </c>
      <c r="G85" s="9" t="n">
        <v>0</v>
      </c>
    </row>
    <row r="86">
      <c r="A86" s="8" t="inlineStr">
        <is>
          <t>Form 990-EZ Parts I &amp; II</t>
        </is>
      </c>
      <c r="B86" s="8" t="inlineStr">
        <is>
          <t>D28</t>
        </is>
      </c>
      <c r="C86" s="8" t="inlineStr">
        <is>
          <t>26. Total liabilities</t>
        </is>
      </c>
      <c r="D86" s="8" t="inlineStr">
        <is>
          <t>Part II line 26 col B</t>
        </is>
      </c>
      <c r="E86" s="8" t="inlineStr">
        <is>
          <t>part_ii_balance_sheet.total_liabilities_eoy</t>
        </is>
      </c>
      <c r="F86" s="8" t="inlineStr">
        <is>
          <t>high</t>
        </is>
      </c>
      <c r="G86" s="9" t="n">
        <v>0</v>
      </c>
    </row>
    <row r="87">
      <c r="A87" s="8" t="inlineStr">
        <is>
          <t>Form 990-EZ Parts I &amp; II</t>
        </is>
      </c>
      <c r="B87" s="8" t="inlineStr">
        <is>
          <t>E28</t>
        </is>
      </c>
      <c r="C87" s="8" t="inlineStr">
        <is>
          <t>26. Total liabilities</t>
        </is>
      </c>
      <c r="D87" s="8" t="inlineStr">
        <is>
          <t>Part II line 26 col B</t>
        </is>
      </c>
      <c r="E87" s="8" t="inlineStr">
        <is>
          <t>part_ii_balance_sheet.total_liabilities_eoy</t>
        </is>
      </c>
      <c r="F87" s="8" t="inlineStr">
        <is>
          <t>high</t>
        </is>
      </c>
      <c r="G87" s="9" t="n">
        <v>0</v>
      </c>
    </row>
    <row r="88">
      <c r="A88" s="8" t="inlineStr">
        <is>
          <t>Form 990-EZ Parts I &amp; II</t>
        </is>
      </c>
      <c r="B88" s="8" t="inlineStr">
        <is>
          <t>F28</t>
        </is>
      </c>
      <c r="C88" s="8" t="inlineStr">
        <is>
          <t>26. Total liabilities</t>
        </is>
      </c>
      <c r="D88" s="8" t="inlineStr">
        <is>
          <t>Part II line 26 col B</t>
        </is>
      </c>
      <c r="E88" s="8" t="inlineStr">
        <is>
          <t>part_ii_balance_sheet.total_liabilities_eoy</t>
        </is>
      </c>
      <c r="F88" s="8" t="inlineStr">
        <is>
          <t>high</t>
        </is>
      </c>
      <c r="G88" s="9" t="n">
        <v>0</v>
      </c>
    </row>
    <row r="89">
      <c r="A89" s="8" t="inlineStr">
        <is>
          <t>Form 990-EZ Parts I &amp; II</t>
        </is>
      </c>
      <c r="B89" s="8" t="inlineStr">
        <is>
          <t>G28</t>
        </is>
      </c>
      <c r="C89" s="8" t="inlineStr">
        <is>
          <t>26. Total liabilities</t>
        </is>
      </c>
      <c r="D89" s="8" t="inlineStr">
        <is>
          <t>Part II line 26 col B</t>
        </is>
      </c>
      <c r="E89" s="8" t="inlineStr">
        <is>
          <t>part_ii_balance_sheet.total_liabilities_eoy</t>
        </is>
      </c>
      <c r="F89" s="8" t="inlineStr">
        <is>
          <t>high</t>
        </is>
      </c>
      <c r="G89" s="9" t="n">
        <v>0</v>
      </c>
    </row>
    <row r="90">
      <c r="A90" s="8" t="inlineStr">
        <is>
          <t>Form 990-EZ Parts I &amp; II</t>
        </is>
      </c>
      <c r="B90" s="8" t="inlineStr">
        <is>
          <t>B29</t>
        </is>
      </c>
      <c r="C90" s="8" t="inlineStr">
        <is>
          <t>27. Net assets or fund balances</t>
        </is>
      </c>
      <c r="D90" s="8" t="inlineStr">
        <is>
          <t>Part II line 27 col B</t>
        </is>
      </c>
      <c r="E90" s="8" t="inlineStr">
        <is>
          <t>part_ii_balance_sheet.net_assets_eoy</t>
        </is>
      </c>
      <c r="F90" s="8" t="inlineStr">
        <is>
          <t>high</t>
        </is>
      </c>
      <c r="G90" s="9" t="n">
        <v>35735</v>
      </c>
    </row>
    <row r="91">
      <c r="A91" s="8" t="inlineStr">
        <is>
          <t>Form 990-EZ Parts I &amp; II</t>
        </is>
      </c>
      <c r="B91" s="8" t="inlineStr">
        <is>
          <t>C29</t>
        </is>
      </c>
      <c r="C91" s="8" t="inlineStr">
        <is>
          <t>27. Net assets or fund balances</t>
        </is>
      </c>
      <c r="D91" s="8" t="inlineStr">
        <is>
          <t>Part II line 27 col B</t>
        </is>
      </c>
      <c r="E91" s="8" t="inlineStr">
        <is>
          <t>part_ii_balance_sheet.net_assets_eoy</t>
        </is>
      </c>
      <c r="F91" s="8" t="inlineStr">
        <is>
          <t>high</t>
        </is>
      </c>
      <c r="G91" s="9" t="n">
        <v>40829</v>
      </c>
    </row>
    <row r="92">
      <c r="A92" s="8" t="inlineStr">
        <is>
          <t>Form 990-EZ Parts I &amp; II</t>
        </is>
      </c>
      <c r="B92" s="8" t="inlineStr">
        <is>
          <t>D29</t>
        </is>
      </c>
      <c r="C92" s="8" t="inlineStr">
        <is>
          <t>27. Net assets or fund balances</t>
        </is>
      </c>
      <c r="D92" s="8" t="inlineStr">
        <is>
          <t>Part II line 27 col B</t>
        </is>
      </c>
      <c r="E92" s="8" t="inlineStr">
        <is>
          <t>part_ii_balance_sheet.net_assets_eoy</t>
        </is>
      </c>
      <c r="F92" s="8" t="inlineStr">
        <is>
          <t>high</t>
        </is>
      </c>
      <c r="G92" s="9" t="n">
        <v>32100</v>
      </c>
    </row>
    <row r="93">
      <c r="A93" s="8" t="inlineStr">
        <is>
          <t>Form 990-EZ Parts I &amp; II</t>
        </is>
      </c>
      <c r="B93" s="8" t="inlineStr">
        <is>
          <t>E29</t>
        </is>
      </c>
      <c r="C93" s="8" t="inlineStr">
        <is>
          <t>27. Net assets or fund balances</t>
        </is>
      </c>
      <c r="D93" s="8" t="inlineStr">
        <is>
          <t>Part II line 27 col B</t>
        </is>
      </c>
      <c r="E93" s="8" t="inlineStr">
        <is>
          <t>part_ii_balance_sheet.net_assets_eoy</t>
        </is>
      </c>
      <c r="F93" s="8" t="inlineStr">
        <is>
          <t>high</t>
        </is>
      </c>
      <c r="G93" s="9" t="n">
        <v>27315</v>
      </c>
    </row>
    <row r="94">
      <c r="A94" s="8" t="inlineStr">
        <is>
          <t>Form 990-EZ Parts I &amp; II</t>
        </is>
      </c>
      <c r="B94" s="8" t="inlineStr">
        <is>
          <t>F29</t>
        </is>
      </c>
      <c r="C94" s="8" t="inlineStr">
        <is>
          <t>27. Net assets or fund balances</t>
        </is>
      </c>
      <c r="D94" s="8" t="inlineStr">
        <is>
          <t>Part II line 27 col B</t>
        </is>
      </c>
      <c r="E94" s="8" t="inlineStr">
        <is>
          <t>part_ii_balance_sheet.net_assets_eoy</t>
        </is>
      </c>
      <c r="F94" s="8" t="inlineStr">
        <is>
          <t>high</t>
        </is>
      </c>
      <c r="G94" s="9" t="n">
        <v>35532</v>
      </c>
    </row>
    <row r="95">
      <c r="A95" s="8" t="inlineStr">
        <is>
          <t>Form 990-EZ Parts I &amp; II</t>
        </is>
      </c>
      <c r="B95" s="8" t="inlineStr">
        <is>
          <t>G29</t>
        </is>
      </c>
      <c r="C95" s="8" t="inlineStr">
        <is>
          <t>27. Net assets or fund balances</t>
        </is>
      </c>
      <c r="D95" s="8" t="inlineStr">
        <is>
          <t>Part II line 27 col B</t>
        </is>
      </c>
      <c r="E95" s="8" t="inlineStr">
        <is>
          <t>part_ii_balance_sheet.net_assets_eoy</t>
        </is>
      </c>
      <c r="F95" s="8" t="inlineStr">
        <is>
          <t>high</t>
        </is>
      </c>
      <c r="G95" s="9" t="n">
        <v>15179</v>
      </c>
    </row>
    <row r="97">
      <c r="A97" s="25" t="inlineStr">
        <is>
          <t>C. Tie-out checks (filed vs computed; any nonzero variance is flagged red)</t>
        </is>
      </c>
      <c r="B97" s="7" t="n"/>
      <c r="C97" s="7" t="n"/>
      <c r="D97" s="7" t="n"/>
      <c r="E97" s="7" t="n"/>
      <c r="F97" s="7" t="n"/>
      <c r="G97" s="7" t="n"/>
      <c r="H97" s="7" t="n"/>
      <c r="I97" s="7" t="n"/>
      <c r="J97" s="7" t="n"/>
      <c r="K97" s="7" t="n"/>
    </row>
    <row r="98">
      <c r="A98" s="5" t="inlineStr">
        <is>
          <t>Tab</t>
        </is>
      </c>
      <c r="B98" s="5" t="inlineStr">
        <is>
          <t>Check</t>
        </is>
      </c>
      <c r="C98" s="5" t="inlineStr">
        <is>
          <t>Fiscal year</t>
        </is>
      </c>
      <c r="D98" s="5" t="inlineStr">
        <is>
          <t>Filed</t>
        </is>
      </c>
      <c r="E98" s="5" t="inlineStr">
        <is>
          <t>Computed</t>
        </is>
      </c>
      <c r="F98" s="5" t="inlineStr">
        <is>
          <t>Variance (computed - filed)</t>
        </is>
      </c>
    </row>
    <row r="99">
      <c r="A99" s="26" t="inlineStr">
        <is>
          <t>Form 990-EZ Parts I &amp; II</t>
        </is>
      </c>
      <c r="B99" s="26" t="inlineStr">
        <is>
          <t>17. Total expenses</t>
        </is>
      </c>
      <c r="C99" s="26" t="inlineStr">
        <is>
          <t>FY2020</t>
        </is>
      </c>
      <c r="D99" s="9" t="n">
        <v>15832</v>
      </c>
      <c r="E99" s="9">
        <f>'Form 990-EZ Parts I &amp; II'!B16</f>
        <v/>
      </c>
      <c r="F99" s="9">
        <f>E99-D99</f>
        <v/>
      </c>
    </row>
    <row r="100">
      <c r="A100" s="26" t="inlineStr">
        <is>
          <t>Form 990-EZ Parts I &amp; II</t>
        </is>
      </c>
      <c r="B100" s="26" t="inlineStr">
        <is>
          <t>17. Total expenses</t>
        </is>
      </c>
      <c r="C100" s="26" t="inlineStr">
        <is>
          <t>FY2021</t>
        </is>
      </c>
      <c r="D100" s="9" t="n">
        <v>16991</v>
      </c>
      <c r="E100" s="9">
        <f>'Form 990-EZ Parts I &amp; II'!C16</f>
        <v/>
      </c>
      <c r="F100" s="9">
        <f>E100-D100</f>
        <v/>
      </c>
    </row>
    <row r="101">
      <c r="A101" s="26" t="inlineStr">
        <is>
          <t>Form 990-EZ Parts I &amp; II</t>
        </is>
      </c>
      <c r="B101" s="26" t="inlineStr">
        <is>
          <t>17. Total expenses</t>
        </is>
      </c>
      <c r="C101" s="26" t="inlineStr">
        <is>
          <t>FY2022</t>
        </is>
      </c>
      <c r="D101" s="9" t="n">
        <v>30873</v>
      </c>
      <c r="E101" s="9">
        <f>'Form 990-EZ Parts I &amp; II'!D16</f>
        <v/>
      </c>
      <c r="F101" s="9">
        <f>E101-D101</f>
        <v/>
      </c>
    </row>
    <row r="102">
      <c r="A102" s="26" t="inlineStr">
        <is>
          <t>Form 990-EZ Parts I &amp; II</t>
        </is>
      </c>
      <c r="B102" s="26" t="inlineStr">
        <is>
          <t>17. Total expenses</t>
        </is>
      </c>
      <c r="C102" s="26" t="inlineStr">
        <is>
          <t>FY2023</t>
        </is>
      </c>
      <c r="D102" s="9" t="n">
        <v>26737</v>
      </c>
      <c r="E102" s="9">
        <f>'Form 990-EZ Parts I &amp; II'!E16</f>
        <v/>
      </c>
      <c r="F102" s="9">
        <f>E102-D102</f>
        <v/>
      </c>
    </row>
    <row r="103">
      <c r="A103" s="26" t="inlineStr">
        <is>
          <t>Form 990-EZ Parts I &amp; II</t>
        </is>
      </c>
      <c r="B103" s="26" t="inlineStr">
        <is>
          <t>17. Total expenses</t>
        </is>
      </c>
      <c r="C103" s="26" t="inlineStr">
        <is>
          <t>FY2024</t>
        </is>
      </c>
      <c r="D103" s="9" t="n">
        <v>24736</v>
      </c>
      <c r="E103" s="9">
        <f>'Form 990-EZ Parts I &amp; II'!F16</f>
        <v/>
      </c>
      <c r="F103" s="9">
        <f>E103-D103</f>
        <v/>
      </c>
    </row>
    <row r="104">
      <c r="A104" s="26" t="inlineStr">
        <is>
          <t>Form 990-EZ Parts I &amp; II</t>
        </is>
      </c>
      <c r="B104" s="26" t="inlineStr">
        <is>
          <t>17. Total expenses</t>
        </is>
      </c>
      <c r="C104" s="26" t="inlineStr">
        <is>
          <t>FY2025</t>
        </is>
      </c>
      <c r="D104" s="9" t="n">
        <v>18391</v>
      </c>
      <c r="E104" s="9">
        <f>'Form 990-EZ Parts I &amp; II'!G16</f>
        <v/>
      </c>
      <c r="F104" s="9">
        <f>E104-D104</f>
        <v/>
      </c>
    </row>
    <row r="105">
      <c r="A105" s="26" t="inlineStr">
        <is>
          <t>Form 990-EZ Parts I &amp; II</t>
        </is>
      </c>
      <c r="B105" s="26" t="inlineStr">
        <is>
          <t>21. Net assets or fund balances, end of year</t>
        </is>
      </c>
      <c r="C105" s="26" t="inlineStr">
        <is>
          <t>FY2020</t>
        </is>
      </c>
      <c r="D105" s="9" t="n">
        <v>35735</v>
      </c>
      <c r="E105" s="9">
        <f>'Form 990-EZ Parts I &amp; II'!B21</f>
        <v/>
      </c>
      <c r="F105" s="9">
        <f>E105-D105</f>
        <v/>
      </c>
    </row>
    <row r="106">
      <c r="A106" s="26" t="inlineStr">
        <is>
          <t>Form 990-EZ Parts I &amp; II</t>
        </is>
      </c>
      <c r="B106" s="26" t="inlineStr">
        <is>
          <t>21. Net assets or fund balances, end of year</t>
        </is>
      </c>
      <c r="C106" s="26" t="inlineStr">
        <is>
          <t>FY2021</t>
        </is>
      </c>
      <c r="D106" s="9" t="n">
        <v>40829</v>
      </c>
      <c r="E106" s="9">
        <f>'Form 990-EZ Parts I &amp; II'!C21</f>
        <v/>
      </c>
      <c r="F106" s="9">
        <f>E106-D106</f>
        <v/>
      </c>
    </row>
    <row r="107">
      <c r="A107" s="26" t="inlineStr">
        <is>
          <t>Form 990-EZ Parts I &amp; II</t>
        </is>
      </c>
      <c r="B107" s="26" t="inlineStr">
        <is>
          <t>21. Net assets or fund balances, end of year</t>
        </is>
      </c>
      <c r="C107" s="26" t="inlineStr">
        <is>
          <t>FY2022</t>
        </is>
      </c>
      <c r="D107" s="9" t="n">
        <v>32100</v>
      </c>
      <c r="E107" s="9">
        <f>'Form 990-EZ Parts I &amp; II'!D21</f>
        <v/>
      </c>
      <c r="F107" s="9">
        <f>E107-D107</f>
        <v/>
      </c>
    </row>
    <row r="108">
      <c r="A108" s="26" t="inlineStr">
        <is>
          <t>Form 990-EZ Parts I &amp; II</t>
        </is>
      </c>
      <c r="B108" s="26" t="inlineStr">
        <is>
          <t>21. Net assets or fund balances, end of year</t>
        </is>
      </c>
      <c r="C108" s="26" t="inlineStr">
        <is>
          <t>FY2023</t>
        </is>
      </c>
      <c r="D108" s="9" t="n">
        <v>27315</v>
      </c>
      <c r="E108" s="9">
        <f>'Form 990-EZ Parts I &amp; II'!E21</f>
        <v/>
      </c>
      <c r="F108" s="9">
        <f>E108-D108</f>
        <v/>
      </c>
    </row>
    <row r="109">
      <c r="A109" s="26" t="inlineStr">
        <is>
          <t>Form 990-EZ Parts I &amp; II</t>
        </is>
      </c>
      <c r="B109" s="26" t="inlineStr">
        <is>
          <t>21. Net assets or fund balances, end of year</t>
        </is>
      </c>
      <c r="C109" s="26" t="inlineStr">
        <is>
          <t>FY2024</t>
        </is>
      </c>
      <c r="D109" s="9" t="n">
        <v>35532</v>
      </c>
      <c r="E109" s="9">
        <f>'Form 990-EZ Parts I &amp; II'!F21</f>
        <v/>
      </c>
      <c r="F109" s="9">
        <f>E109-D109</f>
        <v/>
      </c>
    </row>
    <row r="110">
      <c r="A110" s="26" t="inlineStr">
        <is>
          <t>Form 990-EZ Parts I &amp; II</t>
        </is>
      </c>
      <c r="B110" s="26" t="inlineStr">
        <is>
          <t>21. Net assets or fund balances, end of year</t>
        </is>
      </c>
      <c r="C110" s="26" t="inlineStr">
        <is>
          <t>FY2025</t>
        </is>
      </c>
      <c r="D110" s="9" t="n">
        <v>15179</v>
      </c>
      <c r="E110" s="9">
        <f>'Form 990-EZ Parts I &amp; II'!G21</f>
        <v/>
      </c>
      <c r="F110" s="9">
        <f>E110-D110</f>
        <v/>
      </c>
    </row>
    <row r="111">
      <c r="A111" s="26" t="inlineStr">
        <is>
          <t>Form 990-EZ Parts I &amp; II</t>
        </is>
      </c>
      <c r="B111" s="26" t="inlineStr">
        <is>
          <t>25. Total assets</t>
        </is>
      </c>
      <c r="C111" s="26" t="inlineStr">
        <is>
          <t>FY2020</t>
        </is>
      </c>
      <c r="D111" s="9" t="n">
        <v>35735</v>
      </c>
      <c r="E111" s="9">
        <f>'Form 990-EZ Parts I &amp; II'!B27</f>
        <v/>
      </c>
      <c r="F111" s="9">
        <f>E111-D111</f>
        <v/>
      </c>
    </row>
    <row r="112">
      <c r="A112" s="26" t="inlineStr">
        <is>
          <t>Form 990-EZ Parts I &amp; II</t>
        </is>
      </c>
      <c r="B112" s="26" t="inlineStr">
        <is>
          <t>25. Total assets</t>
        </is>
      </c>
      <c r="C112" s="26" t="inlineStr">
        <is>
          <t>FY2021</t>
        </is>
      </c>
      <c r="D112" s="9" t="n">
        <v>40829</v>
      </c>
      <c r="E112" s="9">
        <f>'Form 990-EZ Parts I &amp; II'!C27</f>
        <v/>
      </c>
      <c r="F112" s="9">
        <f>E112-D112</f>
        <v/>
      </c>
    </row>
    <row r="113">
      <c r="A113" s="26" t="inlineStr">
        <is>
          <t>Form 990-EZ Parts I &amp; II</t>
        </is>
      </c>
      <c r="B113" s="26" t="inlineStr">
        <is>
          <t>25. Total assets</t>
        </is>
      </c>
      <c r="C113" s="26" t="inlineStr">
        <is>
          <t>FY2022</t>
        </is>
      </c>
      <c r="D113" s="9" t="n">
        <v>32100</v>
      </c>
      <c r="E113" s="9">
        <f>'Form 990-EZ Parts I &amp; II'!D27</f>
        <v/>
      </c>
      <c r="F113" s="9">
        <f>E113-D113</f>
        <v/>
      </c>
    </row>
    <row r="114">
      <c r="A114" s="26" t="inlineStr">
        <is>
          <t>Form 990-EZ Parts I &amp; II</t>
        </is>
      </c>
      <c r="B114" s="26" t="inlineStr">
        <is>
          <t>25. Total assets</t>
        </is>
      </c>
      <c r="C114" s="26" t="inlineStr">
        <is>
          <t>FY2023</t>
        </is>
      </c>
      <c r="D114" s="9" t="n">
        <v>27315</v>
      </c>
      <c r="E114" s="9">
        <f>'Form 990-EZ Parts I &amp; II'!E27</f>
        <v/>
      </c>
      <c r="F114" s="9">
        <f>E114-D114</f>
        <v/>
      </c>
    </row>
    <row r="115">
      <c r="A115" s="26" t="inlineStr">
        <is>
          <t>Form 990-EZ Parts I &amp; II</t>
        </is>
      </c>
      <c r="B115" s="26" t="inlineStr">
        <is>
          <t>25. Total assets</t>
        </is>
      </c>
      <c r="C115" s="26" t="inlineStr">
        <is>
          <t>FY2024</t>
        </is>
      </c>
      <c r="D115" s="9" t="n">
        <v>35532</v>
      </c>
      <c r="E115" s="9">
        <f>'Form 990-EZ Parts I &amp; II'!F27</f>
        <v/>
      </c>
      <c r="F115" s="9">
        <f>E115-D115</f>
        <v/>
      </c>
    </row>
    <row r="116">
      <c r="A116" s="26" t="inlineStr">
        <is>
          <t>Form 990-EZ Parts I &amp; II</t>
        </is>
      </c>
      <c r="B116" s="26" t="inlineStr">
        <is>
          <t>25. Total assets</t>
        </is>
      </c>
      <c r="C116" s="26" t="inlineStr">
        <is>
          <t>FY2025</t>
        </is>
      </c>
      <c r="D116" s="9" t="n">
        <v>15179</v>
      </c>
      <c r="E116" s="9">
        <f>'Form 990-EZ Parts I &amp; II'!G27</f>
        <v/>
      </c>
      <c r="F116" s="9">
        <f>E116-D116</f>
        <v/>
      </c>
    </row>
    <row r="117">
      <c r="A117" s="26" t="inlineStr">
        <is>
          <t>Form 990-EZ Parts I &amp; II</t>
        </is>
      </c>
      <c r="B117" s="26" t="inlineStr">
        <is>
          <t>Balance sheet identity: line 25 = line 26 + line 27 (EOY)</t>
        </is>
      </c>
      <c r="C117" s="26" t="inlineStr">
        <is>
          <t>FY2020</t>
        </is>
      </c>
      <c r="D117" s="9">
        <f>'Form 990-EZ Parts I &amp; II'!B27</f>
        <v/>
      </c>
      <c r="E117" s="9">
        <f>SUM('Form 990-EZ Parts I &amp; II'!B28,'Form 990-EZ Parts I &amp; II'!B29)</f>
        <v/>
      </c>
      <c r="F117" s="9">
        <f>E117-D117</f>
        <v/>
      </c>
    </row>
    <row r="118">
      <c r="A118" s="26" t="inlineStr">
        <is>
          <t>Form 990-EZ Parts I &amp; II</t>
        </is>
      </c>
      <c r="B118" s="26" t="inlineStr">
        <is>
          <t>Balance sheet identity: line 25 = line 26 + line 27 (EOY)</t>
        </is>
      </c>
      <c r="C118" s="26" t="inlineStr">
        <is>
          <t>FY2021</t>
        </is>
      </c>
      <c r="D118" s="9">
        <f>'Form 990-EZ Parts I &amp; II'!C27</f>
        <v/>
      </c>
      <c r="E118" s="9">
        <f>SUM('Form 990-EZ Parts I &amp; II'!C28,'Form 990-EZ Parts I &amp; II'!C29)</f>
        <v/>
      </c>
      <c r="F118" s="9">
        <f>E118-D118</f>
        <v/>
      </c>
    </row>
    <row r="119">
      <c r="A119" s="26" t="inlineStr">
        <is>
          <t>Form 990-EZ Parts I &amp; II</t>
        </is>
      </c>
      <c r="B119" s="26" t="inlineStr">
        <is>
          <t>Balance sheet identity: line 25 = line 26 + line 27 (EOY)</t>
        </is>
      </c>
      <c r="C119" s="26" t="inlineStr">
        <is>
          <t>FY2022</t>
        </is>
      </c>
      <c r="D119" s="9">
        <f>'Form 990-EZ Parts I &amp; II'!D27</f>
        <v/>
      </c>
      <c r="E119" s="9">
        <f>SUM('Form 990-EZ Parts I &amp; II'!D28,'Form 990-EZ Parts I &amp; II'!D29)</f>
        <v/>
      </c>
      <c r="F119" s="9">
        <f>E119-D119</f>
        <v/>
      </c>
    </row>
    <row r="120">
      <c r="A120" s="26" t="inlineStr">
        <is>
          <t>Form 990-EZ Parts I &amp; II</t>
        </is>
      </c>
      <c r="B120" s="26" t="inlineStr">
        <is>
          <t>Balance sheet identity: line 25 = line 26 + line 27 (EOY)</t>
        </is>
      </c>
      <c r="C120" s="26" t="inlineStr">
        <is>
          <t>FY2023</t>
        </is>
      </c>
      <c r="D120" s="9">
        <f>'Form 990-EZ Parts I &amp; II'!E27</f>
        <v/>
      </c>
      <c r="E120" s="9">
        <f>SUM('Form 990-EZ Parts I &amp; II'!E28,'Form 990-EZ Parts I &amp; II'!E29)</f>
        <v/>
      </c>
      <c r="F120" s="9">
        <f>E120-D120</f>
        <v/>
      </c>
    </row>
    <row r="121">
      <c r="A121" s="26" t="inlineStr">
        <is>
          <t>Form 990-EZ Parts I &amp; II</t>
        </is>
      </c>
      <c r="B121" s="26" t="inlineStr">
        <is>
          <t>Balance sheet identity: line 25 = line 26 + line 27 (EOY)</t>
        </is>
      </c>
      <c r="C121" s="26" t="inlineStr">
        <is>
          <t>FY2024</t>
        </is>
      </c>
      <c r="D121" s="9">
        <f>'Form 990-EZ Parts I &amp; II'!F27</f>
        <v/>
      </c>
      <c r="E121" s="9">
        <f>SUM('Form 990-EZ Parts I &amp; II'!F28,'Form 990-EZ Parts I &amp; II'!F29)</f>
        <v/>
      </c>
      <c r="F121" s="9">
        <f>E121-D121</f>
        <v/>
      </c>
    </row>
    <row r="122">
      <c r="A122" s="26" t="inlineStr">
        <is>
          <t>Form 990-EZ Parts I &amp; II</t>
        </is>
      </c>
      <c r="B122" s="26" t="inlineStr">
        <is>
          <t>Balance sheet identity: line 25 = line 26 + line 27 (EOY)</t>
        </is>
      </c>
      <c r="C122" s="26" t="inlineStr">
        <is>
          <t>FY2025</t>
        </is>
      </c>
      <c r="D122" s="9">
        <f>'Form 990-EZ Parts I &amp; II'!G27</f>
        <v/>
      </c>
      <c r="E122" s="9">
        <f>SUM('Form 990-EZ Parts I &amp; II'!G28,'Form 990-EZ Parts I &amp; II'!G29)</f>
        <v/>
      </c>
      <c r="F122" s="9">
        <f>E122-D122</f>
        <v/>
      </c>
    </row>
    <row r="124">
      <c r="A124" s="25" t="inlineStr">
        <is>
          <t>D. Preparer / auditor trail (one row per fiscal year, as filed)</t>
        </is>
      </c>
      <c r="B124" s="7" t="n"/>
      <c r="C124" s="7" t="n"/>
      <c r="D124" s="7" t="n"/>
      <c r="E124" s="7" t="n"/>
      <c r="F124" s="7" t="n"/>
      <c r="G124" s="7" t="n"/>
      <c r="H124" s="7" t="n"/>
      <c r="I124" s="7" t="n"/>
      <c r="J124" s="7" t="n"/>
      <c r="K124" s="7" t="n"/>
    </row>
    <row r="125">
      <c r="A125" s="5" t="inlineStr">
        <is>
          <t>Fiscal year</t>
        </is>
      </c>
      <c r="B125" s="5" t="inlineStr">
        <is>
          <t>Paid preparer</t>
        </is>
      </c>
      <c r="C125" s="5" t="inlineStr">
        <is>
          <t>Preparer firm</t>
        </is>
      </c>
      <c r="D125" s="5" t="inlineStr">
        <is>
          <t>Independent auditor</t>
        </is>
      </c>
      <c r="E125" s="5" t="inlineStr">
        <is>
          <t>Citation</t>
        </is>
      </c>
    </row>
    <row r="126" ht="42" customHeight="1">
      <c r="A126" s="22" t="inlineStr">
        <is>
          <t>FY2020</t>
        </is>
      </c>
      <c r="B126" s="8" t="inlineStr">
        <is>
          <t>Ana Duke EA</t>
        </is>
      </c>
      <c r="C126" s="8" t="inlineStr">
        <is>
          <t>Better Ledger Inc</t>
        </is>
      </c>
      <c r="D126" s="27" t="inlineStr">
        <is>
          <t>not reported</t>
        </is>
      </c>
      <c r="E126" s="17" t="inlineStr">
        <is>
          <t>Form 990 Return Header, Paid Preparer block (return_header.preparer_person_name / preparer_firm_name); auditor: Part XII line 2 reports audited financial statements but does not name the firm.</t>
        </is>
      </c>
    </row>
    <row r="127" ht="42" customHeight="1">
      <c r="A127" s="22" t="inlineStr">
        <is>
          <t>FY2021</t>
        </is>
      </c>
      <c r="B127" s="8" t="inlineStr">
        <is>
          <t>Ana Duke EA</t>
        </is>
      </c>
      <c r="C127" s="8" t="inlineStr">
        <is>
          <t>Better Ledger Inc</t>
        </is>
      </c>
      <c r="D127" s="27" t="inlineStr">
        <is>
          <t>not reported</t>
        </is>
      </c>
      <c r="E127" s="17" t="inlineStr">
        <is>
          <t>Form 990 Return Header, Paid Preparer block (return_header.preparer_person_name / preparer_firm_name); auditor: Part XII line 2 reports audited financial statements but does not name the firm.</t>
        </is>
      </c>
    </row>
    <row r="128" ht="42" customHeight="1">
      <c r="A128" s="22" t="inlineStr">
        <is>
          <t>FY2022</t>
        </is>
      </c>
      <c r="B128" s="8" t="inlineStr">
        <is>
          <t>Ana Duke EA</t>
        </is>
      </c>
      <c r="C128" s="8" t="inlineStr">
        <is>
          <t>Better Ledger Inc</t>
        </is>
      </c>
      <c r="D128" s="27" t="inlineStr">
        <is>
          <t>not reported</t>
        </is>
      </c>
      <c r="E128" s="17" t="inlineStr">
        <is>
          <t>Form 990 Return Header, Paid Preparer block (return_header.preparer_person_name / preparer_firm_name); auditor: Part XII line 2 reports audited financial statements but does not name the firm.</t>
        </is>
      </c>
    </row>
    <row r="129" ht="42" customHeight="1">
      <c r="A129" s="22" t="inlineStr">
        <is>
          <t>FY2023</t>
        </is>
      </c>
      <c r="B129" s="8" t="inlineStr">
        <is>
          <t>Ana Duke EA</t>
        </is>
      </c>
      <c r="C129" s="8" t="inlineStr">
        <is>
          <t>Better Ledger Inc</t>
        </is>
      </c>
      <c r="D129" s="27" t="inlineStr">
        <is>
          <t>not reported</t>
        </is>
      </c>
      <c r="E129" s="17" t="inlineStr">
        <is>
          <t>Form 990 Return Header, Paid Preparer block (return_header.preparer_person_name / preparer_firm_name); auditor: Part XII line 2 reports audited financial statements but does not name the firm.</t>
        </is>
      </c>
    </row>
    <row r="130" ht="42" customHeight="1">
      <c r="A130" s="22" t="inlineStr">
        <is>
          <t>FY2024</t>
        </is>
      </c>
      <c r="B130" s="8" t="inlineStr">
        <is>
          <t>James Duke</t>
        </is>
      </c>
      <c r="C130" s="8" t="inlineStr">
        <is>
          <t>Better Ledger Inc</t>
        </is>
      </c>
      <c r="D130" s="27" t="inlineStr">
        <is>
          <t>not reported</t>
        </is>
      </c>
      <c r="E130" s="17" t="inlineStr">
        <is>
          <t>Form 990 Return Header, Paid Preparer block (return_header.preparer_person_name / preparer_firm_name); auditor: Part XII line 2 reports audited financial statements but does not name the firm.</t>
        </is>
      </c>
    </row>
    <row r="131" ht="42" customHeight="1">
      <c r="A131" s="22" t="inlineStr">
        <is>
          <t>FY2025</t>
        </is>
      </c>
      <c r="B131" s="8" t="inlineStr">
        <is>
          <t>JAMES DUKE</t>
        </is>
      </c>
      <c r="C131" s="8" t="inlineStr">
        <is>
          <t>Better Ledger Inc</t>
        </is>
      </c>
      <c r="D131" s="27" t="inlineStr">
        <is>
          <t>not reported</t>
        </is>
      </c>
      <c r="E131" s="17" t="inlineStr">
        <is>
          <t>Form 990 Return Header, Paid Preparer block (return_header.preparer_person_name / preparer_firm_name); auditor: Part XII line 2 reports audited financial statements but does not name the firm.</t>
        </is>
      </c>
    </row>
    <row r="133" ht="42" customHeight="1">
      <c r="A13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33:K133"/>
    <mergeCell ref="A5:K5"/>
    <mergeCell ref="A1:K1"/>
  </mergeCells>
  <conditionalFormatting sqref="F99:F122">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