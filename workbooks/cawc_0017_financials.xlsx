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Denominators &amp; alignment" sheetId="10" state="visible" r:id="rId10"/>
    <sheet name="Governance evidence" sheetId="11" state="visible" r:id="rId11"/>
    <sheet name="Operational metrics" sheetId="12" state="visible" r:id="rId12"/>
    <sheet name="Supply &amp; weather" sheetId="13" state="visible" r:id="rId13"/>
    <sheet name="How this was built" sheetId="14" state="visible" r:id="rId14"/>
    <sheet name="Water Operations" sheetId="15" state="visible" r:id="rId15"/>
    <sheet name="Sources &amp; audit" sheetId="16" state="visible" r:id="rId16"/>
    <sheet name="Provenance" sheetId="17" state="visible" r:id="rId1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5">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3" fontId="6" fillId="0" borderId="1" applyAlignment="1" pivotButton="0" quotePrefix="0" xfId="0">
      <alignment horizontal="right"/>
    </xf>
    <xf numFmtId="0" fontId="5" fillId="3" borderId="0" applyAlignment="1" pivotButton="0" quotePrefix="0" xfId="0">
      <alignment horizontal="left" vertical="center"/>
    </xf>
    <xf numFmtId="0" fontId="6" fillId="0" borderId="1" applyAlignment="1" pivotButton="0" quotePrefix="0" xfId="0">
      <alignment horizontal="center" vertical="center"/>
    </xf>
    <xf numFmtId="0" fontId="0" fillId="0" borderId="1" pivotButton="0" quotePrefix="0" xfId="0"/>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(extreme)</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South Mountain Mutual Water Company</t>
        </is>
      </c>
    </row>
    <row r="2">
      <c r="A2" s="2" t="inlineStr">
        <is>
          <t>Financial Summary - multi-year overview (USD)</t>
        </is>
      </c>
    </row>
    <row r="3">
      <c r="A3" s="2" t="inlineStr">
        <is>
          <t>Entity ID: cawc_0017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67866</v>
      </c>
      <c r="C10" s="9" t="n">
        <v>62217</v>
      </c>
      <c r="D10" s="9" t="n">
        <v>76336</v>
      </c>
      <c r="E10" s="9" t="n">
        <v>70723</v>
      </c>
      <c r="F10" s="9" t="n">
        <v>121852</v>
      </c>
    </row>
    <row r="11">
      <c r="A11" s="8" t="inlineStr">
        <is>
          <t xml:space="preserve">    Total expenses</t>
        </is>
      </c>
      <c r="B11" s="9" t="n">
        <v>31431</v>
      </c>
      <c r="C11" s="9" t="n">
        <v>41920</v>
      </c>
      <c r="D11" s="9" t="n">
        <v>32084</v>
      </c>
      <c r="E11" s="9" t="n">
        <v>46371</v>
      </c>
      <c r="F11" s="9" t="n">
        <v>66094</v>
      </c>
    </row>
    <row r="12">
      <c r="A12" s="10" t="inlineStr">
        <is>
          <t xml:space="preserve">    Net income</t>
        </is>
      </c>
      <c r="B12" s="11" t="n">
        <v>36435</v>
      </c>
      <c r="C12" s="11" t="n">
        <v>20297</v>
      </c>
      <c r="D12" s="11" t="n">
        <v>44252</v>
      </c>
      <c r="E12" s="11" t="n">
        <v>24352</v>
      </c>
      <c r="F12" s="11" t="n">
        <v>55758</v>
      </c>
    </row>
    <row r="14">
      <c r="A14" s="6" t="inlineStr">
        <is>
          <t>Financial position (USD, end of year)</t>
        </is>
      </c>
      <c r="B14" s="7" t="n"/>
      <c r="C14" s="7" t="n"/>
      <c r="D14" s="7" t="n"/>
      <c r="E14" s="7" t="n"/>
      <c r="F14" s="7" t="n"/>
    </row>
    <row r="15">
      <c r="A15" s="8" t="inlineStr">
        <is>
          <t xml:space="preserve">    Total assets</t>
        </is>
      </c>
      <c r="B15" s="9" t="n">
        <v>98122</v>
      </c>
      <c r="C15" s="9" t="n">
        <v>118419</v>
      </c>
      <c r="D15" s="9" t="n">
        <v>309896</v>
      </c>
      <c r="E15" s="9" t="n">
        <v>334248</v>
      </c>
      <c r="F15" s="9" t="n">
        <v>398778</v>
      </c>
    </row>
    <row r="16">
      <c r="A16" s="8" t="inlineStr">
        <is>
          <t xml:space="preserve">    Total liabilities</t>
        </is>
      </c>
      <c r="B16" s="9" t="n">
        <v>0</v>
      </c>
      <c r="C16" s="9" t="n">
        <v>0</v>
      </c>
      <c r="D16" s="9" t="n">
        <v>0</v>
      </c>
      <c r="E16" s="9" t="n">
        <v>0</v>
      </c>
      <c r="F16" s="9" t="n">
        <v>8772</v>
      </c>
    </row>
    <row r="17">
      <c r="A17" s="10" t="inlineStr">
        <is>
          <t xml:space="preserve">    Net assets</t>
        </is>
      </c>
      <c r="B17" s="11" t="n">
        <v>98122</v>
      </c>
      <c r="C17" s="11" t="n">
        <v>118419</v>
      </c>
      <c r="D17" s="11" t="n">
        <v>309896</v>
      </c>
      <c r="E17" s="11" t="n">
        <v>334248</v>
      </c>
      <c r="F17" s="11" t="n">
        <v>390006</v>
      </c>
    </row>
    <row r="19">
      <c r="A19" s="6" t="inlineStr">
        <is>
          <t>Headline ratios</t>
        </is>
      </c>
      <c r="B19" s="7" t="n"/>
      <c r="C19" s="7" t="n"/>
      <c r="D19" s="7" t="n"/>
      <c r="E19" s="7" t="n"/>
      <c r="F19" s="7" t="n"/>
    </row>
    <row r="20">
      <c r="A20" s="8" t="inlineStr">
        <is>
          <t xml:space="preserve">    Operating margin</t>
        </is>
      </c>
      <c r="B20" s="12" t="n">
        <v>0.5368667668641146</v>
      </c>
      <c r="C20" s="12" t="n">
        <v>0.3262291656621181</v>
      </c>
      <c r="D20" s="12" t="n">
        <v>0.579700272479564</v>
      </c>
      <c r="E20" s="12" t="n">
        <v>0.3443292846740099</v>
      </c>
      <c r="F20" s="12" t="n">
        <v>0.4575878935101599</v>
      </c>
    </row>
    <row r="21">
      <c r="A21" s="8" t="inlineStr">
        <is>
          <t xml:space="preserve">    Revenue growth (YoY)</t>
        </is>
      </c>
      <c r="B21" s="12" t="n"/>
      <c r="C21" s="12" t="n"/>
      <c r="D21" s="12" t="n"/>
      <c r="E21" s="12" t="n"/>
      <c r="F21" s="12" t="n"/>
    </row>
    <row r="22">
      <c r="A22" s="8" t="inlineStr">
        <is>
          <t xml:space="preserve">    Return on assets</t>
        </is>
      </c>
      <c r="B22" s="12" t="n">
        <v>0.3713234544750413</v>
      </c>
      <c r="C22" s="12" t="n">
        <v>0.1713998598197924</v>
      </c>
      <c r="D22" s="12" t="n">
        <v>0.1427962929498929</v>
      </c>
      <c r="E22" s="12" t="n">
        <v>0.07285608290849908</v>
      </c>
      <c r="F22" s="12" t="n">
        <v>0.1398221566886839</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South Mountain Mutual Water Company</t>
        </is>
      </c>
    </row>
    <row r="2">
      <c r="A2" s="2" t="inlineStr">
        <is>
          <t>Financial Statements - income statement, balance sheet, cash flow, member income test (USD)</t>
        </is>
      </c>
    </row>
    <row r="3">
      <c r="A3" s="2" t="inlineStr">
        <is>
          <t>Entity ID: cawc_0017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c r="C8" s="9" t="n"/>
      <c r="D8" s="9" t="n"/>
      <c r="E8" s="9" t="n"/>
      <c r="F8" s="9" t="n"/>
    </row>
    <row r="9">
      <c r="A9" s="8" t="inlineStr">
        <is>
          <t xml:space="preserve">    Investment income</t>
        </is>
      </c>
      <c r="B9" s="9" t="n"/>
      <c r="C9" s="9" t="n"/>
      <c r="D9" s="9" t="n"/>
      <c r="E9" s="9" t="n"/>
      <c r="F9" s="9" t="n"/>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c r="E13" s="9" t="n"/>
      <c r="F13" s="9" t="n"/>
    </row>
    <row r="14">
      <c r="A14" s="10" t="inlineStr">
        <is>
          <t>Total revenue</t>
        </is>
      </c>
      <c r="B14" s="11" t="n"/>
      <c r="C14" s="11" t="n"/>
      <c r="D14" s="11" t="n"/>
      <c r="E14" s="11" t="n"/>
      <c r="F14" s="11" t="n"/>
    </row>
    <row r="16">
      <c r="A16" s="6" t="inlineStr">
        <is>
          <t>Expenses</t>
        </is>
      </c>
      <c r="B16" s="7" t="n"/>
      <c r="C16" s="7" t="n"/>
      <c r="D16" s="7" t="n"/>
      <c r="E16" s="7" t="n"/>
      <c r="F16" s="7" t="n"/>
    </row>
    <row r="17">
      <c r="A17" s="8" t="inlineStr">
        <is>
          <t xml:space="preserve">    Depreciation</t>
        </is>
      </c>
      <c r="B17" s="9" t="n"/>
      <c r="C17" s="9" t="n"/>
      <c r="D17" s="9" t="n"/>
      <c r="E17" s="9" t="n"/>
      <c r="F17" s="9" t="n"/>
    </row>
    <row r="18">
      <c r="A18" s="8" t="inlineStr">
        <is>
          <t xml:space="preserve">    Interest expense</t>
        </is>
      </c>
      <c r="B18" s="9" t="n"/>
      <c r="C18" s="9" t="n"/>
      <c r="D18" s="9" t="n"/>
      <c r="E18" s="9" t="n"/>
      <c r="F18" s="9" t="n"/>
    </row>
    <row r="19">
      <c r="A19" s="10" t="inlineStr">
        <is>
          <t>Total expenses</t>
        </is>
      </c>
      <c r="B19" s="11" t="n">
        <v>31431</v>
      </c>
      <c r="C19" s="11" t="n">
        <v>41920</v>
      </c>
      <c r="D19" s="11" t="n">
        <v>32084</v>
      </c>
      <c r="E19" s="11" t="n">
        <v>46371</v>
      </c>
      <c r="F19" s="11" t="n">
        <v>66094</v>
      </c>
    </row>
    <row r="21">
      <c r="A21" s="10" t="inlineStr">
        <is>
          <t>Net income</t>
        </is>
      </c>
      <c r="B21" s="11" t="n">
        <v>36435</v>
      </c>
      <c r="C21" s="11" t="n">
        <v>20297</v>
      </c>
      <c r="D21" s="11" t="n">
        <v>44252</v>
      </c>
      <c r="E21" s="11" t="n">
        <v>24352</v>
      </c>
      <c r="F21" s="11" t="n">
        <v>55758</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98122</v>
      </c>
      <c r="C27" s="9" t="n">
        <v>118419</v>
      </c>
      <c r="D27" s="9" t="n">
        <v>104455</v>
      </c>
      <c r="E27" s="9" t="n">
        <v>128807</v>
      </c>
      <c r="F27" s="9" t="n">
        <v>140310</v>
      </c>
    </row>
    <row r="28">
      <c r="A28" s="8" t="inlineStr">
        <is>
          <t xml:space="preserve">    Savings &amp; temporary investments</t>
        </is>
      </c>
      <c r="B28" s="9" t="n"/>
      <c r="C28" s="9" t="n"/>
      <c r="D28" s="9" t="n"/>
      <c r="E28" s="9" t="n"/>
      <c r="F28" s="9" t="n"/>
    </row>
    <row r="29">
      <c r="A29" s="8" t="inlineStr">
        <is>
          <t xml:space="preserve">    Accounts receivable</t>
        </is>
      </c>
      <c r="B29" s="9" t="n"/>
      <c r="C29" s="9" t="n"/>
      <c r="D29" s="9" t="n"/>
      <c r="E29" s="9" t="n"/>
      <c r="F29" s="9" t="n"/>
    </row>
    <row r="30">
      <c r="A30" s="8" t="inlineStr">
        <is>
          <t xml:space="preserve">    Inventories</t>
        </is>
      </c>
      <c r="B30" s="9" t="n"/>
      <c r="C30" s="9" t="n"/>
      <c r="D30" s="9" t="n"/>
      <c r="E30" s="9" t="n"/>
      <c r="F30" s="9" t="n"/>
    </row>
    <row r="31">
      <c r="A31" s="8" t="inlineStr">
        <is>
          <t xml:space="preserve">    Prepaid expenses</t>
        </is>
      </c>
      <c r="B31" s="9" t="n"/>
      <c r="C31" s="9" t="n"/>
      <c r="D31" s="9" t="n"/>
      <c r="E31" s="9" t="n"/>
      <c r="F31" s="9" t="n"/>
    </row>
    <row r="32">
      <c r="A32" s="8" t="inlineStr">
        <is>
          <t xml:space="preserve">    Property, plant &amp; equipment (gross)</t>
        </is>
      </c>
      <c r="B32" s="9" t="n"/>
      <c r="C32" s="9" t="n"/>
      <c r="D32" s="9" t="n"/>
      <c r="E32" s="9" t="n"/>
      <c r="F32" s="9" t="n"/>
    </row>
    <row r="33">
      <c r="A33" s="8" t="inlineStr">
        <is>
          <t xml:space="preserve">    Less: accumulated depreciation</t>
        </is>
      </c>
      <c r="B33" s="9" t="n"/>
      <c r="C33" s="9" t="n"/>
      <c r="D33" s="9" t="n"/>
      <c r="E33" s="9" t="n"/>
      <c r="F33" s="9" t="n"/>
    </row>
    <row r="34">
      <c r="A34" s="10" t="inlineStr">
        <is>
          <t xml:space="preserve">    Net property, plant &amp; equipment</t>
        </is>
      </c>
      <c r="B34" s="11" t="n">
        <v>0</v>
      </c>
      <c r="C34" s="11" t="n">
        <v>0</v>
      </c>
      <c r="D34" s="11" t="n">
        <v>205441</v>
      </c>
      <c r="E34" s="11" t="n">
        <v>205441</v>
      </c>
      <c r="F34" s="11" t="n">
        <v>258468</v>
      </c>
    </row>
    <row r="35">
      <c r="A35" s="10" t="inlineStr">
        <is>
          <t>Total assets</t>
        </is>
      </c>
      <c r="B35" s="11" t="n">
        <v>98122</v>
      </c>
      <c r="C35" s="11" t="n">
        <v>118419</v>
      </c>
      <c r="D35" s="11" t="n">
        <v>309896</v>
      </c>
      <c r="E35" s="11" t="n">
        <v>334248</v>
      </c>
      <c r="F35" s="11" t="n">
        <v>398778</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v>0</v>
      </c>
      <c r="C40" s="11" t="n">
        <v>0</v>
      </c>
      <c r="D40" s="11" t="n">
        <v>0</v>
      </c>
      <c r="E40" s="11" t="n">
        <v>0</v>
      </c>
      <c r="F40" s="11" t="n">
        <v>8772</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98122</v>
      </c>
      <c r="C46" s="11" t="n">
        <v>118419</v>
      </c>
      <c r="D46" s="11" t="n">
        <v>309896</v>
      </c>
      <c r="E46" s="11" t="n">
        <v>334248</v>
      </c>
      <c r="F46" s="11" t="n">
        <v>390006</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36435</v>
      </c>
      <c r="C52" s="9" t="n">
        <v>20297</v>
      </c>
      <c r="D52" s="9" t="n">
        <v>44252</v>
      </c>
      <c r="E52" s="9" t="n">
        <v>24352</v>
      </c>
      <c r="F52" s="9" t="n">
        <v>55758</v>
      </c>
    </row>
    <row r="53">
      <c r="A53" s="8" t="inlineStr">
        <is>
          <t xml:space="preserve">    + Depreciation (reported)</t>
        </is>
      </c>
      <c r="B53" s="9" t="n"/>
      <c r="C53" s="9" t="n"/>
      <c r="D53" s="9" t="n"/>
      <c r="E53" s="9" t="n"/>
      <c r="F53" s="9" t="n"/>
    </row>
    <row r="54">
      <c r="A54" s="8" t="inlineStr">
        <is>
          <t xml:space="preserve">    − Δ Accounts receivable</t>
        </is>
      </c>
      <c r="B54" s="9" t="n"/>
      <c r="C54" s="9" t="n"/>
      <c r="D54" s="9" t="n"/>
      <c r="E54" s="9" t="n"/>
      <c r="F54" s="9" t="n"/>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row>
    <row r="57">
      <c r="A57" s="8" t="inlineStr">
        <is>
          <t xml:space="preserve">    + Δ Accounts payable</t>
        </is>
      </c>
      <c r="B57" s="9" t="n"/>
      <c r="C57" s="9" t="n"/>
      <c r="D57" s="9" t="n"/>
      <c r="E57" s="9" t="n"/>
      <c r="F57" s="9" t="n"/>
    </row>
    <row r="58">
      <c r="A58" s="10" t="inlineStr">
        <is>
          <t xml:space="preserve">    Operating cash flow proxy</t>
        </is>
      </c>
      <c r="B58" s="11" t="n"/>
      <c r="C58" s="11" t="n">
        <v>20297</v>
      </c>
      <c r="D58" s="11" t="n">
        <v>44252</v>
      </c>
      <c r="E58" s="11" t="n">
        <v>24352</v>
      </c>
      <c r="F58" s="11" t="n">
        <v>55758</v>
      </c>
    </row>
    <row r="60">
      <c r="A60" s="6" t="inlineStr">
        <is>
          <t>Investing</t>
        </is>
      </c>
      <c r="B60" s="7" t="n"/>
      <c r="C60" s="7" t="n"/>
      <c r="D60" s="7" t="n"/>
      <c r="E60" s="7" t="n"/>
      <c r="F60" s="7" t="n"/>
    </row>
    <row r="61">
      <c r="A61" s="8" t="inlineStr">
        <is>
          <t xml:space="preserve">    − Δ PP&amp;E gross (capex proxy)</t>
        </is>
      </c>
      <c r="B61" s="9" t="n"/>
      <c r="C61" s="9" t="n"/>
      <c r="D61" s="9" t="n"/>
      <c r="E61" s="9" t="n"/>
      <c r="F61" s="9" t="n"/>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20297</v>
      </c>
      <c r="D67" s="11" t="n">
        <v>-13964</v>
      </c>
      <c r="E67" s="11" t="n">
        <v>24352</v>
      </c>
      <c r="F67" s="11" t="n">
        <v>11503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3:F3"/>
    <mergeCell ref="A2:F2"/>
    <mergeCell ref="A69:F69"/>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South Mountain Mutual Water Company</t>
        </is>
      </c>
    </row>
    <row r="2">
      <c r="A2" s="2" t="inlineStr">
        <is>
          <t>Balance Sheet - as reported (USD, end of year)</t>
        </is>
      </c>
    </row>
    <row r="3">
      <c r="A3" s="2" t="inlineStr">
        <is>
          <t>Entity ID: cawc_0017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98122</v>
      </c>
      <c r="C7" s="9" t="n">
        <v>118419</v>
      </c>
      <c r="D7" s="9" t="n">
        <v>104455</v>
      </c>
      <c r="E7" s="9" t="n">
        <v>128807</v>
      </c>
      <c r="F7" s="9" t="n">
        <v>140310</v>
      </c>
    </row>
    <row r="8">
      <c r="A8" s="8" t="inlineStr">
        <is>
          <t xml:space="preserve">    Savings &amp; temporary investments</t>
        </is>
      </c>
      <c r="B8" s="9" t="n"/>
      <c r="C8" s="9" t="n"/>
      <c r="D8" s="9" t="n"/>
      <c r="E8" s="9" t="n"/>
      <c r="F8" s="9" t="n"/>
    </row>
    <row r="9">
      <c r="A9" s="8" t="inlineStr">
        <is>
          <t xml:space="preserve">    Accounts receivable</t>
        </is>
      </c>
      <c r="B9" s="9" t="n"/>
      <c r="C9" s="9" t="n"/>
      <c r="D9" s="9" t="n"/>
      <c r="E9" s="9" t="n"/>
      <c r="F9" s="9" t="n"/>
    </row>
    <row r="10">
      <c r="A10" s="8" t="inlineStr">
        <is>
          <t xml:space="preserve">    Inventories</t>
        </is>
      </c>
      <c r="B10" s="9" t="n"/>
      <c r="C10" s="9" t="n"/>
      <c r="D10" s="9" t="n"/>
      <c r="E10" s="9" t="n"/>
      <c r="F10" s="9" t="n"/>
    </row>
    <row r="11">
      <c r="A11" s="8" t="inlineStr">
        <is>
          <t xml:space="preserve">    Prepaid expenses</t>
        </is>
      </c>
      <c r="B11" s="9" t="n"/>
      <c r="C11" s="9" t="n"/>
      <c r="D11" s="9" t="n"/>
      <c r="E11" s="9" t="n"/>
      <c r="F11" s="9" t="n"/>
    </row>
    <row r="12">
      <c r="A12" s="8" t="inlineStr">
        <is>
          <t xml:space="preserve">    Property, plant &amp; equipment (gross)</t>
        </is>
      </c>
      <c r="B12" s="9" t="n"/>
      <c r="C12" s="9" t="n"/>
      <c r="D12" s="9" t="n"/>
      <c r="E12" s="9" t="n"/>
      <c r="F12" s="9" t="n"/>
    </row>
    <row r="13">
      <c r="A13" s="8" t="inlineStr">
        <is>
          <t xml:space="preserve">    Less: accumulated depreciation</t>
        </is>
      </c>
      <c r="B13" s="9" t="n"/>
      <c r="C13" s="9" t="n"/>
      <c r="D13" s="9" t="n"/>
      <c r="E13" s="9" t="n"/>
      <c r="F13" s="9" t="n"/>
    </row>
    <row r="14">
      <c r="A14" s="10" t="inlineStr">
        <is>
          <t xml:space="preserve">    Net property, plant &amp; equipment</t>
        </is>
      </c>
      <c r="B14" s="11" t="n">
        <v>0</v>
      </c>
      <c r="C14" s="11" t="n">
        <v>0</v>
      </c>
      <c r="D14" s="11" t="n">
        <v>205441</v>
      </c>
      <c r="E14" s="11" t="n">
        <v>205441</v>
      </c>
      <c r="F14" s="11" t="n">
        <v>258468</v>
      </c>
    </row>
    <row r="15">
      <c r="A15" s="10" t="inlineStr">
        <is>
          <t>Total assets</t>
        </is>
      </c>
      <c r="B15" s="11" t="n">
        <v>98122</v>
      </c>
      <c r="C15" s="11" t="n">
        <v>118419</v>
      </c>
      <c r="D15" s="11" t="n">
        <v>309896</v>
      </c>
      <c r="E15" s="11" t="n">
        <v>334248</v>
      </c>
      <c r="F15" s="11" t="n">
        <v>398778</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v>0</v>
      </c>
      <c r="C20" s="11" t="n">
        <v>0</v>
      </c>
      <c r="D20" s="11" t="n">
        <v>0</v>
      </c>
      <c r="E20" s="11" t="n">
        <v>0</v>
      </c>
      <c r="F20" s="11" t="n">
        <v>8772</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98122</v>
      </c>
      <c r="C26" s="11" t="n">
        <v>118419</v>
      </c>
      <c r="D26" s="11" t="n">
        <v>309896</v>
      </c>
      <c r="E26" s="11" t="n">
        <v>334248</v>
      </c>
      <c r="F26" s="11" t="n">
        <v>390006</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South Mountain Mutual Water Company</t>
        </is>
      </c>
    </row>
    <row r="2">
      <c r="A2" s="2" t="inlineStr">
        <is>
          <t>Form 990-EZ - Part I (revenue, expenses, net assets) and Part II (balance sheet), as filed (USD)</t>
        </is>
      </c>
    </row>
    <row r="3">
      <c r="A3" s="2" t="inlineStr">
        <is>
          <t>Entity ID: cawc_0017   |   Fiscal year ends December 31.</t>
        </is>
      </c>
    </row>
    <row r="5">
      <c r="A5" s="4" t="inlineStr">
        <is>
          <t>Form 990-EZ line</t>
        </is>
      </c>
      <c r="B5" s="5" t="inlineStr">
        <is>
          <t>FY2020</t>
        </is>
      </c>
      <c r="C5" s="5" t="inlineStr">
        <is>
          <t>FY2021</t>
        </is>
      </c>
      <c r="D5" s="5" t="inlineStr">
        <is>
          <t>FY2022</t>
        </is>
      </c>
      <c r="E5" s="5" t="inlineStr">
        <is>
          <t>FY2023</t>
        </is>
      </c>
      <c r="F5" s="5" t="inlineStr">
        <is>
          <t>FY2024</t>
        </is>
      </c>
    </row>
    <row r="6">
      <c r="A6" s="6" t="inlineStr">
        <is>
          <t>Revenue (Part I)</t>
        </is>
      </c>
      <c r="B6" s="7" t="n"/>
      <c r="C6" s="7" t="n"/>
      <c r="D6" s="7" t="n"/>
      <c r="E6" s="7" t="n"/>
      <c r="F6" s="7" t="n"/>
    </row>
    <row r="7">
      <c r="A7" s="8" t="inlineStr">
        <is>
          <t xml:space="preserve">    1. Contributions, gifts, grants</t>
        </is>
      </c>
      <c r="B7" s="14" t="inlineStr">
        <is>
          <t>not reported</t>
        </is>
      </c>
      <c r="C7" s="14" t="inlineStr">
        <is>
          <t>not reported</t>
        </is>
      </c>
      <c r="D7" s="14" t="inlineStr">
        <is>
          <t>not reported</t>
        </is>
      </c>
      <c r="E7" s="14" t="inlineStr">
        <is>
          <t>not reported</t>
        </is>
      </c>
      <c r="F7" s="9" t="n">
        <v>48272</v>
      </c>
    </row>
    <row r="8">
      <c r="A8" s="8" t="inlineStr">
        <is>
          <t xml:space="preserve">    3. Membership dues and assessments</t>
        </is>
      </c>
      <c r="B8" s="9" t="n">
        <v>67824</v>
      </c>
      <c r="C8" s="9" t="n">
        <v>62171</v>
      </c>
      <c r="D8" s="9" t="n">
        <v>76298</v>
      </c>
      <c r="E8" s="9" t="n">
        <v>70685</v>
      </c>
      <c r="F8" s="9" t="n">
        <v>73580</v>
      </c>
    </row>
    <row r="9">
      <c r="A9" s="8" t="inlineStr">
        <is>
          <t xml:space="preserve">    4. Investment income</t>
        </is>
      </c>
      <c r="B9" s="9" t="n">
        <v>42</v>
      </c>
      <c r="C9" s="9" t="n">
        <v>46</v>
      </c>
      <c r="D9" s="9" t="n">
        <v>38</v>
      </c>
      <c r="E9" s="9" t="n">
        <v>38</v>
      </c>
      <c r="F9" s="14" t="inlineStr">
        <is>
          <t>not reported</t>
        </is>
      </c>
    </row>
    <row r="10">
      <c r="A10" s="10" t="inlineStr">
        <is>
          <t>9. Total revenue</t>
        </is>
      </c>
      <c r="B10" s="11" t="n">
        <v>67866</v>
      </c>
      <c r="C10" s="11" t="n">
        <v>62217</v>
      </c>
      <c r="D10" s="11" t="n">
        <v>76336</v>
      </c>
      <c r="E10" s="11" t="n">
        <v>70723</v>
      </c>
      <c r="F10" s="11" t="n">
        <v>121852</v>
      </c>
    </row>
    <row r="12">
      <c r="A12" s="6" t="inlineStr">
        <is>
          <t>Expenses (Part I)</t>
        </is>
      </c>
      <c r="B12" s="7" t="n"/>
      <c r="C12" s="7" t="n"/>
      <c r="D12" s="7" t="n"/>
      <c r="E12" s="7" t="n"/>
      <c r="F12" s="7" t="n"/>
    </row>
    <row r="13">
      <c r="A13" s="8" t="inlineStr">
        <is>
          <t xml:space="preserve">    13. Fees for services (independent contractors)</t>
        </is>
      </c>
      <c r="B13" s="14" t="inlineStr">
        <is>
          <t>not reported</t>
        </is>
      </c>
      <c r="C13" s="9" t="n">
        <v>7885</v>
      </c>
      <c r="D13" s="14" t="inlineStr">
        <is>
          <t>not reported</t>
        </is>
      </c>
      <c r="E13" s="14" t="inlineStr">
        <is>
          <t>not reported</t>
        </is>
      </c>
      <c r="F13" s="14" t="inlineStr">
        <is>
          <t>not reported</t>
        </is>
      </c>
    </row>
    <row r="14">
      <c r="A14" s="8" t="inlineStr">
        <is>
          <t xml:space="preserve">    16. Other expenses</t>
        </is>
      </c>
      <c r="B14" s="9" t="n">
        <v>31431</v>
      </c>
      <c r="C14" s="9" t="n">
        <v>34035</v>
      </c>
      <c r="D14" s="9" t="n">
        <v>32084</v>
      </c>
      <c r="E14" s="9" t="n">
        <v>46371</v>
      </c>
      <c r="F14" s="9" t="n">
        <v>66094</v>
      </c>
    </row>
    <row r="15">
      <c r="A15" s="10" t="inlineStr">
        <is>
          <t>17. Total expenses</t>
        </is>
      </c>
      <c r="B15" s="11">
        <f>SUM(B13:B14)</f>
        <v/>
      </c>
      <c r="C15" s="11">
        <f>SUM(C13:C14)</f>
        <v/>
      </c>
      <c r="D15" s="11">
        <f>SUM(D13:D14)</f>
        <v/>
      </c>
      <c r="E15" s="11">
        <f>SUM(E13:E14)</f>
        <v/>
      </c>
      <c r="F15" s="11">
        <f>SUM(F13:F14)</f>
        <v/>
      </c>
    </row>
    <row r="17">
      <c r="A17" s="6" t="inlineStr">
        <is>
          <t>Net-assets reconciliation (Part I)</t>
        </is>
      </c>
      <c r="B17" s="7" t="n"/>
      <c r="C17" s="7" t="n"/>
      <c r="D17" s="7" t="n"/>
      <c r="E17" s="7" t="n"/>
      <c r="F17" s="7" t="n"/>
    </row>
    <row r="18">
      <c r="A18" s="8" t="inlineStr">
        <is>
          <t xml:space="preserve">    19. Net assets or fund balances, beginning of year</t>
        </is>
      </c>
      <c r="B18" s="9" t="n">
        <v>61687</v>
      </c>
      <c r="C18" s="9" t="n">
        <v>98122</v>
      </c>
      <c r="D18" s="9" t="n">
        <v>118419</v>
      </c>
      <c r="E18" s="9" t="n">
        <v>309896</v>
      </c>
      <c r="F18" s="9" t="n">
        <v>334248</v>
      </c>
    </row>
    <row r="19">
      <c r="A19" s="8" t="inlineStr">
        <is>
          <t xml:space="preserve">    18. Excess or (deficit) for the year</t>
        </is>
      </c>
      <c r="B19" s="9" t="n">
        <v>36435</v>
      </c>
      <c r="C19" s="9" t="n">
        <v>20297</v>
      </c>
      <c r="D19" s="9" t="n">
        <v>44252</v>
      </c>
      <c r="E19" s="9" t="n">
        <v>24352</v>
      </c>
      <c r="F19" s="9" t="n">
        <v>55758</v>
      </c>
    </row>
    <row r="20">
      <c r="A20" s="10" t="inlineStr">
        <is>
          <t>21. Net assets or fund balances, end of year</t>
        </is>
      </c>
      <c r="B20" s="11">
        <f>SUM(B18,B19)</f>
        <v/>
      </c>
      <c r="C20" s="11">
        <f>SUM(C18,C19)</f>
        <v/>
      </c>
      <c r="D20" s="11">
        <f>SUM(D18,D19)</f>
        <v/>
      </c>
      <c r="E20" s="11">
        <f>SUM(E18,E19)</f>
        <v/>
      </c>
      <c r="F20" s="11">
        <f>SUM(F18,F19)</f>
        <v/>
      </c>
    </row>
    <row r="22">
      <c r="A22" s="6" t="inlineStr">
        <is>
          <t>Balance sheet (Part II, end of year - column B)</t>
        </is>
      </c>
      <c r="B22" s="7" t="n"/>
      <c r="C22" s="7" t="n"/>
      <c r="D22" s="7" t="n"/>
      <c r="E22" s="7" t="n"/>
      <c r="F22" s="7" t="n"/>
    </row>
    <row r="23">
      <c r="A23" s="8" t="inlineStr">
        <is>
          <t xml:space="preserve">    22. Cash, savings, and investments</t>
        </is>
      </c>
      <c r="B23" s="9" t="n">
        <v>98122</v>
      </c>
      <c r="C23" s="9" t="n">
        <v>118419</v>
      </c>
      <c r="D23" s="9" t="n">
        <v>104455</v>
      </c>
      <c r="E23" s="9" t="n">
        <v>128807</v>
      </c>
      <c r="F23" s="9" t="n">
        <v>140310</v>
      </c>
    </row>
    <row r="24">
      <c r="A24" s="8" t="inlineStr">
        <is>
          <t xml:space="preserve">    23. Land and buildings</t>
        </is>
      </c>
      <c r="B24" s="9" t="n">
        <v>0</v>
      </c>
      <c r="C24" s="9" t="n">
        <v>0</v>
      </c>
      <c r="D24" s="9" t="n">
        <v>205441</v>
      </c>
      <c r="E24" s="9" t="n">
        <v>205441</v>
      </c>
      <c r="F24" s="9" t="n">
        <v>258468</v>
      </c>
    </row>
    <row r="25">
      <c r="A25" s="8" t="inlineStr">
        <is>
          <t xml:space="preserve">    24. Other assets</t>
        </is>
      </c>
      <c r="B25" s="9" t="n">
        <v>0</v>
      </c>
      <c r="C25" s="9" t="n">
        <v>0</v>
      </c>
      <c r="D25" s="9" t="n">
        <v>0</v>
      </c>
      <c r="E25" s="9" t="n">
        <v>0</v>
      </c>
      <c r="F25" s="9" t="n">
        <v>0</v>
      </c>
    </row>
    <row r="26">
      <c r="A26" s="10" t="inlineStr">
        <is>
          <t>25. Total assets</t>
        </is>
      </c>
      <c r="B26" s="11">
        <f>SUM(B23:B25)</f>
        <v/>
      </c>
      <c r="C26" s="11">
        <f>SUM(C23:C25)</f>
        <v/>
      </c>
      <c r="D26" s="11">
        <f>SUM(D23:D25)</f>
        <v/>
      </c>
      <c r="E26" s="11">
        <f>SUM(E23:E25)</f>
        <v/>
      </c>
      <c r="F26" s="11">
        <f>SUM(F23:F25)</f>
        <v/>
      </c>
    </row>
    <row r="27">
      <c r="A27" s="10" t="inlineStr">
        <is>
          <t>26. Total liabilities</t>
        </is>
      </c>
      <c r="B27" s="11" t="n">
        <v>0</v>
      </c>
      <c r="C27" s="11" t="n">
        <v>0</v>
      </c>
      <c r="D27" s="11" t="n">
        <v>0</v>
      </c>
      <c r="E27" s="11" t="n">
        <v>0</v>
      </c>
      <c r="F27" s="11" t="n">
        <v>8772</v>
      </c>
    </row>
    <row r="28">
      <c r="A28" s="10" t="inlineStr">
        <is>
          <t>27. Net assets or fund balances</t>
        </is>
      </c>
      <c r="B28" s="11" t="n">
        <v>98122</v>
      </c>
      <c r="C28" s="11" t="n">
        <v>118419</v>
      </c>
      <c r="D28" s="11" t="n">
        <v>309896</v>
      </c>
      <c r="E28" s="11" t="n">
        <v>334248</v>
      </c>
      <c r="F28" s="11" t="n">
        <v>390006</v>
      </c>
    </row>
    <row r="30" ht="42" customHeight="1">
      <c r="A30"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F3"/>
    <mergeCell ref="A2:F2"/>
    <mergeCell ref="A1:F1"/>
    <mergeCell ref="A30:F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South Mountain Mutual Water Company</t>
        </is>
      </c>
    </row>
    <row r="2">
      <c r="A2" s="2" t="inlineStr">
        <is>
          <t>Cash Flow Proxies - derived (USD)</t>
        </is>
      </c>
    </row>
    <row r="3">
      <c r="A3" s="2" t="inlineStr">
        <is>
          <t>Entity ID: cawc_0017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36435</v>
      </c>
      <c r="C9" s="9" t="n">
        <v>20297</v>
      </c>
      <c r="D9" s="9" t="n">
        <v>44252</v>
      </c>
      <c r="E9" s="9" t="n">
        <v>24352</v>
      </c>
      <c r="F9" s="9" t="n">
        <v>55758</v>
      </c>
    </row>
    <row r="10">
      <c r="A10" s="8" t="inlineStr">
        <is>
          <t xml:space="preserve">    + Depreciation (reported)</t>
        </is>
      </c>
      <c r="B10" s="9" t="n"/>
      <c r="C10" s="9" t="n"/>
      <c r="D10" s="9" t="n"/>
      <c r="E10" s="9" t="n"/>
      <c r="F10" s="9" t="n"/>
    </row>
    <row r="11">
      <c r="A11" s="8" t="inlineStr">
        <is>
          <t xml:space="preserve">    − Δ Accounts receivable</t>
        </is>
      </c>
      <c r="B11" s="9" t="n"/>
      <c r="C11" s="9" t="n"/>
      <c r="D11" s="9" t="n"/>
      <c r="E11" s="9" t="n"/>
      <c r="F11" s="9" t="n"/>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row>
    <row r="14">
      <c r="A14" s="8" t="inlineStr">
        <is>
          <t xml:space="preserve">    + Δ Accounts payable</t>
        </is>
      </c>
      <c r="B14" s="9" t="n"/>
      <c r="C14" s="9" t="n"/>
      <c r="D14" s="9" t="n"/>
      <c r="E14" s="9" t="n"/>
      <c r="F14" s="9" t="n"/>
    </row>
    <row r="15">
      <c r="A15" s="10" t="inlineStr">
        <is>
          <t xml:space="preserve">    Operating cash flow proxy</t>
        </is>
      </c>
      <c r="B15" s="11" t="n"/>
      <c r="C15" s="11" t="n">
        <v>20297</v>
      </c>
      <c r="D15" s="11" t="n">
        <v>44252</v>
      </c>
      <c r="E15" s="11" t="n">
        <v>24352</v>
      </c>
      <c r="F15" s="11" t="n">
        <v>55758</v>
      </c>
    </row>
    <row r="17">
      <c r="A17" s="6" t="inlineStr">
        <is>
          <t>Investing</t>
        </is>
      </c>
      <c r="B17" s="7" t="n"/>
      <c r="C17" s="7" t="n"/>
      <c r="D17" s="7" t="n"/>
      <c r="E17" s="7" t="n"/>
      <c r="F17" s="7" t="n"/>
    </row>
    <row r="18">
      <c r="A18" s="8" t="inlineStr">
        <is>
          <t xml:space="preserve">    − Δ PP&amp;E gross (capex proxy)</t>
        </is>
      </c>
      <c r="B18" s="9" t="n"/>
      <c r="C18" s="9" t="n"/>
      <c r="D18" s="9" t="n"/>
      <c r="E18" s="9" t="n"/>
      <c r="F18" s="9" t="n"/>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20297</v>
      </c>
      <c r="D24" s="11" t="n">
        <v>-13964</v>
      </c>
      <c r="E24" s="11" t="n">
        <v>24352</v>
      </c>
      <c r="F24" s="11" t="n">
        <v>11503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South Mountain Mutual Water Company</t>
        </is>
      </c>
    </row>
    <row r="2">
      <c r="A2" s="2" t="inlineStr">
        <is>
          <t>Financial Ratios</t>
        </is>
      </c>
    </row>
    <row r="3">
      <c r="A3" s="2" t="inlineStr">
        <is>
          <t>Entity ID: cawc_0017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0.5368667668641146</v>
      </c>
      <c r="C7" s="12" t="n">
        <v>0.3262291656621181</v>
      </c>
      <c r="D7" s="12" t="n">
        <v>0.579700272479564</v>
      </c>
      <c r="E7" s="12" t="n">
        <v>0.3443292846740099</v>
      </c>
      <c r="F7" s="12" t="n">
        <v>0.4575878935101599</v>
      </c>
    </row>
    <row r="8">
      <c r="A8" s="8" t="inlineStr">
        <is>
          <t xml:space="preserve">    Expense ratio (expenses / revenue)</t>
        </is>
      </c>
      <c r="B8" s="12" t="n">
        <v>0.4631332331358854</v>
      </c>
      <c r="C8" s="12" t="n">
        <v>0.6737708343378819</v>
      </c>
      <c r="D8" s="12" t="n">
        <v>0.420299727520436</v>
      </c>
      <c r="E8" s="12" t="n">
        <v>0.6556707153259901</v>
      </c>
      <c r="F8" s="12" t="n">
        <v>0.5424121064898402</v>
      </c>
    </row>
    <row r="9">
      <c r="A9" s="8" t="inlineStr">
        <is>
          <t xml:space="preserve">    Return on assets (NI / assets)</t>
        </is>
      </c>
      <c r="B9" s="12" t="n">
        <v>0.3713234544750413</v>
      </c>
      <c r="C9" s="12" t="n">
        <v>0.1713998598197924</v>
      </c>
      <c r="D9" s="12" t="n">
        <v>0.1427962929498929</v>
      </c>
      <c r="E9" s="12" t="n">
        <v>0.07285608290849908</v>
      </c>
      <c r="F9" s="12" t="n">
        <v>0.1398221566886839</v>
      </c>
    </row>
    <row r="10">
      <c r="A10" s="8" t="inlineStr">
        <is>
          <t xml:space="preserve">    Revenue growth (YoY)</t>
        </is>
      </c>
      <c r="B10" s="12" t="n"/>
      <c r="C10" s="12" t="n"/>
      <c r="D10" s="12" t="n"/>
      <c r="E10" s="12" t="n"/>
      <c r="F10" s="12" t="n"/>
    </row>
    <row r="12">
      <c r="A12" s="6" t="inlineStr">
        <is>
          <t>Leverage &amp; solvency</t>
        </is>
      </c>
      <c r="B12" s="7" t="n"/>
      <c r="C12" s="7" t="n"/>
      <c r="D12" s="7" t="n"/>
      <c r="E12" s="7" t="n"/>
      <c r="F12" s="7" t="n"/>
    </row>
    <row r="13">
      <c r="A13" s="8" t="inlineStr">
        <is>
          <t xml:space="preserve">    Debt-to-assets (liab. / assets)</t>
        </is>
      </c>
      <c r="B13" s="12" t="n">
        <v>0</v>
      </c>
      <c r="C13" s="12" t="n">
        <v>0</v>
      </c>
      <c r="D13" s="12" t="n">
        <v>0</v>
      </c>
      <c r="E13" s="12" t="n">
        <v>0</v>
      </c>
      <c r="F13" s="12" t="n">
        <v>0.02199720145043107</v>
      </c>
    </row>
    <row r="14">
      <c r="A14" s="8" t="inlineStr">
        <is>
          <t xml:space="preserve">    Equity ratio (net assets / assets)</t>
        </is>
      </c>
      <c r="B14" s="12" t="n">
        <v>1</v>
      </c>
      <c r="C14" s="12" t="n">
        <v>1</v>
      </c>
      <c r="D14" s="12" t="n">
        <v>1</v>
      </c>
      <c r="E14" s="12" t="n">
        <v>1</v>
      </c>
      <c r="F14" s="12" t="n">
        <v>0.978002798549569</v>
      </c>
    </row>
    <row r="16">
      <c r="A16" s="6" t="inlineStr">
        <is>
          <t>Liquidity &amp; asset profile (derived here)</t>
        </is>
      </c>
      <c r="B16" s="7" t="n"/>
      <c r="C16" s="7" t="n"/>
      <c r="D16" s="7" t="n"/>
      <c r="E16" s="7" t="n"/>
      <c r="F16" s="7" t="n"/>
    </row>
    <row r="17">
      <c r="A17" s="8" t="inlineStr">
        <is>
          <t xml:space="preserve">    Current ratio (current assets / AP)</t>
        </is>
      </c>
      <c r="B17" s="15" t="n"/>
      <c r="C17" s="15" t="n"/>
      <c r="D17" s="15" t="n"/>
      <c r="E17" s="15" t="n"/>
      <c r="F17" s="15" t="n"/>
    </row>
    <row r="18">
      <c r="A18" s="8" t="inlineStr">
        <is>
          <t xml:space="preserve">    Cash ratio ((cash+temp inv.) / total liab.)</t>
        </is>
      </c>
      <c r="B18" s="15" t="n"/>
      <c r="C18" s="15" t="n"/>
      <c r="D18" s="15" t="n"/>
      <c r="E18" s="15" t="n"/>
      <c r="F18" s="15" t="n">
        <v>15.99521203830369</v>
      </c>
    </row>
    <row r="19">
      <c r="A19" s="8" t="inlineStr">
        <is>
          <t xml:space="preserve">    Asset age proxy (accum. deprec. / gross PP&amp;E)</t>
        </is>
      </c>
      <c r="B19" s="12" t="n"/>
      <c r="C19" s="12" t="n"/>
      <c r="D19" s="12" t="n"/>
      <c r="E19" s="12" t="n"/>
      <c r="F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South Mountain Mutual Water Company</t>
        </is>
      </c>
    </row>
    <row r="2">
      <c r="A2" s="2" t="inlineStr">
        <is>
          <t>Unit economics - per-customer revenue by category (USD)</t>
        </is>
      </c>
    </row>
    <row r="3">
      <c r="A3" s="2" t="inlineStr">
        <is>
          <t>Entity ID: cawc_0017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South Mountain Mutual Water Company</t>
        </is>
      </c>
    </row>
    <row r="2">
      <c r="A2" s="2" t="inlineStr">
        <is>
          <t>Rate structure and representative bill - eAR Section 8a (RY2024)</t>
        </is>
      </c>
    </row>
    <row r="3">
      <c r="A3" s="2" t="inlineStr">
        <is>
          <t>Entity ID: cawc_0017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141" customHeight="1">
      <c r="A6" s="3" t="inlineStr">
        <is>
          <t>A filed eAR Section 8a rate schedule IS staged for this system, reporting year 2024, carrying a residential rate structure filed as "OtherRate", a volumetric unit of Gallons, a billing frequency of A. It carries no single-family residential charges grid (no base charge and no tier prices), so a representative monthly bill is not computable as a monthly bill for this system. Nothing here is estimated to fill the gap.</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South Mountain Mutual Water Company</t>
        </is>
      </c>
    </row>
    <row r="2">
      <c r="A2" s="2" t="inlineStr">
        <is>
          <t>Denominators and calendar alignment</t>
        </is>
      </c>
    </row>
    <row r="3">
      <c r="A3" s="2" t="inlineStr">
        <is>
          <t>Entity ID: cawc_0017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16" t="inlineStr">
        <is>
          <t>Customer (service connection)</t>
        </is>
      </c>
      <c r="B7" s="22" t="n">
        <v>27</v>
      </c>
      <c r="C7" s="18" t="inlineStr">
        <is>
          <t>State Water Board eAR Section 4 (CurTotalConnections), reporting year 2024</t>
        </is>
      </c>
    </row>
    <row r="8">
      <c r="A8" s="16" t="inlineStr">
        <is>
          <t>SDWIS service-connection count (different registry)</t>
        </is>
      </c>
      <c r="B8" s="22" t="n">
        <v>27</v>
      </c>
      <c r="C8" s="18" t="inlineStr"/>
    </row>
    <row r="9">
      <c r="A9" s="16" t="inlineStr">
        <is>
          <t>Member (shareholder)</t>
        </is>
      </c>
      <c r="B9" s="17" t="n"/>
      <c r="C9" s="18"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FY2020 (2020-12-31)</t>
        </is>
      </c>
      <c r="B14" s="22" t="n">
        <v>27</v>
      </c>
      <c r="C14" s="14" t="inlineStr">
        <is>
          <t>not reported</t>
        </is>
      </c>
      <c r="D14" s="22" t="n">
        <v>132.1</v>
      </c>
      <c r="E14" s="22" t="n">
        <v>74</v>
      </c>
      <c r="F14" s="22" t="n">
        <v>0</v>
      </c>
      <c r="G14" s="17" t="inlineStr">
        <is>
          <t>eAR annual total, calendar filer, equals fiscal year (not a monthly recast)</t>
        </is>
      </c>
    </row>
    <row r="15" ht="40" customHeight="1">
      <c r="A15" s="8" t="inlineStr">
        <is>
          <t>FY2021 (2021-12-31)</t>
        </is>
      </c>
      <c r="B15" s="22" t="n">
        <v>27</v>
      </c>
      <c r="C15" s="14" t="inlineStr">
        <is>
          <t>not reported</t>
        </is>
      </c>
      <c r="D15" s="22" t="n">
        <v>132.1</v>
      </c>
      <c r="E15" s="22" t="n">
        <v>93</v>
      </c>
      <c r="F15" s="22" t="n">
        <v>0</v>
      </c>
      <c r="G15" s="17" t="inlineStr">
        <is>
          <t>eAR annual total, calendar filer, equals fiscal year (not a monthly recast)</t>
        </is>
      </c>
    </row>
    <row r="16" ht="40" customHeight="1">
      <c r="A16" s="8" t="inlineStr">
        <is>
          <t>FY2022 (2022-12-31)</t>
        </is>
      </c>
      <c r="B16" s="22" t="n">
        <v>27</v>
      </c>
      <c r="C16" s="14" t="inlineStr">
        <is>
          <t>not reported</t>
        </is>
      </c>
      <c r="D16" s="22" t="n">
        <v>132.1</v>
      </c>
      <c r="E16" s="22" t="n">
        <v>94.90000000000001</v>
      </c>
      <c r="F16" s="22" t="n">
        <v>0</v>
      </c>
      <c r="G16" s="17" t="inlineStr">
        <is>
          <t>eAR annual total, calendar filer, equals fiscal year (not a monthly recast)</t>
        </is>
      </c>
    </row>
    <row r="17" ht="40" customHeight="1">
      <c r="A17" s="8" t="inlineStr">
        <is>
          <t>FY2023 (2023-12-31)</t>
        </is>
      </c>
      <c r="B17" s="22" t="n">
        <v>27</v>
      </c>
      <c r="C17" s="14" t="inlineStr">
        <is>
          <t>not reported</t>
        </is>
      </c>
      <c r="D17" s="22" t="n">
        <v>132.1</v>
      </c>
      <c r="E17" s="14" t="inlineStr">
        <is>
          <t>not reported</t>
        </is>
      </c>
      <c r="F17" s="14" t="inlineStr">
        <is>
          <t>not reported</t>
        </is>
      </c>
      <c r="G17" s="17" t="inlineStr">
        <is>
          <t>eAR annual total, calendar filer, equals fiscal year (not a monthly recast)</t>
        </is>
      </c>
    </row>
    <row r="18" ht="40" customHeight="1">
      <c r="A18" s="8" t="inlineStr">
        <is>
          <t>FY2024 (2024-12-31)</t>
        </is>
      </c>
      <c r="B18" s="22" t="n">
        <v>27</v>
      </c>
      <c r="C18" s="22" t="n">
        <v>58</v>
      </c>
      <c r="D18" s="22" t="n">
        <v>132.1</v>
      </c>
      <c r="E18" s="14" t="inlineStr">
        <is>
          <t>not reported</t>
        </is>
      </c>
      <c r="F18" s="14" t="inlineStr">
        <is>
          <t>not reported</t>
        </is>
      </c>
      <c r="G18" s="17" t="inlineStr">
        <is>
          <t>eAR annual total, calendar filer, equals fiscal year (not a monthly recast)</t>
        </is>
      </c>
    </row>
    <row r="20">
      <c r="A20" s="6" t="inlineStr">
        <is>
          <t>Connections by class - FY2024 (eAR Section 4)</t>
        </is>
      </c>
      <c r="B20" s="7" t="n"/>
      <c r="C20" s="7" t="n"/>
      <c r="D20" s="7" t="n"/>
      <c r="E20" s="7" t="n"/>
      <c r="F20" s="7" t="n"/>
      <c r="G20" s="7" t="n"/>
    </row>
    <row r="21">
      <c r="A21" s="16" t="inlineStr">
        <is>
          <t>Single-family residential</t>
        </is>
      </c>
      <c r="B21" s="22" t="n">
        <v>27</v>
      </c>
      <c r="C21" s="18" t="inlineStr"/>
    </row>
    <row r="22" ht="81" customHeight="1">
      <c r="A22"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2:G22"/>
    <mergeCell ref="A2:G2"/>
    <mergeCell ref="A10:G10"/>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South Mountain Mutual Water Company</t>
        </is>
      </c>
    </row>
    <row r="2">
      <c r="A2" s="2" t="inlineStr">
        <is>
          <t>Governance evidence status - Ostrom's eight design principles</t>
        </is>
      </c>
    </row>
    <row r="3">
      <c r="A3" s="2" t="inlineStr">
        <is>
          <t>Entity ID: cawc_0017   |   Fiscal year ends December 31.</t>
        </is>
      </c>
    </row>
    <row r="5">
      <c r="A5" s="23" t="inlineStr">
        <is>
          <t>Evidence summary: 3 documented, 3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19" t="inlineStr">
        <is>
          <t>DOCUMENTED</t>
        </is>
      </c>
      <c r="C10" s="17" t="inlineStr">
        <is>
          <t>The system is a defined public water system: 27 service connections over a State-published service-area boundary.</t>
        </is>
      </c>
      <c r="D10" s="17" t="inlineStr">
        <is>
          <t>SDWIS Community water system; SABL service-area boundary (verified); connections defined.</t>
        </is>
      </c>
      <c r="E10" s="24"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Verified, so its outer edge rests on that State layer.</t>
        </is>
      </c>
    </row>
    <row r="12" ht="46" customHeight="1">
      <c r="A12" s="8" t="inlineStr">
        <is>
          <t>Rules fit local conditions</t>
        </is>
      </c>
      <c r="B12" s="19" t="inlineStr">
        <is>
          <t>PARTIAL</t>
        </is>
      </c>
      <c r="C12" s="17" t="inlineStr">
        <is>
          <t>The system charges customers for water and reports a rate structure to the State, but the detailed basis is only partially documented.</t>
        </is>
      </c>
      <c r="D12" s="17" t="inlineStr">
        <is>
          <t>eAR Section 8a customer-charges block.</t>
        </is>
      </c>
      <c r="E12" s="24" t="inlineStr">
        <is>
          <t>[E]</t>
        </is>
      </c>
    </row>
    <row r="13" ht="81" customHeight="1">
      <c r="A13" s="3" t="inlineStr">
        <is>
          <t>What the record shows: The eAR documents that the system charges for water and reports a rate structure, so charges are tied to service. The detailed basis (metered tiers versus shares or parcels) is only partially documented for a system this small, so the proportionality evidence is incomplete.</t>
        </is>
      </c>
    </row>
    <row r="14" ht="46" customHeight="1">
      <c r="A14" s="8" t="inlineStr">
        <is>
          <t>Collective-choice arrangements</t>
        </is>
      </c>
      <c r="B14" s="19" t="inlineStr">
        <is>
          <t>PARTIAL</t>
        </is>
      </c>
      <c r="C14" s="17" t="inlineStr">
        <is>
          <t>As a mutual it is owned by its customer-shareholders who elect the board, but specific board membership and votes are not documented.</t>
        </is>
      </c>
      <c r="D14" s="17" t="inlineStr">
        <is>
          <t>Mutual (501(c)(12)) ownership structure; Form 990 governance section.</t>
        </is>
      </c>
      <c r="E14" s="24" t="inlineStr">
        <is>
          <t>[990][SOS]</t>
        </is>
      </c>
    </row>
    <row r="15" ht="150" customHeight="1">
      <c r="A15" s="3" t="inlineStr">
        <is>
          <t>What the record shows: The mutual-company form documents that customers are shareholders who elect the directors, so a collective-choice mechanism exists on paper. No record of the specific board, elections, or member votes was found, so the evidence is partial. The specific board is now on the record: the Statement of Information filed 7/2/2026 names 1 director and 3 officers, transcribed as filed. That closes one of the gaps named above. It does NOT close the others: a filed roster shows who governs, not how members choose them, and carries no election, turnout or member vote. The evidence status therefore stays PARTIAL, because what this principle asks about is member participation and that remains undocumented.</t>
        </is>
      </c>
    </row>
    <row r="16" ht="46" customHeight="1">
      <c r="A16" s="8" t="inlineStr">
        <is>
          <t>Monitoring</t>
        </is>
      </c>
      <c r="B16" s="19" t="inlineStr">
        <is>
          <t>DOCUMENTED</t>
        </is>
      </c>
      <c r="C16" s="17" t="inlineStr">
        <is>
          <t>The system is metered and monitored: the State SAFER risk assessment shows it Not Failing, and it files an annual eAR.</t>
        </is>
      </c>
      <c r="D16" s="17" t="inlineStr">
        <is>
          <t>SAFER Not Failing; annual eAR reporting; metered connections.</t>
        </is>
      </c>
      <c r="E16" s="24"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19" t="inlineStr">
        <is>
          <t>NOT DOCUMENTED</t>
        </is>
      </c>
      <c r="C18" s="17" t="inlineStr">
        <is>
          <t>No published shut-off, penalty, or delinquency policy was found for this system.</t>
        </is>
      </c>
      <c r="D18" s="17" t="inlineStr">
        <is>
          <t>No sourced sanctions policy.</t>
        </is>
      </c>
      <c r="E18" s="24"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19" t="inlineStr">
        <is>
          <t>NOT DOCUMENTED</t>
        </is>
      </c>
      <c r="C20" s="17" t="inlineStr">
        <is>
          <t>No published bylaws, dispute procedure, or grievance mechanism was found for this system.</t>
        </is>
      </c>
      <c r="D20" s="17" t="inlineStr">
        <is>
          <t>No sourced conflict-resolution record.</t>
        </is>
      </c>
      <c r="E20" s="24"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19" t="inlineStr">
        <is>
          <t>DOCUMENTED</t>
        </is>
      </c>
      <c r="C22" s="17" t="inlineStr">
        <is>
          <t>An incorporated California mutual water company recognized by the IRS (501(c)(12)) and by the State Water Board as a public water system.</t>
        </is>
      </c>
      <c r="D22" s="17" t="inlineStr">
        <is>
          <t>IRS 501(c)(12) exempt filer (Form 990); SDWIS public water system.</t>
        </is>
      </c>
      <c r="E22" s="24"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0494202, first registered 07/19/1965, status as filed "Active", with a governing body named in the Statement of Information filed 7/2/2026.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19" t="inlineStr">
        <is>
          <t>PARTIAL</t>
        </is>
      </c>
      <c r="C24" s="17" t="inlineStr">
        <is>
          <t>The system draws on a shared local groundwater basin, embedding it in a larger physical water system, though its role in basin governance is not documented.</t>
        </is>
      </c>
      <c r="D24" s="17" t="inlineStr">
        <is>
          <t>SDWIS Primary Water Source Type: groundwater (shared basin).</t>
        </is>
      </c>
      <c r="E24" s="24" t="inlineStr">
        <is>
          <t>[C]</t>
        </is>
      </c>
    </row>
    <row r="25" ht="66" customHeight="1">
      <c r="A25" s="3" t="inlineStr">
        <is>
          <t>What the record shows: The system relies on a shared groundwater basin, so it is physically nested in a larger hydrologic system. Its participation in a groundwater sustainability agency or basin governance is not documented, so the nesting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South Mountain Mutual Water Company</t>
        </is>
      </c>
    </row>
    <row r="2">
      <c r="A2" s="2" t="inlineStr">
        <is>
          <t>Operational metrics - plant per acre, density, terrain</t>
        </is>
      </c>
    </row>
    <row r="3">
      <c r="A3" s="2" t="inlineStr">
        <is>
          <t>Entity ID: cawc_0017   |   Fiscal year ends December 31.</t>
        </is>
      </c>
    </row>
    <row r="5">
      <c r="A5" s="6" t="inlineStr">
        <is>
          <t>Connections per acre</t>
        </is>
      </c>
      <c r="B5" s="7" t="n"/>
      <c r="C5" s="7" t="n"/>
    </row>
    <row r="6">
      <c r="A6" s="16" t="inlineStr">
        <is>
          <t>Connections per acre</t>
        </is>
      </c>
      <c r="B6" s="15" t="n">
        <v>0.2</v>
      </c>
      <c r="C6" s="18" t="inlineStr">
        <is>
          <t>27 connections / 132.1 acres. CA State Water Board SABL SERVICE_CONNECTIONS; Geodesic area (WGS84 spherical excess) of the SABL service-area polygon.</t>
        </is>
      </c>
    </row>
    <row r="8">
      <c r="A8" s="6" t="inlineStr">
        <is>
          <t>Who they are</t>
        </is>
      </c>
      <c r="B8" s="7" t="n"/>
      <c r="C8" s="7" t="n"/>
    </row>
    <row r="9">
      <c r="A9" s="16" t="inlineStr">
        <is>
          <t>Terrain class</t>
        </is>
      </c>
      <c r="B9" s="17" t="inlineStr">
        <is>
          <t>other</t>
        </is>
      </c>
      <c r="C9" s="18" t="inlineStr">
        <is>
          <t>Company context page (BLUEPRINT 5B)</t>
        </is>
      </c>
    </row>
    <row r="10" ht="111" customHeight="1">
      <c r="A10" s="3" t="inlineStr">
        <is>
          <t>A small mutual water company (501(c)(12)) serving about 27 service connections and roughly 58 residents on South Mountain Road south of the Santa Clara River near Santa Paula, Ventura County, on ranch and hillside terrain.</t>
        </is>
      </c>
    </row>
  </sheetData>
  <mergeCells count="4">
    <mergeCell ref="A1:C1"/>
    <mergeCell ref="A3:C3"/>
    <mergeCell ref="A2:C2"/>
    <mergeCell ref="A10:C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South Mountain Mutual Water Company</t>
        </is>
      </c>
    </row>
    <row r="2">
      <c r="A2" s="2" t="inlineStr">
        <is>
          <t>Supply and weather indicators (DWR water year)</t>
        </is>
      </c>
    </row>
    <row r="3">
      <c r="A3" s="2" t="inlineStr">
        <is>
          <t>Entity ID: cawc_0017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24" t="inlineStr">
        <is>
          <t>Dry</t>
        </is>
      </c>
      <c r="C8" s="24" t="inlineStr">
        <is>
          <t>Critical</t>
        </is>
      </c>
      <c r="D8" s="24" t="inlineStr">
        <is>
          <t>Critical</t>
        </is>
      </c>
      <c r="E8" s="24" t="inlineStr">
        <is>
          <t>Wet</t>
        </is>
      </c>
      <c r="F8" s="24" t="inlineStr">
        <is>
          <t>Above Normal</t>
        </is>
      </c>
    </row>
    <row r="9">
      <c r="A9" s="8" t="inlineStr">
        <is>
          <t>Peak drought, Ventura County</t>
        </is>
      </c>
      <c r="B9" s="24" t="inlineStr">
        <is>
          <t>D1</t>
        </is>
      </c>
      <c r="C9" s="24" t="inlineStr">
        <is>
          <t>D4</t>
        </is>
      </c>
      <c r="D9" s="24" t="inlineStr">
        <is>
          <t>D4</t>
        </is>
      </c>
      <c r="E9" s="24" t="inlineStr">
        <is>
          <t>D3</t>
        </is>
      </c>
      <c r="F9" s="24" t="inlineStr">
        <is>
          <t>None (no D0-D4 during the fiscal year)</t>
        </is>
      </c>
    </row>
    <row r="10">
      <c r="A10" s="8" t="inlineStr">
        <is>
          <t>Precip, percent of normal (8-Station Index)</t>
        </is>
      </c>
      <c r="B10" s="24" t="inlineStr">
        <is>
          <t>63</t>
        </is>
      </c>
      <c r="C10" s="24" t="inlineStr">
        <is>
          <t>48</t>
        </is>
      </c>
      <c r="D10" s="24" t="inlineStr">
        <is>
          <t>86</t>
        </is>
      </c>
      <c r="E10" s="24" t="inlineStr">
        <is>
          <t>133</t>
        </is>
      </c>
      <c r="F10" s="24" t="inlineStr">
        <is>
          <t>96</t>
        </is>
      </c>
    </row>
    <row r="11">
      <c r="A11" s="8" t="inlineStr">
        <is>
          <t>Snowpack, April 1 percent of average</t>
        </is>
      </c>
      <c r="B11" s="24" t="inlineStr">
        <is>
          <t>53%</t>
        </is>
      </c>
      <c r="C11" s="24" t="inlineStr">
        <is>
          <t>59%</t>
        </is>
      </c>
      <c r="D11" s="24" t="inlineStr">
        <is>
          <t>38%</t>
        </is>
      </c>
      <c r="E11" s="24" t="inlineStr">
        <is>
          <t>237%</t>
        </is>
      </c>
      <c r="F11" s="24" t="inlineStr">
        <is>
          <t>110%</t>
        </is>
      </c>
    </row>
    <row r="12">
      <c r="A12" s="8" t="inlineStr">
        <is>
          <t>State Water Project allocation</t>
        </is>
      </c>
      <c r="B12" s="24" t="inlineStr">
        <is>
          <t>20%</t>
        </is>
      </c>
      <c r="C12" s="24" t="inlineStr">
        <is>
          <t>5%</t>
        </is>
      </c>
      <c r="D12" s="24" t="inlineStr">
        <is>
          <t>5%</t>
        </is>
      </c>
      <c r="E12" s="24" t="inlineStr">
        <is>
          <t>100%</t>
        </is>
      </c>
      <c r="F12" s="24"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South Mountain Mutual Water Company</t>
        </is>
      </c>
    </row>
    <row r="2">
      <c r="A2" s="2" t="inlineStr">
        <is>
          <t>How this was built - forensic lineage</t>
        </is>
      </c>
    </row>
    <row r="3">
      <c r="A3" s="2" t="inlineStr">
        <is>
          <t>Entity ID: cawc_0017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South Mountain Mutual Water Company</t>
        </is>
      </c>
    </row>
    <row r="2">
      <c r="A2" s="2" t="inlineStr">
        <is>
          <t>Water Operations (sourced outside the financial filings)</t>
        </is>
      </c>
    </row>
    <row r="3">
      <c r="A3" s="2" t="inlineStr">
        <is>
          <t>Entity ID: cawc_0017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17" t="inlineStr">
        <is>
          <t>Potable (community drinking water)</t>
        </is>
      </c>
      <c r="C8" s="8" t="inlineStr">
        <is>
          <t>SDWIS Drinking Water Watch (State Water Board)</t>
        </is>
      </c>
      <c r="D8" s="24" t="n">
        <v>2024</v>
      </c>
      <c r="E8" s="8" t="inlineStr">
        <is>
          <t>high</t>
        </is>
      </c>
      <c r="F8" s="17" t="inlineStr">
        <is>
          <t>SOUTH MOUNTAIN MUTUAL WATER CO: State Water System Type = Community.</t>
        </is>
      </c>
    </row>
    <row r="9" ht="42" customHeight="1">
      <c r="A9" s="8" t="inlineStr">
        <is>
          <t>Source mix</t>
        </is>
      </c>
      <c r="B9" s="17" t="inlineStr">
        <is>
          <t>Primary source: local groundwater wells (SDWIS Primary Water Source Type: Groundwater). SDWIS classifies the primary supply type; it states no acre-foot volume by source.</t>
        </is>
      </c>
      <c r="C9" s="8" t="inlineStr">
        <is>
          <t>SDWIS Drinking Water Watch (State Water Board)</t>
        </is>
      </c>
      <c r="D9" s="24" t="n">
        <v>2024</v>
      </c>
      <c r="E9" s="8" t="inlineStr">
        <is>
          <t>high</t>
        </is>
      </c>
      <c r="F9" s="17" t="inlineStr">
        <is>
          <t>SOUTH MOUNTAIN MUTUAL WATER CO: Primary Water Source Type = Groundwater.</t>
        </is>
      </c>
    </row>
    <row r="10" ht="42" customHeight="1">
      <c r="A10" s="8" t="inlineStr">
        <is>
          <t>Service connections (total)</t>
        </is>
      </c>
      <c r="B10" s="17" t="inlineStr">
        <is>
          <t>27 connections</t>
        </is>
      </c>
      <c r="C10" s="8" t="inlineStr">
        <is>
          <t>SDWIS Drinking Water Watch (State Water Board)</t>
        </is>
      </c>
      <c r="D10" s="24" t="n">
        <v>2024</v>
      </c>
      <c r="E10" s="8" t="inlineStr">
        <is>
          <t>high</t>
        </is>
      </c>
      <c r="F10" s="17" t="inlineStr">
        <is>
          <t>SOUTH MOUNTAIN MUTUAL WATER CO: Total Number of Service Connections = 27.  [cross-source: SDWIS connection snapshot; the eAR reports active service connections on its own basis and per reporting year. Both preserved, not reconciled.]</t>
        </is>
      </c>
    </row>
    <row r="11" ht="42" customHeight="1">
      <c r="A11" s="8" t="inlineStr">
        <is>
          <t>Connections by class</t>
        </is>
      </c>
      <c r="B11" s="17" t="inlineStr">
        <is>
          <t>Service connections by type (SDWIS snapshot): Residential 27; Total 27.</t>
        </is>
      </c>
      <c r="C11" s="8" t="inlineStr">
        <is>
          <t>SDWIS Drinking Water Watch (State Water Board)</t>
        </is>
      </c>
      <c r="D11" s="24" t="n">
        <v>2024</v>
      </c>
      <c r="E11" s="8" t="inlineStr">
        <is>
          <t>high</t>
        </is>
      </c>
      <c r="F11" s="17" t="inlineStr">
        <is>
          <t>SOUTH MOUNTAIN MUTUAL WATER CO: connections by type - Residential 27; Total 27.</t>
        </is>
      </c>
    </row>
    <row r="12" ht="42" customHeight="1">
      <c r="A12" s="8" t="inlineStr">
        <is>
          <t>Population served</t>
        </is>
      </c>
      <c r="B12" s="17" t="inlineStr">
        <is>
          <t>58 residents</t>
        </is>
      </c>
      <c r="C12" s="8" t="inlineStr">
        <is>
          <t>SDWIS Drinking Water Watch (State Water Board)</t>
        </is>
      </c>
      <c r="D12" s="24" t="n">
        <v>2024</v>
      </c>
      <c r="E12" s="8" t="inlineStr">
        <is>
          <t>high</t>
        </is>
      </c>
      <c r="F12" s="17" t="inlineStr">
        <is>
          <t>SOUTH MOUNTAIN MUTUAL WATER CO: Total Population = 58.</t>
        </is>
      </c>
    </row>
    <row r="13" ht="42" customHeight="1">
      <c r="A13" s="8" t="inlineStr">
        <is>
          <t>Treatment and water quality</t>
        </is>
      </c>
      <c r="B13" s="17" t="inlineStr">
        <is>
          <t>Operator certification on file: Treatment or distribution operator of any grade; Distribution Operator Level 1. SDWIS states operator grades, not the treatment process detail.</t>
        </is>
      </c>
      <c r="C13" s="8" t="inlineStr">
        <is>
          <t>SDWIS Drinking Water Watch (State Water Board)</t>
        </is>
      </c>
      <c r="D13" s="24" t="n">
        <v>2024</v>
      </c>
      <c r="E13" s="8" t="inlineStr">
        <is>
          <t>high</t>
        </is>
      </c>
      <c r="F13" s="17" t="inlineStr">
        <is>
          <t>SOUTH MOUNTAIN MUTUAL WATER CO: Treatment Plant Class = Treatment or distribution operator of any grade;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18" t="inlineStr">
        <is>
          <t>not reported - needs annual volume in acre-feet (State Water Board eAR Section 6 or company production records); the CCR states only a percentage mix</t>
        </is>
      </c>
      <c r="C16" s="25" t="n"/>
      <c r="D16" s="25" t="n"/>
      <c r="E16" s="25" t="n"/>
      <c r="F16" s="25" t="n"/>
    </row>
    <row r="17" ht="30" customHeight="1">
      <c r="A17" s="8" t="inlineStr">
        <is>
          <t>Customer classes served</t>
        </is>
      </c>
      <c r="B17" s="18" t="inlineStr">
        <is>
          <t>not reported - needs the State Water Board eAR or the system CCR</t>
        </is>
      </c>
      <c r="C17" s="25" t="n"/>
      <c r="D17" s="25" t="n"/>
      <c r="E17" s="25" t="n"/>
      <c r="F17" s="25" t="n"/>
    </row>
  </sheetData>
  <mergeCells count="4">
    <mergeCell ref="A3:F3"/>
    <mergeCell ref="A2:F2"/>
    <mergeCell ref="A1:F1"/>
    <mergeCell ref="A5:F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South Mountain Mutual Water Company</t>
        </is>
      </c>
    </row>
    <row r="2">
      <c r="A2" s="2" t="inlineStr">
        <is>
          <t>Sources &amp; audit - full provenance and tie-outs (kept off the statements so they read clean)</t>
        </is>
      </c>
    </row>
    <row r="3">
      <c r="A3" s="2" t="inlineStr">
        <is>
          <t>Entity ID: cawc_0017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3"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4" t="inlineStr">
        <is>
          <t>FY2020</t>
        </is>
      </c>
      <c r="B10" s="8" t="inlineStr">
        <is>
          <t>2020-12-31</t>
        </is>
      </c>
      <c r="C10" s="8" t="inlineStr">
        <is>
          <t>990-EZ</t>
        </is>
      </c>
      <c r="D10" s="8" t="inlineStr">
        <is>
          <t>high</t>
        </is>
      </c>
      <c r="E10" s="8" t="inlineStr">
        <is>
          <t>4727640f-1ec2-4ef0-8914-d777c96c687e</t>
        </is>
      </c>
      <c r="F10" s="8" t="inlineStr">
        <is>
          <t>202140789349200924</t>
        </is>
      </c>
      <c r="G10" s="8" t="inlineStr">
        <is>
          <t>claude-opus-5</t>
        </is>
      </c>
      <c r="H10" s="8" t="inlineStr">
        <is>
          <t>2026-09-14T20:40:23+00:00</t>
        </is>
      </c>
      <c r="I10" s="8" t="inlineStr">
        <is>
          <t>https://apps.irs.gov/pub/epostcard/990/xml/2021/2021_TEOS_XML_01A.zip#202140789349200924_public.xml</t>
        </is>
      </c>
    </row>
    <row r="11">
      <c r="A11" s="24" t="inlineStr">
        <is>
          <t>FY2021</t>
        </is>
      </c>
      <c r="B11" s="8" t="inlineStr">
        <is>
          <t>2021-12-31</t>
        </is>
      </c>
      <c r="C11" s="8" t="inlineStr">
        <is>
          <t>990-EZ</t>
        </is>
      </c>
      <c r="D11" s="8" t="inlineStr">
        <is>
          <t>high</t>
        </is>
      </c>
      <c r="E11" s="8" t="inlineStr">
        <is>
          <t>83d6237b-f606-4a0e-bbf9-fcc7ca2d6599</t>
        </is>
      </c>
      <c r="F11" s="8" t="inlineStr">
        <is>
          <t>202221059349201677</t>
        </is>
      </c>
      <c r="G11" s="8" t="inlineStr">
        <is>
          <t>claude-opus-5</t>
        </is>
      </c>
      <c r="H11" s="8" t="inlineStr">
        <is>
          <t>2026-09-14T20:40:23+00:00</t>
        </is>
      </c>
      <c r="I11" s="8" t="inlineStr">
        <is>
          <t>https://apps.irs.gov/pub/epostcard/990/xml/2022/2022_TEOS_XML_01A.zip#202221059349201677_public.xml</t>
        </is>
      </c>
    </row>
    <row r="12">
      <c r="A12" s="24" t="inlineStr">
        <is>
          <t>FY2022</t>
        </is>
      </c>
      <c r="B12" s="8" t="inlineStr">
        <is>
          <t>2022-12-31</t>
        </is>
      </c>
      <c r="C12" s="8" t="inlineStr">
        <is>
          <t>990-EZ</t>
        </is>
      </c>
      <c r="D12" s="8" t="inlineStr">
        <is>
          <t>high</t>
        </is>
      </c>
      <c r="E12" s="8" t="inlineStr">
        <is>
          <t>0014eabd-afd0-458f-9cee-29a7df38a4a4</t>
        </is>
      </c>
      <c r="F12" s="8" t="inlineStr">
        <is>
          <t>202320589349201612</t>
        </is>
      </c>
      <c r="G12" s="8" t="inlineStr">
        <is>
          <t>claude-opus-5</t>
        </is>
      </c>
      <c r="H12" s="8" t="inlineStr">
        <is>
          <t>2026-09-14T20:40:23+00:00</t>
        </is>
      </c>
      <c r="I12" s="8" t="inlineStr">
        <is>
          <t>https://apps.irs.gov/pub/epostcard/990/xml/2023/2023_TEOS_XML_03A.zip#202320589349201612_public.xml</t>
        </is>
      </c>
    </row>
    <row r="13">
      <c r="A13" s="24" t="inlineStr">
        <is>
          <t>FY2023</t>
        </is>
      </c>
      <c r="B13" s="8" t="inlineStr">
        <is>
          <t>2023-12-31</t>
        </is>
      </c>
      <c r="C13" s="8" t="inlineStr">
        <is>
          <t>990-EZ</t>
        </is>
      </c>
      <c r="D13" s="8" t="inlineStr">
        <is>
          <t>high</t>
        </is>
      </c>
      <c r="E13" s="8" t="inlineStr">
        <is>
          <t>236fb461-b472-4c20-817e-28bf9be61bb5</t>
        </is>
      </c>
      <c r="F13" s="8" t="inlineStr">
        <is>
          <t>202411039349202041</t>
        </is>
      </c>
      <c r="G13" s="8" t="inlineStr">
        <is>
          <t>claude-opus-5</t>
        </is>
      </c>
      <c r="H13" s="8" t="inlineStr">
        <is>
          <t>2026-09-14T20:40:23+00:00</t>
        </is>
      </c>
      <c r="I13" s="8" t="inlineStr">
        <is>
          <t>https://apps.irs.gov/pub/epostcard/990/xml/2024/2024_TEOS_XML_04A.zip#202411039349202041_public.xml</t>
        </is>
      </c>
    </row>
    <row r="14">
      <c r="A14" s="24" t="inlineStr">
        <is>
          <t>FY2024</t>
        </is>
      </c>
      <c r="B14" s="8" t="inlineStr">
        <is>
          <t>2024-12-31</t>
        </is>
      </c>
      <c r="C14" s="8" t="inlineStr">
        <is>
          <t>990-EZ</t>
        </is>
      </c>
      <c r="D14" s="8" t="inlineStr">
        <is>
          <t>high</t>
        </is>
      </c>
      <c r="E14" s="8" t="inlineStr">
        <is>
          <t>c26c4b62-143e-4180-9f4d-c43a2fb26624</t>
        </is>
      </c>
      <c r="F14" s="8" t="inlineStr">
        <is>
          <t>202540939349201104</t>
        </is>
      </c>
      <c r="G14" s="8" t="inlineStr">
        <is>
          <t>claude-opus-5</t>
        </is>
      </c>
      <c r="H14" s="8" t="inlineStr">
        <is>
          <t>2026-09-14T20:40:23+00:00</t>
        </is>
      </c>
      <c r="I14" s="8" t="inlineStr">
        <is>
          <t>https://apps.irs.gov/pub/epostcard/990/xml/2025/2025_TEOS_XML_04A.zip#202540939349201104_public.xml</t>
        </is>
      </c>
    </row>
    <row r="16">
      <c r="A16" s="23"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Form 990-EZ Parts I &amp; II</t>
        </is>
      </c>
      <c r="B18" s="8" t="inlineStr">
        <is>
          <t>F7</t>
        </is>
      </c>
      <c r="C18" s="8" t="inlineStr">
        <is>
          <t>1. Contributions, gifts, grants</t>
        </is>
      </c>
      <c r="D18" s="8" t="inlineStr">
        <is>
          <t>Part I line 1</t>
        </is>
      </c>
      <c r="E18" s="8" t="inlineStr">
        <is>
          <t>part_i_revenue_expenses.contributions_grants</t>
        </is>
      </c>
      <c r="F18" s="8" t="inlineStr">
        <is>
          <t>high</t>
        </is>
      </c>
      <c r="G18" s="9" t="n">
        <v>48272</v>
      </c>
    </row>
    <row r="19">
      <c r="A19" s="8" t="inlineStr">
        <is>
          <t>Form 990-EZ Parts I &amp; II</t>
        </is>
      </c>
      <c r="B19" s="8" t="inlineStr">
        <is>
          <t>B8</t>
        </is>
      </c>
      <c r="C19" s="8" t="inlineStr">
        <is>
          <t>3. Membership dues and assessments</t>
        </is>
      </c>
      <c r="D19" s="8" t="inlineStr">
        <is>
          <t>Part I line 3</t>
        </is>
      </c>
      <c r="E19" s="8" t="inlineStr">
        <is>
          <t>part_i_revenue_expenses.membership_dues</t>
        </is>
      </c>
      <c r="F19" s="8" t="inlineStr">
        <is>
          <t>high</t>
        </is>
      </c>
      <c r="G19" s="9" t="n">
        <v>67824</v>
      </c>
    </row>
    <row r="20">
      <c r="A20" s="8" t="inlineStr">
        <is>
          <t>Form 990-EZ Parts I &amp; II</t>
        </is>
      </c>
      <c r="B20" s="8" t="inlineStr">
        <is>
          <t>C8</t>
        </is>
      </c>
      <c r="C20" s="8" t="inlineStr">
        <is>
          <t>3. Membership dues and assessments</t>
        </is>
      </c>
      <c r="D20" s="8" t="inlineStr">
        <is>
          <t>Part I line 3</t>
        </is>
      </c>
      <c r="E20" s="8" t="inlineStr">
        <is>
          <t>part_i_revenue_expenses.membership_dues</t>
        </is>
      </c>
      <c r="F20" s="8" t="inlineStr">
        <is>
          <t>high</t>
        </is>
      </c>
      <c r="G20" s="9" t="n">
        <v>62171</v>
      </c>
    </row>
    <row r="21">
      <c r="A21" s="8" t="inlineStr">
        <is>
          <t>Form 990-EZ Parts I &amp; II</t>
        </is>
      </c>
      <c r="B21" s="8" t="inlineStr">
        <is>
          <t>D8</t>
        </is>
      </c>
      <c r="C21" s="8" t="inlineStr">
        <is>
          <t>3. Membership dues and assessments</t>
        </is>
      </c>
      <c r="D21" s="8" t="inlineStr">
        <is>
          <t>Part I line 3</t>
        </is>
      </c>
      <c r="E21" s="8" t="inlineStr">
        <is>
          <t>part_i_revenue_expenses.membership_dues</t>
        </is>
      </c>
      <c r="F21" s="8" t="inlineStr">
        <is>
          <t>high</t>
        </is>
      </c>
      <c r="G21" s="9" t="n">
        <v>76298</v>
      </c>
    </row>
    <row r="22">
      <c r="A22" s="8" t="inlineStr">
        <is>
          <t>Form 990-EZ Parts I &amp; II</t>
        </is>
      </c>
      <c r="B22" s="8" t="inlineStr">
        <is>
          <t>E8</t>
        </is>
      </c>
      <c r="C22" s="8" t="inlineStr">
        <is>
          <t>3. Membership dues and assessments</t>
        </is>
      </c>
      <c r="D22" s="8" t="inlineStr">
        <is>
          <t>Part I line 3</t>
        </is>
      </c>
      <c r="E22" s="8" t="inlineStr">
        <is>
          <t>part_i_revenue_expenses.membership_dues</t>
        </is>
      </c>
      <c r="F22" s="8" t="inlineStr">
        <is>
          <t>high</t>
        </is>
      </c>
      <c r="G22" s="9" t="n">
        <v>70685</v>
      </c>
    </row>
    <row r="23">
      <c r="A23" s="8" t="inlineStr">
        <is>
          <t>Form 990-EZ Parts I &amp; II</t>
        </is>
      </c>
      <c r="B23" s="8" t="inlineStr">
        <is>
          <t>F8</t>
        </is>
      </c>
      <c r="C23" s="8" t="inlineStr">
        <is>
          <t>3. Membership dues and assessments</t>
        </is>
      </c>
      <c r="D23" s="8" t="inlineStr">
        <is>
          <t>Part I line 3</t>
        </is>
      </c>
      <c r="E23" s="8" t="inlineStr">
        <is>
          <t>part_i_revenue_expenses.membership_dues</t>
        </is>
      </c>
      <c r="F23" s="8" t="inlineStr">
        <is>
          <t>high</t>
        </is>
      </c>
      <c r="G23" s="9" t="n">
        <v>73580</v>
      </c>
    </row>
    <row r="24">
      <c r="A24" s="8" t="inlineStr">
        <is>
          <t>Form 990-EZ Parts I &amp; II</t>
        </is>
      </c>
      <c r="B24" s="8" t="inlineStr">
        <is>
          <t>B9</t>
        </is>
      </c>
      <c r="C24" s="8" t="inlineStr">
        <is>
          <t>4. Investment income</t>
        </is>
      </c>
      <c r="D24" s="8" t="inlineStr">
        <is>
          <t>Part I line 4</t>
        </is>
      </c>
      <c r="E24" s="8" t="inlineStr">
        <is>
          <t>part_i_revenue_expenses.investment_income</t>
        </is>
      </c>
      <c r="F24" s="8" t="inlineStr">
        <is>
          <t>high</t>
        </is>
      </c>
      <c r="G24" s="9" t="n">
        <v>42</v>
      </c>
    </row>
    <row r="25">
      <c r="A25" s="8" t="inlineStr">
        <is>
          <t>Form 990-EZ Parts I &amp; II</t>
        </is>
      </c>
      <c r="B25" s="8" t="inlineStr">
        <is>
          <t>C9</t>
        </is>
      </c>
      <c r="C25" s="8" t="inlineStr">
        <is>
          <t>4. Investment income</t>
        </is>
      </c>
      <c r="D25" s="8" t="inlineStr">
        <is>
          <t>Part I line 4</t>
        </is>
      </c>
      <c r="E25" s="8" t="inlineStr">
        <is>
          <t>part_i_revenue_expenses.investment_income</t>
        </is>
      </c>
      <c r="F25" s="8" t="inlineStr">
        <is>
          <t>high</t>
        </is>
      </c>
      <c r="G25" s="9" t="n">
        <v>46</v>
      </c>
    </row>
    <row r="26">
      <c r="A26" s="8" t="inlineStr">
        <is>
          <t>Form 990-EZ Parts I &amp; II</t>
        </is>
      </c>
      <c r="B26" s="8" t="inlineStr">
        <is>
          <t>D9</t>
        </is>
      </c>
      <c r="C26" s="8" t="inlineStr">
        <is>
          <t>4. Investment income</t>
        </is>
      </c>
      <c r="D26" s="8" t="inlineStr">
        <is>
          <t>Part I line 4</t>
        </is>
      </c>
      <c r="E26" s="8" t="inlineStr">
        <is>
          <t>part_i_revenue_expenses.investment_income</t>
        </is>
      </c>
      <c r="F26" s="8" t="inlineStr">
        <is>
          <t>high</t>
        </is>
      </c>
      <c r="G26" s="9" t="n">
        <v>38</v>
      </c>
    </row>
    <row r="27">
      <c r="A27" s="8" t="inlineStr">
        <is>
          <t>Form 990-EZ Parts I &amp; II</t>
        </is>
      </c>
      <c r="B27" s="8" t="inlineStr">
        <is>
          <t>E9</t>
        </is>
      </c>
      <c r="C27" s="8" t="inlineStr">
        <is>
          <t>4. Investment income</t>
        </is>
      </c>
      <c r="D27" s="8" t="inlineStr">
        <is>
          <t>Part I line 4</t>
        </is>
      </c>
      <c r="E27" s="8" t="inlineStr">
        <is>
          <t>part_i_revenue_expenses.investment_income</t>
        </is>
      </c>
      <c r="F27" s="8" t="inlineStr">
        <is>
          <t>high</t>
        </is>
      </c>
      <c r="G27" s="9" t="n">
        <v>38</v>
      </c>
    </row>
    <row r="28">
      <c r="A28" s="8" t="inlineStr">
        <is>
          <t>Form 990-EZ Parts I &amp; II</t>
        </is>
      </c>
      <c r="B28" s="8" t="inlineStr">
        <is>
          <t>B10</t>
        </is>
      </c>
      <c r="C28" s="8" t="inlineStr">
        <is>
          <t>9. Total revenue</t>
        </is>
      </c>
      <c r="D28" s="8" t="inlineStr">
        <is>
          <t>Part I line 9</t>
        </is>
      </c>
      <c r="E28" s="8" t="inlineStr">
        <is>
          <t>part_i_revenue_expenses.total_revenue</t>
        </is>
      </c>
      <c r="F28" s="8" t="inlineStr">
        <is>
          <t>high</t>
        </is>
      </c>
      <c r="G28" s="9" t="n">
        <v>67866</v>
      </c>
    </row>
    <row r="29">
      <c r="A29" s="8" t="inlineStr">
        <is>
          <t>Form 990-EZ Parts I &amp; II</t>
        </is>
      </c>
      <c r="B29" s="8" t="inlineStr">
        <is>
          <t>C10</t>
        </is>
      </c>
      <c r="C29" s="8" t="inlineStr">
        <is>
          <t>9. Total revenue</t>
        </is>
      </c>
      <c r="D29" s="8" t="inlineStr">
        <is>
          <t>Part I line 9</t>
        </is>
      </c>
      <c r="E29" s="8" t="inlineStr">
        <is>
          <t>part_i_revenue_expenses.total_revenue</t>
        </is>
      </c>
      <c r="F29" s="8" t="inlineStr">
        <is>
          <t>high</t>
        </is>
      </c>
      <c r="G29" s="9" t="n">
        <v>62217</v>
      </c>
    </row>
    <row r="30">
      <c r="A30" s="8" t="inlineStr">
        <is>
          <t>Form 990-EZ Parts I &amp; II</t>
        </is>
      </c>
      <c r="B30" s="8" t="inlineStr">
        <is>
          <t>D10</t>
        </is>
      </c>
      <c r="C30" s="8" t="inlineStr">
        <is>
          <t>9. Total revenue</t>
        </is>
      </c>
      <c r="D30" s="8" t="inlineStr">
        <is>
          <t>Part I line 9</t>
        </is>
      </c>
      <c r="E30" s="8" t="inlineStr">
        <is>
          <t>part_i_revenue_expenses.total_revenue</t>
        </is>
      </c>
      <c r="F30" s="8" t="inlineStr">
        <is>
          <t>high</t>
        </is>
      </c>
      <c r="G30" s="9" t="n">
        <v>76336</v>
      </c>
    </row>
    <row r="31">
      <c r="A31" s="8" t="inlineStr">
        <is>
          <t>Form 990-EZ Parts I &amp; II</t>
        </is>
      </c>
      <c r="B31" s="8" t="inlineStr">
        <is>
          <t>E10</t>
        </is>
      </c>
      <c r="C31" s="8" t="inlineStr">
        <is>
          <t>9. Total revenue</t>
        </is>
      </c>
      <c r="D31" s="8" t="inlineStr">
        <is>
          <t>Part I line 9</t>
        </is>
      </c>
      <c r="E31" s="8" t="inlineStr">
        <is>
          <t>part_i_revenue_expenses.total_revenue</t>
        </is>
      </c>
      <c r="F31" s="8" t="inlineStr">
        <is>
          <t>high</t>
        </is>
      </c>
      <c r="G31" s="9" t="n">
        <v>70723</v>
      </c>
    </row>
    <row r="32">
      <c r="A32" s="8" t="inlineStr">
        <is>
          <t>Form 990-EZ Parts I &amp; II</t>
        </is>
      </c>
      <c r="B32" s="8" t="inlineStr">
        <is>
          <t>F10</t>
        </is>
      </c>
      <c r="C32" s="8" t="inlineStr">
        <is>
          <t>9. Total revenue</t>
        </is>
      </c>
      <c r="D32" s="8" t="inlineStr">
        <is>
          <t>Part I line 9</t>
        </is>
      </c>
      <c r="E32" s="8" t="inlineStr">
        <is>
          <t>part_i_revenue_expenses.total_revenue</t>
        </is>
      </c>
      <c r="F32" s="8" t="inlineStr">
        <is>
          <t>high</t>
        </is>
      </c>
      <c r="G32" s="9" t="n">
        <v>121852</v>
      </c>
    </row>
    <row r="33">
      <c r="A33" s="8" t="inlineStr">
        <is>
          <t>Form 990-EZ Parts I &amp; II</t>
        </is>
      </c>
      <c r="B33" s="8" t="inlineStr">
        <is>
          <t>C13</t>
        </is>
      </c>
      <c r="C33" s="8" t="inlineStr">
        <is>
          <t>13. Fees for services (independent contractors)</t>
        </is>
      </c>
      <c r="D33" s="8" t="inlineStr">
        <is>
          <t>Part I line 13</t>
        </is>
      </c>
      <c r="E33" s="8" t="inlineStr">
        <is>
          <t>part_i_revenue_expenses.fees_ind_contractors</t>
        </is>
      </c>
      <c r="F33" s="8" t="inlineStr">
        <is>
          <t>high</t>
        </is>
      </c>
      <c r="G33" s="9" t="n">
        <v>7885</v>
      </c>
    </row>
    <row r="34">
      <c r="A34" s="8" t="inlineStr">
        <is>
          <t>Form 990-EZ Parts I &amp; II</t>
        </is>
      </c>
      <c r="B34" s="8" t="inlineStr">
        <is>
          <t>B14</t>
        </is>
      </c>
      <c r="C34" s="8" t="inlineStr">
        <is>
          <t>16. Other expenses</t>
        </is>
      </c>
      <c r="D34" s="8" t="inlineStr">
        <is>
          <t>Part I line 16</t>
        </is>
      </c>
      <c r="E34" s="8" t="inlineStr">
        <is>
          <t>part_i_revenue_expenses.other_expenses_total</t>
        </is>
      </c>
      <c r="F34" s="8" t="inlineStr">
        <is>
          <t>high</t>
        </is>
      </c>
      <c r="G34" s="9" t="n">
        <v>31431</v>
      </c>
    </row>
    <row r="35">
      <c r="A35" s="8" t="inlineStr">
        <is>
          <t>Form 990-EZ Parts I &amp; II</t>
        </is>
      </c>
      <c r="B35" s="8" t="inlineStr">
        <is>
          <t>C14</t>
        </is>
      </c>
      <c r="C35" s="8" t="inlineStr">
        <is>
          <t>16. Other expenses</t>
        </is>
      </c>
      <c r="D35" s="8" t="inlineStr">
        <is>
          <t>Part I line 16</t>
        </is>
      </c>
      <c r="E35" s="8" t="inlineStr">
        <is>
          <t>part_i_revenue_expenses.other_expenses_total</t>
        </is>
      </c>
      <c r="F35" s="8" t="inlineStr">
        <is>
          <t>high</t>
        </is>
      </c>
      <c r="G35" s="9" t="n">
        <v>34035</v>
      </c>
    </row>
    <row r="36">
      <c r="A36" s="8" t="inlineStr">
        <is>
          <t>Form 990-EZ Parts I &amp; II</t>
        </is>
      </c>
      <c r="B36" s="8" t="inlineStr">
        <is>
          <t>D14</t>
        </is>
      </c>
      <c r="C36" s="8" t="inlineStr">
        <is>
          <t>16. Other expenses</t>
        </is>
      </c>
      <c r="D36" s="8" t="inlineStr">
        <is>
          <t>Part I line 16</t>
        </is>
      </c>
      <c r="E36" s="8" t="inlineStr">
        <is>
          <t>part_i_revenue_expenses.other_expenses_total</t>
        </is>
      </c>
      <c r="F36" s="8" t="inlineStr">
        <is>
          <t>high</t>
        </is>
      </c>
      <c r="G36" s="9" t="n">
        <v>32084</v>
      </c>
    </row>
    <row r="37">
      <c r="A37" s="8" t="inlineStr">
        <is>
          <t>Form 990-EZ Parts I &amp; II</t>
        </is>
      </c>
      <c r="B37" s="8" t="inlineStr">
        <is>
          <t>E14</t>
        </is>
      </c>
      <c r="C37" s="8" t="inlineStr">
        <is>
          <t>16. Other expenses</t>
        </is>
      </c>
      <c r="D37" s="8" t="inlineStr">
        <is>
          <t>Part I line 16</t>
        </is>
      </c>
      <c r="E37" s="8" t="inlineStr">
        <is>
          <t>part_i_revenue_expenses.other_expenses_total</t>
        </is>
      </c>
      <c r="F37" s="8" t="inlineStr">
        <is>
          <t>high</t>
        </is>
      </c>
      <c r="G37" s="9" t="n">
        <v>46371</v>
      </c>
    </row>
    <row r="38">
      <c r="A38" s="8" t="inlineStr">
        <is>
          <t>Form 990-EZ Parts I &amp; II</t>
        </is>
      </c>
      <c r="B38" s="8" t="inlineStr">
        <is>
          <t>F14</t>
        </is>
      </c>
      <c r="C38" s="8" t="inlineStr">
        <is>
          <t>16. Other expenses</t>
        </is>
      </c>
      <c r="D38" s="8" t="inlineStr">
        <is>
          <t>Part I line 16</t>
        </is>
      </c>
      <c r="E38" s="8" t="inlineStr">
        <is>
          <t>part_i_revenue_expenses.other_expenses_total</t>
        </is>
      </c>
      <c r="F38" s="8" t="inlineStr">
        <is>
          <t>high</t>
        </is>
      </c>
      <c r="G38" s="9" t="n">
        <v>66094</v>
      </c>
    </row>
    <row r="39">
      <c r="A39" s="8" t="inlineStr">
        <is>
          <t>Form 990-EZ Parts I &amp; II</t>
        </is>
      </c>
      <c r="B39" s="8" t="inlineStr">
        <is>
          <t>B18</t>
        </is>
      </c>
      <c r="C39" s="8" t="inlineStr">
        <is>
          <t>19. Net assets or fund balances, beginning of year</t>
        </is>
      </c>
      <c r="D39" s="8" t="inlineStr">
        <is>
          <t>Part I line 19</t>
        </is>
      </c>
      <c r="E39" s="8" t="inlineStr">
        <is>
          <t>part_i_revenue_expenses.net_assets_boy</t>
        </is>
      </c>
      <c r="F39" s="8" t="inlineStr">
        <is>
          <t>high</t>
        </is>
      </c>
      <c r="G39" s="9" t="n">
        <v>61687</v>
      </c>
    </row>
    <row r="40">
      <c r="A40" s="8" t="inlineStr">
        <is>
          <t>Form 990-EZ Parts I &amp; II</t>
        </is>
      </c>
      <c r="B40" s="8" t="inlineStr">
        <is>
          <t>C18</t>
        </is>
      </c>
      <c r="C40" s="8" t="inlineStr">
        <is>
          <t>19. Net assets or fund balances, beginning of year</t>
        </is>
      </c>
      <c r="D40" s="8" t="inlineStr">
        <is>
          <t>Part I line 19</t>
        </is>
      </c>
      <c r="E40" s="8" t="inlineStr">
        <is>
          <t>part_i_revenue_expenses.net_assets_boy</t>
        </is>
      </c>
      <c r="F40" s="8" t="inlineStr">
        <is>
          <t>high</t>
        </is>
      </c>
      <c r="G40" s="9" t="n">
        <v>98122</v>
      </c>
    </row>
    <row r="41">
      <c r="A41" s="8" t="inlineStr">
        <is>
          <t>Form 990-EZ Parts I &amp; II</t>
        </is>
      </c>
      <c r="B41" s="8" t="inlineStr">
        <is>
          <t>D18</t>
        </is>
      </c>
      <c r="C41" s="8" t="inlineStr">
        <is>
          <t>19. Net assets or fund balances, beginning of year</t>
        </is>
      </c>
      <c r="D41" s="8" t="inlineStr">
        <is>
          <t>Part I line 19</t>
        </is>
      </c>
      <c r="E41" s="8" t="inlineStr">
        <is>
          <t>part_i_revenue_expenses.net_assets_boy</t>
        </is>
      </c>
      <c r="F41" s="8" t="inlineStr">
        <is>
          <t>high</t>
        </is>
      </c>
      <c r="G41" s="9" t="n">
        <v>118419</v>
      </c>
    </row>
    <row r="42">
      <c r="A42" s="8" t="inlineStr">
        <is>
          <t>Form 990-EZ Parts I &amp; II</t>
        </is>
      </c>
      <c r="B42" s="8" t="inlineStr">
        <is>
          <t>E18</t>
        </is>
      </c>
      <c r="C42" s="8" t="inlineStr">
        <is>
          <t>19. Net assets or fund balances, beginning of year</t>
        </is>
      </c>
      <c r="D42" s="8" t="inlineStr">
        <is>
          <t>Part I line 19</t>
        </is>
      </c>
      <c r="E42" s="8" t="inlineStr">
        <is>
          <t>part_i_revenue_expenses.net_assets_boy</t>
        </is>
      </c>
      <c r="F42" s="8" t="inlineStr">
        <is>
          <t>high</t>
        </is>
      </c>
      <c r="G42" s="9" t="n">
        <v>309896</v>
      </c>
    </row>
    <row r="43">
      <c r="A43" s="8" t="inlineStr">
        <is>
          <t>Form 990-EZ Parts I &amp; II</t>
        </is>
      </c>
      <c r="B43" s="8" t="inlineStr">
        <is>
          <t>F18</t>
        </is>
      </c>
      <c r="C43" s="8" t="inlineStr">
        <is>
          <t>19. Net assets or fund balances, beginning of year</t>
        </is>
      </c>
      <c r="D43" s="8" t="inlineStr">
        <is>
          <t>Part I line 19</t>
        </is>
      </c>
      <c r="E43" s="8" t="inlineStr">
        <is>
          <t>part_i_revenue_expenses.net_assets_boy</t>
        </is>
      </c>
      <c r="F43" s="8" t="inlineStr">
        <is>
          <t>high</t>
        </is>
      </c>
      <c r="G43" s="9" t="n">
        <v>334248</v>
      </c>
    </row>
    <row r="44">
      <c r="A44" s="8" t="inlineStr">
        <is>
          <t>Form 990-EZ Parts I &amp; II</t>
        </is>
      </c>
      <c r="B44" s="8" t="inlineStr">
        <is>
          <t>B19</t>
        </is>
      </c>
      <c r="C44" s="8" t="inlineStr">
        <is>
          <t>18. Excess or (deficit) for the year</t>
        </is>
      </c>
      <c r="D44" s="8" t="inlineStr">
        <is>
          <t>Part I line 18</t>
        </is>
      </c>
      <c r="E44" s="8" t="inlineStr">
        <is>
          <t>part_i_revenue_expenses.excess_or_deficit</t>
        </is>
      </c>
      <c r="F44" s="8" t="inlineStr">
        <is>
          <t>high</t>
        </is>
      </c>
      <c r="G44" s="9" t="n">
        <v>36435</v>
      </c>
    </row>
    <row r="45">
      <c r="A45" s="8" t="inlineStr">
        <is>
          <t>Form 990-EZ Parts I &amp; II</t>
        </is>
      </c>
      <c r="B45" s="8" t="inlineStr">
        <is>
          <t>C19</t>
        </is>
      </c>
      <c r="C45" s="8" t="inlineStr">
        <is>
          <t>18. Excess or (deficit) for the year</t>
        </is>
      </c>
      <c r="D45" s="8" t="inlineStr">
        <is>
          <t>Part I line 18</t>
        </is>
      </c>
      <c r="E45" s="8" t="inlineStr">
        <is>
          <t>part_i_revenue_expenses.excess_or_deficit</t>
        </is>
      </c>
      <c r="F45" s="8" t="inlineStr">
        <is>
          <t>high</t>
        </is>
      </c>
      <c r="G45" s="9" t="n">
        <v>20297</v>
      </c>
    </row>
    <row r="46">
      <c r="A46" s="8" t="inlineStr">
        <is>
          <t>Form 990-EZ Parts I &amp; II</t>
        </is>
      </c>
      <c r="B46" s="8" t="inlineStr">
        <is>
          <t>D19</t>
        </is>
      </c>
      <c r="C46" s="8" t="inlineStr">
        <is>
          <t>18. Excess or (deficit) for the year</t>
        </is>
      </c>
      <c r="D46" s="8" t="inlineStr">
        <is>
          <t>Part I line 18</t>
        </is>
      </c>
      <c r="E46" s="8" t="inlineStr">
        <is>
          <t>part_i_revenue_expenses.excess_or_deficit</t>
        </is>
      </c>
      <c r="F46" s="8" t="inlineStr">
        <is>
          <t>high</t>
        </is>
      </c>
      <c r="G46" s="9" t="n">
        <v>44252</v>
      </c>
    </row>
    <row r="47">
      <c r="A47" s="8" t="inlineStr">
        <is>
          <t>Form 990-EZ Parts I &amp; II</t>
        </is>
      </c>
      <c r="B47" s="8" t="inlineStr">
        <is>
          <t>E19</t>
        </is>
      </c>
      <c r="C47" s="8" t="inlineStr">
        <is>
          <t>18. Excess or (deficit) for the year</t>
        </is>
      </c>
      <c r="D47" s="8" t="inlineStr">
        <is>
          <t>Part I line 18</t>
        </is>
      </c>
      <c r="E47" s="8" t="inlineStr">
        <is>
          <t>part_i_revenue_expenses.excess_or_deficit</t>
        </is>
      </c>
      <c r="F47" s="8" t="inlineStr">
        <is>
          <t>high</t>
        </is>
      </c>
      <c r="G47" s="9" t="n">
        <v>24352</v>
      </c>
    </row>
    <row r="48">
      <c r="A48" s="8" t="inlineStr">
        <is>
          <t>Form 990-EZ Parts I &amp; II</t>
        </is>
      </c>
      <c r="B48" s="8" t="inlineStr">
        <is>
          <t>F19</t>
        </is>
      </c>
      <c r="C48" s="8" t="inlineStr">
        <is>
          <t>18. Excess or (deficit) for the year</t>
        </is>
      </c>
      <c r="D48" s="8" t="inlineStr">
        <is>
          <t>Part I line 18</t>
        </is>
      </c>
      <c r="E48" s="8" t="inlineStr">
        <is>
          <t>part_i_revenue_expenses.excess_or_deficit</t>
        </is>
      </c>
      <c r="F48" s="8" t="inlineStr">
        <is>
          <t>high</t>
        </is>
      </c>
      <c r="G48" s="9" t="n">
        <v>55758</v>
      </c>
    </row>
    <row r="49">
      <c r="A49" s="8" t="inlineStr">
        <is>
          <t>Form 990-EZ Parts I &amp; II</t>
        </is>
      </c>
      <c r="B49" s="8" t="inlineStr">
        <is>
          <t>B23</t>
        </is>
      </c>
      <c r="C49" s="8" t="inlineStr">
        <is>
          <t>22. Cash, savings, and investments</t>
        </is>
      </c>
      <c r="D49" s="8" t="inlineStr">
        <is>
          <t>Part II line 22 col B</t>
        </is>
      </c>
      <c r="E49" s="8" t="inlineStr">
        <is>
          <t>part_ii_balance_sheet.cash_savings_investments_eoy</t>
        </is>
      </c>
      <c r="F49" s="8" t="inlineStr">
        <is>
          <t>high</t>
        </is>
      </c>
      <c r="G49" s="9" t="n">
        <v>98122</v>
      </c>
    </row>
    <row r="50">
      <c r="A50" s="8" t="inlineStr">
        <is>
          <t>Form 990-EZ Parts I &amp; II</t>
        </is>
      </c>
      <c r="B50" s="8" t="inlineStr">
        <is>
          <t>C23</t>
        </is>
      </c>
      <c r="C50" s="8" t="inlineStr">
        <is>
          <t>22. Cash, savings, and investments</t>
        </is>
      </c>
      <c r="D50" s="8" t="inlineStr">
        <is>
          <t>Part II line 22 col B</t>
        </is>
      </c>
      <c r="E50" s="8" t="inlineStr">
        <is>
          <t>part_ii_balance_sheet.cash_savings_investments_eoy</t>
        </is>
      </c>
      <c r="F50" s="8" t="inlineStr">
        <is>
          <t>high</t>
        </is>
      </c>
      <c r="G50" s="9" t="n">
        <v>118419</v>
      </c>
    </row>
    <row r="51">
      <c r="A51" s="8" t="inlineStr">
        <is>
          <t>Form 990-EZ Parts I &amp; II</t>
        </is>
      </c>
      <c r="B51" s="8" t="inlineStr">
        <is>
          <t>D23</t>
        </is>
      </c>
      <c r="C51" s="8" t="inlineStr">
        <is>
          <t>22. Cash, savings, and investments</t>
        </is>
      </c>
      <c r="D51" s="8" t="inlineStr">
        <is>
          <t>Part II line 22 col B</t>
        </is>
      </c>
      <c r="E51" s="8" t="inlineStr">
        <is>
          <t>part_ii_balance_sheet.cash_savings_investments_eoy</t>
        </is>
      </c>
      <c r="F51" s="8" t="inlineStr">
        <is>
          <t>high</t>
        </is>
      </c>
      <c r="G51" s="9" t="n">
        <v>104455</v>
      </c>
    </row>
    <row r="52">
      <c r="A52" s="8" t="inlineStr">
        <is>
          <t>Form 990-EZ Parts I &amp; II</t>
        </is>
      </c>
      <c r="B52" s="8" t="inlineStr">
        <is>
          <t>E23</t>
        </is>
      </c>
      <c r="C52" s="8" t="inlineStr">
        <is>
          <t>22. Cash, savings, and investments</t>
        </is>
      </c>
      <c r="D52" s="8" t="inlineStr">
        <is>
          <t>Part II line 22 col B</t>
        </is>
      </c>
      <c r="E52" s="8" t="inlineStr">
        <is>
          <t>part_ii_balance_sheet.cash_savings_investments_eoy</t>
        </is>
      </c>
      <c r="F52" s="8" t="inlineStr">
        <is>
          <t>high</t>
        </is>
      </c>
      <c r="G52" s="9" t="n">
        <v>128807</v>
      </c>
    </row>
    <row r="53">
      <c r="A53" s="8" t="inlineStr">
        <is>
          <t>Form 990-EZ Parts I &amp; II</t>
        </is>
      </c>
      <c r="B53" s="8" t="inlineStr">
        <is>
          <t>F23</t>
        </is>
      </c>
      <c r="C53" s="8" t="inlineStr">
        <is>
          <t>22. Cash, savings, and investments</t>
        </is>
      </c>
      <c r="D53" s="8" t="inlineStr">
        <is>
          <t>Part II line 22 col B</t>
        </is>
      </c>
      <c r="E53" s="8" t="inlineStr">
        <is>
          <t>part_ii_balance_sheet.cash_savings_investments_eoy</t>
        </is>
      </c>
      <c r="F53" s="8" t="inlineStr">
        <is>
          <t>high</t>
        </is>
      </c>
      <c r="G53" s="9" t="n">
        <v>140310</v>
      </c>
    </row>
    <row r="54">
      <c r="A54" s="8" t="inlineStr">
        <is>
          <t>Form 990-EZ Parts I &amp; II</t>
        </is>
      </c>
      <c r="B54" s="8" t="inlineStr">
        <is>
          <t>B24</t>
        </is>
      </c>
      <c r="C54" s="8" t="inlineStr">
        <is>
          <t>23. Land and buildings</t>
        </is>
      </c>
      <c r="D54" s="8" t="inlineStr">
        <is>
          <t>Part II line 23 col B</t>
        </is>
      </c>
      <c r="E54" s="8" t="inlineStr">
        <is>
          <t>part_ii_balance_sheet.land_and_buildings_eoy</t>
        </is>
      </c>
      <c r="F54" s="8" t="inlineStr">
        <is>
          <t>high</t>
        </is>
      </c>
      <c r="G54" s="9" t="n">
        <v>0</v>
      </c>
    </row>
    <row r="55">
      <c r="A55" s="8" t="inlineStr">
        <is>
          <t>Form 990-EZ Parts I &amp; II</t>
        </is>
      </c>
      <c r="B55" s="8" t="inlineStr">
        <is>
          <t>C24</t>
        </is>
      </c>
      <c r="C55" s="8" t="inlineStr">
        <is>
          <t>23. Land and buildings</t>
        </is>
      </c>
      <c r="D55" s="8" t="inlineStr">
        <is>
          <t>Part II line 23 col B</t>
        </is>
      </c>
      <c r="E55" s="8" t="inlineStr">
        <is>
          <t>part_ii_balance_sheet.land_and_buildings_eoy</t>
        </is>
      </c>
      <c r="F55" s="8" t="inlineStr">
        <is>
          <t>high</t>
        </is>
      </c>
      <c r="G55" s="9" t="n">
        <v>0</v>
      </c>
    </row>
    <row r="56">
      <c r="A56" s="8" t="inlineStr">
        <is>
          <t>Form 990-EZ Parts I &amp; II</t>
        </is>
      </c>
      <c r="B56" s="8" t="inlineStr">
        <is>
          <t>D24</t>
        </is>
      </c>
      <c r="C56" s="8" t="inlineStr">
        <is>
          <t>23. Land and buildings</t>
        </is>
      </c>
      <c r="D56" s="8" t="inlineStr">
        <is>
          <t>Part II line 23 col B</t>
        </is>
      </c>
      <c r="E56" s="8" t="inlineStr">
        <is>
          <t>part_ii_balance_sheet.land_and_buildings_eoy</t>
        </is>
      </c>
      <c r="F56" s="8" t="inlineStr">
        <is>
          <t>high</t>
        </is>
      </c>
      <c r="G56" s="9" t="n">
        <v>205441</v>
      </c>
    </row>
    <row r="57">
      <c r="A57" s="8" t="inlineStr">
        <is>
          <t>Form 990-EZ Parts I &amp; II</t>
        </is>
      </c>
      <c r="B57" s="8" t="inlineStr">
        <is>
          <t>E24</t>
        </is>
      </c>
      <c r="C57" s="8" t="inlineStr">
        <is>
          <t>23. Land and buildings</t>
        </is>
      </c>
      <c r="D57" s="8" t="inlineStr">
        <is>
          <t>Part II line 23 col B</t>
        </is>
      </c>
      <c r="E57" s="8" t="inlineStr">
        <is>
          <t>part_ii_balance_sheet.land_and_buildings_eoy</t>
        </is>
      </c>
      <c r="F57" s="8" t="inlineStr">
        <is>
          <t>high</t>
        </is>
      </c>
      <c r="G57" s="9" t="n">
        <v>205441</v>
      </c>
    </row>
    <row r="58">
      <c r="A58" s="8" t="inlineStr">
        <is>
          <t>Form 990-EZ Parts I &amp; II</t>
        </is>
      </c>
      <c r="B58" s="8" t="inlineStr">
        <is>
          <t>F24</t>
        </is>
      </c>
      <c r="C58" s="8" t="inlineStr">
        <is>
          <t>23. Land and buildings</t>
        </is>
      </c>
      <c r="D58" s="8" t="inlineStr">
        <is>
          <t>Part II line 23 col B</t>
        </is>
      </c>
      <c r="E58" s="8" t="inlineStr">
        <is>
          <t>part_ii_balance_sheet.land_and_buildings_eoy</t>
        </is>
      </c>
      <c r="F58" s="8" t="inlineStr">
        <is>
          <t>high</t>
        </is>
      </c>
      <c r="G58" s="9" t="n">
        <v>258468</v>
      </c>
    </row>
    <row r="59">
      <c r="A59" s="8" t="inlineStr">
        <is>
          <t>Form 990-EZ Parts I &amp; II</t>
        </is>
      </c>
      <c r="B59" s="8" t="inlineStr">
        <is>
          <t>B25</t>
        </is>
      </c>
      <c r="C59" s="8" t="inlineStr">
        <is>
          <t>24. Other assets</t>
        </is>
      </c>
      <c r="D59" s="8" t="inlineStr">
        <is>
          <t>Part II line 24 col B</t>
        </is>
      </c>
      <c r="E59" s="8" t="inlineStr">
        <is>
          <t>part_ii_balance_sheet.other_assets_eoy</t>
        </is>
      </c>
      <c r="F59" s="8" t="inlineStr">
        <is>
          <t>high</t>
        </is>
      </c>
      <c r="G59" s="9" t="n">
        <v>0</v>
      </c>
    </row>
    <row r="60">
      <c r="A60" s="8" t="inlineStr">
        <is>
          <t>Form 990-EZ Parts I &amp; II</t>
        </is>
      </c>
      <c r="B60" s="8" t="inlineStr">
        <is>
          <t>C25</t>
        </is>
      </c>
      <c r="C60" s="8" t="inlineStr">
        <is>
          <t>24. Other assets</t>
        </is>
      </c>
      <c r="D60" s="8" t="inlineStr">
        <is>
          <t>Part II line 24 col B</t>
        </is>
      </c>
      <c r="E60" s="8" t="inlineStr">
        <is>
          <t>part_ii_balance_sheet.other_assets_eoy</t>
        </is>
      </c>
      <c r="F60" s="8" t="inlineStr">
        <is>
          <t>high</t>
        </is>
      </c>
      <c r="G60" s="9" t="n">
        <v>0</v>
      </c>
    </row>
    <row r="61">
      <c r="A61" s="8" t="inlineStr">
        <is>
          <t>Form 990-EZ Parts I &amp; II</t>
        </is>
      </c>
      <c r="B61" s="8" t="inlineStr">
        <is>
          <t>D25</t>
        </is>
      </c>
      <c r="C61" s="8" t="inlineStr">
        <is>
          <t>24. Other assets</t>
        </is>
      </c>
      <c r="D61" s="8" t="inlineStr">
        <is>
          <t>Part II line 24 col B</t>
        </is>
      </c>
      <c r="E61" s="8" t="inlineStr">
        <is>
          <t>part_ii_balance_sheet.other_assets_eoy</t>
        </is>
      </c>
      <c r="F61" s="8" t="inlineStr">
        <is>
          <t>high</t>
        </is>
      </c>
      <c r="G61" s="9" t="n">
        <v>0</v>
      </c>
    </row>
    <row r="62">
      <c r="A62" s="8" t="inlineStr">
        <is>
          <t>Form 990-EZ Parts I &amp; II</t>
        </is>
      </c>
      <c r="B62" s="8" t="inlineStr">
        <is>
          <t>E25</t>
        </is>
      </c>
      <c r="C62" s="8" t="inlineStr">
        <is>
          <t>24. Other assets</t>
        </is>
      </c>
      <c r="D62" s="8" t="inlineStr">
        <is>
          <t>Part II line 24 col B</t>
        </is>
      </c>
      <c r="E62" s="8" t="inlineStr">
        <is>
          <t>part_ii_balance_sheet.other_assets_eoy</t>
        </is>
      </c>
      <c r="F62" s="8" t="inlineStr">
        <is>
          <t>high</t>
        </is>
      </c>
      <c r="G62" s="9" t="n">
        <v>0</v>
      </c>
    </row>
    <row r="63">
      <c r="A63" s="8" t="inlineStr">
        <is>
          <t>Form 990-EZ Parts I &amp; II</t>
        </is>
      </c>
      <c r="B63" s="8" t="inlineStr">
        <is>
          <t>F25</t>
        </is>
      </c>
      <c r="C63" s="8" t="inlineStr">
        <is>
          <t>24. Other assets</t>
        </is>
      </c>
      <c r="D63" s="8" t="inlineStr">
        <is>
          <t>Part II line 24 col B</t>
        </is>
      </c>
      <c r="E63" s="8" t="inlineStr">
        <is>
          <t>part_ii_balance_sheet.other_assets_eoy</t>
        </is>
      </c>
      <c r="F63" s="8" t="inlineStr">
        <is>
          <t>high</t>
        </is>
      </c>
      <c r="G63" s="9" t="n">
        <v>0</v>
      </c>
    </row>
    <row r="64">
      <c r="A64" s="8" t="inlineStr">
        <is>
          <t>Form 990-EZ Parts I &amp; II</t>
        </is>
      </c>
      <c r="B64" s="8" t="inlineStr">
        <is>
          <t>B27</t>
        </is>
      </c>
      <c r="C64" s="8" t="inlineStr">
        <is>
          <t>26. Total liabilities</t>
        </is>
      </c>
      <c r="D64" s="8" t="inlineStr">
        <is>
          <t>Part II line 26 col B</t>
        </is>
      </c>
      <c r="E64" s="8" t="inlineStr">
        <is>
          <t>part_ii_balance_sheet.total_liabilities_eoy</t>
        </is>
      </c>
      <c r="F64" s="8" t="inlineStr">
        <is>
          <t>high</t>
        </is>
      </c>
      <c r="G64" s="9" t="n">
        <v>0</v>
      </c>
    </row>
    <row r="65">
      <c r="A65" s="8" t="inlineStr">
        <is>
          <t>Form 990-EZ Parts I &amp; II</t>
        </is>
      </c>
      <c r="B65" s="8" t="inlineStr">
        <is>
          <t>C27</t>
        </is>
      </c>
      <c r="C65" s="8" t="inlineStr">
        <is>
          <t>26. Total liabilities</t>
        </is>
      </c>
      <c r="D65" s="8" t="inlineStr">
        <is>
          <t>Part II line 26 col B</t>
        </is>
      </c>
      <c r="E65" s="8" t="inlineStr">
        <is>
          <t>part_ii_balance_sheet.total_liabilities_eoy</t>
        </is>
      </c>
      <c r="F65" s="8" t="inlineStr">
        <is>
          <t>high</t>
        </is>
      </c>
      <c r="G65" s="9" t="n">
        <v>0</v>
      </c>
    </row>
    <row r="66">
      <c r="A66" s="8" t="inlineStr">
        <is>
          <t>Form 990-EZ Parts I &amp; II</t>
        </is>
      </c>
      <c r="B66" s="8" t="inlineStr">
        <is>
          <t>D27</t>
        </is>
      </c>
      <c r="C66" s="8" t="inlineStr">
        <is>
          <t>26. Total liabilities</t>
        </is>
      </c>
      <c r="D66" s="8" t="inlineStr">
        <is>
          <t>Part II line 26 col B</t>
        </is>
      </c>
      <c r="E66" s="8" t="inlineStr">
        <is>
          <t>part_ii_balance_sheet.total_liabilities_eoy</t>
        </is>
      </c>
      <c r="F66" s="8" t="inlineStr">
        <is>
          <t>high</t>
        </is>
      </c>
      <c r="G66" s="9" t="n">
        <v>0</v>
      </c>
    </row>
    <row r="67">
      <c r="A67" s="8" t="inlineStr">
        <is>
          <t>Form 990-EZ Parts I &amp; II</t>
        </is>
      </c>
      <c r="B67" s="8" t="inlineStr">
        <is>
          <t>E27</t>
        </is>
      </c>
      <c r="C67" s="8" t="inlineStr">
        <is>
          <t>26. Total liabilities</t>
        </is>
      </c>
      <c r="D67" s="8" t="inlineStr">
        <is>
          <t>Part II line 26 col B</t>
        </is>
      </c>
      <c r="E67" s="8" t="inlineStr">
        <is>
          <t>part_ii_balance_sheet.total_liabilities_eoy</t>
        </is>
      </c>
      <c r="F67" s="8" t="inlineStr">
        <is>
          <t>high</t>
        </is>
      </c>
      <c r="G67" s="9" t="n">
        <v>0</v>
      </c>
    </row>
    <row r="68">
      <c r="A68" s="8" t="inlineStr">
        <is>
          <t>Form 990-EZ Parts I &amp; II</t>
        </is>
      </c>
      <c r="B68" s="8" t="inlineStr">
        <is>
          <t>F27</t>
        </is>
      </c>
      <c r="C68" s="8" t="inlineStr">
        <is>
          <t>26. Total liabilities</t>
        </is>
      </c>
      <c r="D68" s="8" t="inlineStr">
        <is>
          <t>Part II line 26 col B</t>
        </is>
      </c>
      <c r="E68" s="8" t="inlineStr">
        <is>
          <t>part_ii_balance_sheet.total_liabilities_eoy</t>
        </is>
      </c>
      <c r="F68" s="8" t="inlineStr">
        <is>
          <t>high</t>
        </is>
      </c>
      <c r="G68" s="9" t="n">
        <v>8772</v>
      </c>
    </row>
    <row r="69">
      <c r="A69" s="8" t="inlineStr">
        <is>
          <t>Form 990-EZ Parts I &amp; II</t>
        </is>
      </c>
      <c r="B69" s="8" t="inlineStr">
        <is>
          <t>B28</t>
        </is>
      </c>
      <c r="C69" s="8" t="inlineStr">
        <is>
          <t>27. Net assets or fund balances</t>
        </is>
      </c>
      <c r="D69" s="8" t="inlineStr">
        <is>
          <t>Part II line 27 col B</t>
        </is>
      </c>
      <c r="E69" s="8" t="inlineStr">
        <is>
          <t>part_ii_balance_sheet.net_assets_eoy</t>
        </is>
      </c>
      <c r="F69" s="8" t="inlineStr">
        <is>
          <t>high</t>
        </is>
      </c>
      <c r="G69" s="9" t="n">
        <v>98122</v>
      </c>
    </row>
    <row r="70">
      <c r="A70" s="8" t="inlineStr">
        <is>
          <t>Form 990-EZ Parts I &amp; II</t>
        </is>
      </c>
      <c r="B70" s="8" t="inlineStr">
        <is>
          <t>C28</t>
        </is>
      </c>
      <c r="C70" s="8" t="inlineStr">
        <is>
          <t>27. Net assets or fund balances</t>
        </is>
      </c>
      <c r="D70" s="8" t="inlineStr">
        <is>
          <t>Part II line 27 col B</t>
        </is>
      </c>
      <c r="E70" s="8" t="inlineStr">
        <is>
          <t>part_ii_balance_sheet.net_assets_eoy</t>
        </is>
      </c>
      <c r="F70" s="8" t="inlineStr">
        <is>
          <t>high</t>
        </is>
      </c>
      <c r="G70" s="9" t="n">
        <v>118419</v>
      </c>
    </row>
    <row r="71">
      <c r="A71" s="8" t="inlineStr">
        <is>
          <t>Form 990-EZ Parts I &amp; II</t>
        </is>
      </c>
      <c r="B71" s="8" t="inlineStr">
        <is>
          <t>D28</t>
        </is>
      </c>
      <c r="C71" s="8" t="inlineStr">
        <is>
          <t>27. Net assets or fund balances</t>
        </is>
      </c>
      <c r="D71" s="8" t="inlineStr">
        <is>
          <t>Part II line 27 col B</t>
        </is>
      </c>
      <c r="E71" s="8" t="inlineStr">
        <is>
          <t>part_ii_balance_sheet.net_assets_eoy</t>
        </is>
      </c>
      <c r="F71" s="8" t="inlineStr">
        <is>
          <t>high</t>
        </is>
      </c>
      <c r="G71" s="9" t="n">
        <v>309896</v>
      </c>
    </row>
    <row r="72">
      <c r="A72" s="8" t="inlineStr">
        <is>
          <t>Form 990-EZ Parts I &amp; II</t>
        </is>
      </c>
      <c r="B72" s="8" t="inlineStr">
        <is>
          <t>E28</t>
        </is>
      </c>
      <c r="C72" s="8" t="inlineStr">
        <is>
          <t>27. Net assets or fund balances</t>
        </is>
      </c>
      <c r="D72" s="8" t="inlineStr">
        <is>
          <t>Part II line 27 col B</t>
        </is>
      </c>
      <c r="E72" s="8" t="inlineStr">
        <is>
          <t>part_ii_balance_sheet.net_assets_eoy</t>
        </is>
      </c>
      <c r="F72" s="8" t="inlineStr">
        <is>
          <t>high</t>
        </is>
      </c>
      <c r="G72" s="9" t="n">
        <v>334248</v>
      </c>
    </row>
    <row r="73">
      <c r="A73" s="8" t="inlineStr">
        <is>
          <t>Form 990-EZ Parts I &amp; II</t>
        </is>
      </c>
      <c r="B73" s="8" t="inlineStr">
        <is>
          <t>F28</t>
        </is>
      </c>
      <c r="C73" s="8" t="inlineStr">
        <is>
          <t>27. Net assets or fund balances</t>
        </is>
      </c>
      <c r="D73" s="8" t="inlineStr">
        <is>
          <t>Part II line 27 col B</t>
        </is>
      </c>
      <c r="E73" s="8" t="inlineStr">
        <is>
          <t>part_ii_balance_sheet.net_assets_eoy</t>
        </is>
      </c>
      <c r="F73" s="8" t="inlineStr">
        <is>
          <t>high</t>
        </is>
      </c>
      <c r="G73" s="9" t="n">
        <v>390006</v>
      </c>
    </row>
    <row r="75">
      <c r="A75" s="23" t="inlineStr">
        <is>
          <t>C. Tie-out checks (filed vs computed; any nonzero variance is flagged red)</t>
        </is>
      </c>
      <c r="B75" s="7" t="n"/>
      <c r="C75" s="7" t="n"/>
      <c r="D75" s="7" t="n"/>
      <c r="E75" s="7" t="n"/>
      <c r="F75" s="7" t="n"/>
      <c r="G75" s="7" t="n"/>
      <c r="H75" s="7" t="n"/>
      <c r="I75" s="7" t="n"/>
      <c r="J75" s="7" t="n"/>
      <c r="K75" s="7" t="n"/>
    </row>
    <row r="76">
      <c r="A76" s="5" t="inlineStr">
        <is>
          <t>Tab</t>
        </is>
      </c>
      <c r="B76" s="5" t="inlineStr">
        <is>
          <t>Check</t>
        </is>
      </c>
      <c r="C76" s="5" t="inlineStr">
        <is>
          <t>Fiscal year</t>
        </is>
      </c>
      <c r="D76" s="5" t="inlineStr">
        <is>
          <t>Filed</t>
        </is>
      </c>
      <c r="E76" s="5" t="inlineStr">
        <is>
          <t>Computed</t>
        </is>
      </c>
      <c r="F76" s="5" t="inlineStr">
        <is>
          <t>Variance (computed - filed)</t>
        </is>
      </c>
    </row>
    <row r="77">
      <c r="A77" s="26" t="inlineStr">
        <is>
          <t>Form 990-EZ Parts I &amp; II</t>
        </is>
      </c>
      <c r="B77" s="26" t="inlineStr">
        <is>
          <t>17. Total expenses</t>
        </is>
      </c>
      <c r="C77" s="26" t="inlineStr">
        <is>
          <t>FY2020</t>
        </is>
      </c>
      <c r="D77" s="9" t="n">
        <v>31431</v>
      </c>
      <c r="E77" s="9">
        <f>'Form 990-EZ Parts I &amp; II'!B15</f>
        <v/>
      </c>
      <c r="F77" s="9">
        <f>E77-D77</f>
        <v/>
      </c>
    </row>
    <row r="78">
      <c r="A78" s="26" t="inlineStr">
        <is>
          <t>Form 990-EZ Parts I &amp; II</t>
        </is>
      </c>
      <c r="B78" s="26" t="inlineStr">
        <is>
          <t>17. Total expenses</t>
        </is>
      </c>
      <c r="C78" s="26" t="inlineStr">
        <is>
          <t>FY2021</t>
        </is>
      </c>
      <c r="D78" s="9" t="n">
        <v>41920</v>
      </c>
      <c r="E78" s="9">
        <f>'Form 990-EZ Parts I &amp; II'!C15</f>
        <v/>
      </c>
      <c r="F78" s="9">
        <f>E78-D78</f>
        <v/>
      </c>
    </row>
    <row r="79">
      <c r="A79" s="26" t="inlineStr">
        <is>
          <t>Form 990-EZ Parts I &amp; II</t>
        </is>
      </c>
      <c r="B79" s="26" t="inlineStr">
        <is>
          <t>17. Total expenses</t>
        </is>
      </c>
      <c r="C79" s="26" t="inlineStr">
        <is>
          <t>FY2022</t>
        </is>
      </c>
      <c r="D79" s="9" t="n">
        <v>32084</v>
      </c>
      <c r="E79" s="9">
        <f>'Form 990-EZ Parts I &amp; II'!D15</f>
        <v/>
      </c>
      <c r="F79" s="9">
        <f>E79-D79</f>
        <v/>
      </c>
    </row>
    <row r="80">
      <c r="A80" s="26" t="inlineStr">
        <is>
          <t>Form 990-EZ Parts I &amp; II</t>
        </is>
      </c>
      <c r="B80" s="26" t="inlineStr">
        <is>
          <t>17. Total expenses</t>
        </is>
      </c>
      <c r="C80" s="26" t="inlineStr">
        <is>
          <t>FY2023</t>
        </is>
      </c>
      <c r="D80" s="9" t="n">
        <v>46371</v>
      </c>
      <c r="E80" s="9">
        <f>'Form 990-EZ Parts I &amp; II'!E15</f>
        <v/>
      </c>
      <c r="F80" s="9">
        <f>E80-D80</f>
        <v/>
      </c>
    </row>
    <row r="81">
      <c r="A81" s="26" t="inlineStr">
        <is>
          <t>Form 990-EZ Parts I &amp; II</t>
        </is>
      </c>
      <c r="B81" s="26" t="inlineStr">
        <is>
          <t>17. Total expenses</t>
        </is>
      </c>
      <c r="C81" s="26" t="inlineStr">
        <is>
          <t>FY2024</t>
        </is>
      </c>
      <c r="D81" s="9" t="n">
        <v>66094</v>
      </c>
      <c r="E81" s="9">
        <f>'Form 990-EZ Parts I &amp; II'!F15</f>
        <v/>
      </c>
      <c r="F81" s="9">
        <f>E81-D81</f>
        <v/>
      </c>
    </row>
    <row r="82">
      <c r="A82" s="26" t="inlineStr">
        <is>
          <t>Form 990-EZ Parts I &amp; II</t>
        </is>
      </c>
      <c r="B82" s="26" t="inlineStr">
        <is>
          <t>21. Net assets or fund balances, end of year</t>
        </is>
      </c>
      <c r="C82" s="26" t="inlineStr">
        <is>
          <t>FY2020</t>
        </is>
      </c>
      <c r="D82" s="9" t="n">
        <v>98122</v>
      </c>
      <c r="E82" s="9">
        <f>'Form 990-EZ Parts I &amp; II'!B20</f>
        <v/>
      </c>
      <c r="F82" s="9">
        <f>E82-D82</f>
        <v/>
      </c>
    </row>
    <row r="83">
      <c r="A83" s="26" t="inlineStr">
        <is>
          <t>Form 990-EZ Parts I &amp; II</t>
        </is>
      </c>
      <c r="B83" s="26" t="inlineStr">
        <is>
          <t>21. Net assets or fund balances, end of year</t>
        </is>
      </c>
      <c r="C83" s="26" t="inlineStr">
        <is>
          <t>FY2021</t>
        </is>
      </c>
      <c r="D83" s="9" t="n">
        <v>118419</v>
      </c>
      <c r="E83" s="9">
        <f>'Form 990-EZ Parts I &amp; II'!C20</f>
        <v/>
      </c>
      <c r="F83" s="9">
        <f>E83-D83</f>
        <v/>
      </c>
    </row>
    <row r="84">
      <c r="A84" s="26" t="inlineStr">
        <is>
          <t>Form 990-EZ Parts I &amp; II</t>
        </is>
      </c>
      <c r="B84" s="26" t="inlineStr">
        <is>
          <t>21. Net assets or fund balances, end of year</t>
        </is>
      </c>
      <c r="C84" s="26" t="inlineStr">
        <is>
          <t>FY2022</t>
        </is>
      </c>
      <c r="D84" s="9" t="n">
        <v>309896</v>
      </c>
      <c r="E84" s="9">
        <f>'Form 990-EZ Parts I &amp; II'!D20</f>
        <v/>
      </c>
      <c r="F84" s="9">
        <f>E84-D84</f>
        <v/>
      </c>
    </row>
    <row r="85">
      <c r="A85" s="26" t="inlineStr">
        <is>
          <t>Form 990-EZ Parts I &amp; II</t>
        </is>
      </c>
      <c r="B85" s="26" t="inlineStr">
        <is>
          <t>21. Net assets or fund balances, end of year</t>
        </is>
      </c>
      <c r="C85" s="26" t="inlineStr">
        <is>
          <t>FY2023</t>
        </is>
      </c>
      <c r="D85" s="9" t="n">
        <v>334248</v>
      </c>
      <c r="E85" s="9">
        <f>'Form 990-EZ Parts I &amp; II'!E20</f>
        <v/>
      </c>
      <c r="F85" s="9">
        <f>E85-D85</f>
        <v/>
      </c>
    </row>
    <row r="86">
      <c r="A86" s="26" t="inlineStr">
        <is>
          <t>Form 990-EZ Parts I &amp; II</t>
        </is>
      </c>
      <c r="B86" s="26" t="inlineStr">
        <is>
          <t>21. Net assets or fund balances, end of year</t>
        </is>
      </c>
      <c r="C86" s="26" t="inlineStr">
        <is>
          <t>FY2024</t>
        </is>
      </c>
      <c r="D86" s="9" t="n">
        <v>390006</v>
      </c>
      <c r="E86" s="9">
        <f>'Form 990-EZ Parts I &amp; II'!F20</f>
        <v/>
      </c>
      <c r="F86" s="9">
        <f>E86-D86</f>
        <v/>
      </c>
    </row>
    <row r="87">
      <c r="A87" s="26" t="inlineStr">
        <is>
          <t>Form 990-EZ Parts I &amp; II</t>
        </is>
      </c>
      <c r="B87" s="26" t="inlineStr">
        <is>
          <t>25. Total assets</t>
        </is>
      </c>
      <c r="C87" s="26" t="inlineStr">
        <is>
          <t>FY2020</t>
        </is>
      </c>
      <c r="D87" s="9" t="n">
        <v>98122</v>
      </c>
      <c r="E87" s="9">
        <f>'Form 990-EZ Parts I &amp; II'!B26</f>
        <v/>
      </c>
      <c r="F87" s="9">
        <f>E87-D87</f>
        <v/>
      </c>
    </row>
    <row r="88">
      <c r="A88" s="26" t="inlineStr">
        <is>
          <t>Form 990-EZ Parts I &amp; II</t>
        </is>
      </c>
      <c r="B88" s="26" t="inlineStr">
        <is>
          <t>25. Total assets</t>
        </is>
      </c>
      <c r="C88" s="26" t="inlineStr">
        <is>
          <t>FY2021</t>
        </is>
      </c>
      <c r="D88" s="9" t="n">
        <v>118419</v>
      </c>
      <c r="E88" s="9">
        <f>'Form 990-EZ Parts I &amp; II'!C26</f>
        <v/>
      </c>
      <c r="F88" s="9">
        <f>E88-D88</f>
        <v/>
      </c>
    </row>
    <row r="89">
      <c r="A89" s="26" t="inlineStr">
        <is>
          <t>Form 990-EZ Parts I &amp; II</t>
        </is>
      </c>
      <c r="B89" s="26" t="inlineStr">
        <is>
          <t>25. Total assets</t>
        </is>
      </c>
      <c r="C89" s="26" t="inlineStr">
        <is>
          <t>FY2022</t>
        </is>
      </c>
      <c r="D89" s="9" t="n">
        <v>309896</v>
      </c>
      <c r="E89" s="9">
        <f>'Form 990-EZ Parts I &amp; II'!D26</f>
        <v/>
      </c>
      <c r="F89" s="9">
        <f>E89-D89</f>
        <v/>
      </c>
    </row>
    <row r="90">
      <c r="A90" s="26" t="inlineStr">
        <is>
          <t>Form 990-EZ Parts I &amp; II</t>
        </is>
      </c>
      <c r="B90" s="26" t="inlineStr">
        <is>
          <t>25. Total assets</t>
        </is>
      </c>
      <c r="C90" s="26" t="inlineStr">
        <is>
          <t>FY2023</t>
        </is>
      </c>
      <c r="D90" s="9" t="n">
        <v>334248</v>
      </c>
      <c r="E90" s="9">
        <f>'Form 990-EZ Parts I &amp; II'!E26</f>
        <v/>
      </c>
      <c r="F90" s="9">
        <f>E90-D90</f>
        <v/>
      </c>
    </row>
    <row r="91">
      <c r="A91" s="26" t="inlineStr">
        <is>
          <t>Form 990-EZ Parts I &amp; II</t>
        </is>
      </c>
      <c r="B91" s="26" t="inlineStr">
        <is>
          <t>25. Total assets</t>
        </is>
      </c>
      <c r="C91" s="26" t="inlineStr">
        <is>
          <t>FY2024</t>
        </is>
      </c>
      <c r="D91" s="9" t="n">
        <v>398778</v>
      </c>
      <c r="E91" s="9">
        <f>'Form 990-EZ Parts I &amp; II'!F26</f>
        <v/>
      </c>
      <c r="F91" s="9">
        <f>E91-D91</f>
        <v/>
      </c>
    </row>
    <row r="92">
      <c r="A92" s="26" t="inlineStr">
        <is>
          <t>Form 990-EZ Parts I &amp; II</t>
        </is>
      </c>
      <c r="B92" s="26" t="inlineStr">
        <is>
          <t>Balance sheet identity: line 25 = line 26 + line 27 (EOY)</t>
        </is>
      </c>
      <c r="C92" s="26" t="inlineStr">
        <is>
          <t>FY2020</t>
        </is>
      </c>
      <c r="D92" s="9">
        <f>'Form 990-EZ Parts I &amp; II'!B26</f>
        <v/>
      </c>
      <c r="E92" s="9">
        <f>SUM('Form 990-EZ Parts I &amp; II'!B27,'Form 990-EZ Parts I &amp; II'!B28)</f>
        <v/>
      </c>
      <c r="F92" s="9">
        <f>E92-D92</f>
        <v/>
      </c>
    </row>
    <row r="93">
      <c r="A93" s="26" t="inlineStr">
        <is>
          <t>Form 990-EZ Parts I &amp; II</t>
        </is>
      </c>
      <c r="B93" s="26" t="inlineStr">
        <is>
          <t>Balance sheet identity: line 25 = line 26 + line 27 (EOY)</t>
        </is>
      </c>
      <c r="C93" s="26" t="inlineStr">
        <is>
          <t>FY2021</t>
        </is>
      </c>
      <c r="D93" s="9">
        <f>'Form 990-EZ Parts I &amp; II'!C26</f>
        <v/>
      </c>
      <c r="E93" s="9">
        <f>SUM('Form 990-EZ Parts I &amp; II'!C27,'Form 990-EZ Parts I &amp; II'!C28)</f>
        <v/>
      </c>
      <c r="F93" s="9">
        <f>E93-D93</f>
        <v/>
      </c>
    </row>
    <row r="94">
      <c r="A94" s="26" t="inlineStr">
        <is>
          <t>Form 990-EZ Parts I &amp; II</t>
        </is>
      </c>
      <c r="B94" s="26" t="inlineStr">
        <is>
          <t>Balance sheet identity: line 25 = line 26 + line 27 (EOY)</t>
        </is>
      </c>
      <c r="C94" s="26" t="inlineStr">
        <is>
          <t>FY2022</t>
        </is>
      </c>
      <c r="D94" s="9">
        <f>'Form 990-EZ Parts I &amp; II'!D26</f>
        <v/>
      </c>
      <c r="E94" s="9">
        <f>SUM('Form 990-EZ Parts I &amp; II'!D27,'Form 990-EZ Parts I &amp; II'!D28)</f>
        <v/>
      </c>
      <c r="F94" s="9">
        <f>E94-D94</f>
        <v/>
      </c>
    </row>
    <row r="95">
      <c r="A95" s="26" t="inlineStr">
        <is>
          <t>Form 990-EZ Parts I &amp; II</t>
        </is>
      </c>
      <c r="B95" s="26" t="inlineStr">
        <is>
          <t>Balance sheet identity: line 25 = line 26 + line 27 (EOY)</t>
        </is>
      </c>
      <c r="C95" s="26" t="inlineStr">
        <is>
          <t>FY2023</t>
        </is>
      </c>
      <c r="D95" s="9">
        <f>'Form 990-EZ Parts I &amp; II'!E26</f>
        <v/>
      </c>
      <c r="E95" s="9">
        <f>SUM('Form 990-EZ Parts I &amp; II'!E27,'Form 990-EZ Parts I &amp; II'!E28)</f>
        <v/>
      </c>
      <c r="F95" s="9">
        <f>E95-D95</f>
        <v/>
      </c>
    </row>
    <row r="96">
      <c r="A96" s="26" t="inlineStr">
        <is>
          <t>Form 990-EZ Parts I &amp; II</t>
        </is>
      </c>
      <c r="B96" s="26" t="inlineStr">
        <is>
          <t>Balance sheet identity: line 25 = line 26 + line 27 (EOY)</t>
        </is>
      </c>
      <c r="C96" s="26" t="inlineStr">
        <is>
          <t>FY2024</t>
        </is>
      </c>
      <c r="D96" s="9">
        <f>'Form 990-EZ Parts I &amp; II'!F26</f>
        <v/>
      </c>
      <c r="E96" s="9">
        <f>SUM('Form 990-EZ Parts I &amp; II'!F27,'Form 990-EZ Parts I &amp; II'!F28)</f>
        <v/>
      </c>
      <c r="F96" s="9">
        <f>E96-D96</f>
        <v/>
      </c>
    </row>
    <row r="98">
      <c r="A98" s="23" t="inlineStr">
        <is>
          <t>D. Preparer / auditor trail (one row per fiscal year, as filed)</t>
        </is>
      </c>
      <c r="B98" s="7" t="n"/>
      <c r="C98" s="7" t="n"/>
      <c r="D98" s="7" t="n"/>
      <c r="E98" s="7" t="n"/>
      <c r="F98" s="7" t="n"/>
      <c r="G98" s="7" t="n"/>
      <c r="H98" s="7" t="n"/>
      <c r="I98" s="7" t="n"/>
      <c r="J98" s="7" t="n"/>
      <c r="K98" s="7" t="n"/>
    </row>
    <row r="99">
      <c r="A99" s="5" t="inlineStr">
        <is>
          <t>Fiscal year</t>
        </is>
      </c>
      <c r="B99" s="5" t="inlineStr">
        <is>
          <t>Paid preparer</t>
        </is>
      </c>
      <c r="C99" s="5" t="inlineStr">
        <is>
          <t>Preparer firm</t>
        </is>
      </c>
      <c r="D99" s="5" t="inlineStr">
        <is>
          <t>Independent auditor</t>
        </is>
      </c>
      <c r="E99" s="5" t="inlineStr">
        <is>
          <t>Citation</t>
        </is>
      </c>
    </row>
    <row r="100" ht="42" customHeight="1">
      <c r="A100" s="24" t="inlineStr">
        <is>
          <t>FY2020</t>
        </is>
      </c>
      <c r="B100" s="8" t="inlineStr">
        <is>
          <t>Stephen McFadden</t>
        </is>
      </c>
      <c r="C100" s="8" t="inlineStr">
        <is>
          <t>Stephen F McFadden CPA</t>
        </is>
      </c>
      <c r="D100" s="27" t="inlineStr">
        <is>
          <t>not reported</t>
        </is>
      </c>
      <c r="E100" s="17" t="inlineStr">
        <is>
          <t>Form 990 Return Header, Paid Preparer block (return_header.preparer_person_name / preparer_firm_name); auditor: Part XII line 2 reports audited financial statements but does not name the firm.</t>
        </is>
      </c>
    </row>
    <row r="101" ht="42" customHeight="1">
      <c r="A101" s="24" t="inlineStr">
        <is>
          <t>FY2021</t>
        </is>
      </c>
      <c r="B101" s="8" t="inlineStr">
        <is>
          <t>Stephen McFadden</t>
        </is>
      </c>
      <c r="C101" s="8" t="inlineStr">
        <is>
          <t>Stephen F McFadden CPA</t>
        </is>
      </c>
      <c r="D101" s="27" t="inlineStr">
        <is>
          <t>not reported</t>
        </is>
      </c>
      <c r="E101" s="17" t="inlineStr">
        <is>
          <t>Form 990 Return Header, Paid Preparer block (return_header.preparer_person_name / preparer_firm_name); auditor: Part XII line 2 reports audited financial statements but does not name the firm.</t>
        </is>
      </c>
    </row>
    <row r="102" ht="42" customHeight="1">
      <c r="A102" s="24" t="inlineStr">
        <is>
          <t>FY2022</t>
        </is>
      </c>
      <c r="B102" s="8" t="inlineStr">
        <is>
          <t>Stephen McFadden</t>
        </is>
      </c>
      <c r="C102" s="8" t="inlineStr">
        <is>
          <t>Stephen F McFadden CPA</t>
        </is>
      </c>
      <c r="D102" s="27" t="inlineStr">
        <is>
          <t>not reported</t>
        </is>
      </c>
      <c r="E102" s="17" t="inlineStr">
        <is>
          <t>Form 990 Return Header, Paid Preparer block (return_header.preparer_person_name / preparer_firm_name); auditor: Part XII line 2 reports audited financial statements but does not name the firm.</t>
        </is>
      </c>
    </row>
    <row r="103" ht="42" customHeight="1">
      <c r="A103" s="24" t="inlineStr">
        <is>
          <t>FY2023</t>
        </is>
      </c>
      <c r="B103" s="8" t="inlineStr">
        <is>
          <t>Stephen McFadden</t>
        </is>
      </c>
      <c r="C103" s="8" t="inlineStr">
        <is>
          <t>Stephen F McFadden CPA</t>
        </is>
      </c>
      <c r="D103" s="27" t="inlineStr">
        <is>
          <t>not reported</t>
        </is>
      </c>
      <c r="E103" s="17" t="inlineStr">
        <is>
          <t>Form 990 Return Header, Paid Preparer block (return_header.preparer_person_name / preparer_firm_name); auditor: Part XII line 2 reports audited financial statements but does not name the firm.</t>
        </is>
      </c>
    </row>
    <row r="104" ht="42" customHeight="1">
      <c r="A104" s="24" t="inlineStr">
        <is>
          <t>FY2024</t>
        </is>
      </c>
      <c r="B104" s="8" t="inlineStr">
        <is>
          <t>STEPHEN MCFADDEN</t>
        </is>
      </c>
      <c r="C104" s="8" t="inlineStr">
        <is>
          <t>Stephen F McFadden CPA</t>
        </is>
      </c>
      <c r="D104" s="27" t="inlineStr">
        <is>
          <t>not reported</t>
        </is>
      </c>
      <c r="E104" s="17" t="inlineStr">
        <is>
          <t>Form 990 Return Header, Paid Preparer block (return_header.preparer_person_name / preparer_firm_name); auditor: Part XII line 2 reports audited financial statements but does not name the firm.</t>
        </is>
      </c>
    </row>
    <row r="106" ht="42" customHeight="1">
      <c r="A10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106:K106"/>
  </mergeCells>
  <conditionalFormatting sqref="F77:F96">
    <cfRule type="cellIs" priority="1" operator="notEqual" dxfId="0">
      <formula>0</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