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Denominators &amp; alignment" sheetId="10" state="visible" r:id="rId10"/>
    <sheet name="Governance evidence" sheetId="11" state="visible" r:id="rId11"/>
    <sheet name="Operational metrics" sheetId="12" state="visible" r:id="rId12"/>
    <sheet name="Supply &amp; weather" sheetId="13" state="visible" r:id="rId13"/>
    <sheet name="How this was built" sheetId="14" state="visible" r:id="rId14"/>
    <sheet name="Water Operations" sheetId="15" state="visible" r:id="rId15"/>
    <sheet name="Sources &amp; audit" sheetId="16" state="visible" r:id="rId16"/>
    <sheet name="Provenance" sheetId="17" state="visible" r:id="rId1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3" fontId="6" fillId="0" borderId="1" applyAlignment="1" pivotButton="0" quotePrefix="0" xfId="0">
      <alignment horizontal="right"/>
    </xf>
    <xf numFmtId="0" fontId="5" fillId="3" borderId="0" applyAlignment="1" pivotButton="0" quotePrefix="0" xfId="0">
      <alignment horizontal="left" vertical="center"/>
    </xf>
    <xf numFmtId="0" fontId="6" fillId="0" borderId="1" applyAlignment="1" pivotButton="0" quotePrefix="0" xfId="0">
      <alignment horizontal="center" vertical="center"/>
    </xf>
    <xf numFmtId="0" fontId="0" fillId="0" borderId="1" pivotButton="0" quotePrefix="0" xfId="0"/>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(extreme)</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South Mountain Mutual Water Company</t>
        </is>
      </c>
    </row>
    <row r="2">
      <c r="A2" s="2" t="inlineStr">
        <is>
          <t>Financial Summary - multi-year overview (USD)</t>
        </is>
      </c>
    </row>
    <row r="3">
      <c r="A3" s="2" t="inlineStr">
        <is>
          <t>Entity ID: cawc_0017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67866</v>
      </c>
      <c r="C10" s="9" t="n">
        <v>62217</v>
      </c>
      <c r="D10" s="9" t="n">
        <v>76336</v>
      </c>
      <c r="E10" s="9" t="n">
        <v>70723</v>
      </c>
      <c r="F10" s="9" t="n">
        <v>121852</v>
      </c>
    </row>
    <row r="11">
      <c r="A11" s="8" t="inlineStr">
        <is>
          <t xml:space="preserve">    Total expenses</t>
        </is>
      </c>
      <c r="B11" s="9" t="n">
        <v>31431</v>
      </c>
      <c r="C11" s="9" t="n">
        <v>41920</v>
      </c>
      <c r="D11" s="9" t="n">
        <v>32084</v>
      </c>
      <c r="E11" s="9" t="n">
        <v>46371</v>
      </c>
      <c r="F11" s="9" t="n">
        <v>66094</v>
      </c>
    </row>
    <row r="12">
      <c r="A12" s="10" t="inlineStr">
        <is>
          <t xml:space="preserve">    Net income</t>
        </is>
      </c>
      <c r="B12" s="11" t="n">
        <v>36435</v>
      </c>
      <c r="C12" s="11" t="n">
        <v>20297</v>
      </c>
      <c r="D12" s="11" t="n">
        <v>44252</v>
      </c>
      <c r="E12" s="11" t="n">
        <v>24352</v>
      </c>
      <c r="F12" s="11" t="n">
        <v>55758</v>
      </c>
    </row>
    <row r="14">
      <c r="A14" s="6" t="inlineStr">
        <is>
          <t>Financial position (USD, end of year)</t>
        </is>
      </c>
      <c r="B14" s="7" t="n"/>
      <c r="C14" s="7" t="n"/>
      <c r="D14" s="7" t="n"/>
      <c r="E14" s="7" t="n"/>
      <c r="F14" s="7" t="n"/>
    </row>
    <row r="15">
      <c r="A15" s="8" t="inlineStr">
        <is>
          <t xml:space="preserve">    Total assets</t>
        </is>
      </c>
      <c r="B15" s="9" t="n">
        <v>98122</v>
      </c>
      <c r="C15" s="9" t="n">
        <v>118419</v>
      </c>
      <c r="D15" s="9" t="n">
        <v>309896</v>
      </c>
      <c r="E15" s="9" t="n">
        <v>334248</v>
      </c>
      <c r="F15" s="9" t="n">
        <v>398778</v>
      </c>
    </row>
    <row r="16">
      <c r="A16" s="8" t="inlineStr">
        <is>
          <t xml:space="preserve">    Total liabilities</t>
        </is>
      </c>
      <c r="B16" s="9" t="n">
        <v>0</v>
      </c>
      <c r="C16" s="9" t="n">
        <v>0</v>
      </c>
      <c r="D16" s="9" t="n">
        <v>0</v>
      </c>
      <c r="E16" s="9" t="n">
        <v>0</v>
      </c>
      <c r="F16" s="9" t="n">
        <v>8772</v>
      </c>
    </row>
    <row r="17">
      <c r="A17" s="10" t="inlineStr">
        <is>
          <t xml:space="preserve">    Net assets</t>
        </is>
      </c>
      <c r="B17" s="11" t="n">
        <v>98122</v>
      </c>
      <c r="C17" s="11" t="n">
        <v>118419</v>
      </c>
      <c r="D17" s="11" t="n">
        <v>309896</v>
      </c>
      <c r="E17" s="11" t="n">
        <v>334248</v>
      </c>
      <c r="F17" s="11" t="n">
        <v>390006</v>
      </c>
    </row>
    <row r="19">
      <c r="A19" s="6" t="inlineStr">
        <is>
          <t>Headline ratios</t>
        </is>
      </c>
      <c r="B19" s="7" t="n"/>
      <c r="C19" s="7" t="n"/>
      <c r="D19" s="7" t="n"/>
      <c r="E19" s="7" t="n"/>
      <c r="F19" s="7" t="n"/>
    </row>
    <row r="20">
      <c r="A20" s="8" t="inlineStr">
        <is>
          <t xml:space="preserve">    Operating margin</t>
        </is>
      </c>
      <c r="B20" s="12" t="n">
        <v>0.5368667668641146</v>
      </c>
      <c r="C20" s="12" t="n">
        <v>0.3262291656621181</v>
      </c>
      <c r="D20" s="12" t="n">
        <v>0.579700272479564</v>
      </c>
      <c r="E20" s="12" t="n">
        <v>0.3443292846740099</v>
      </c>
      <c r="F20" s="12" t="n">
        <v>0.4575878935101599</v>
      </c>
    </row>
    <row r="21">
      <c r="A21" s="8" t="inlineStr">
        <is>
          <t xml:space="preserve">    Revenue growth (YoY)</t>
        </is>
      </c>
      <c r="B21" s="12" t="n"/>
      <c r="C21" s="12" t="n"/>
      <c r="D21" s="12" t="n"/>
      <c r="E21" s="12" t="n"/>
      <c r="F21" s="12" t="n"/>
    </row>
    <row r="22">
      <c r="A22" s="8" t="inlineStr">
        <is>
          <t xml:space="preserve">    Return on assets</t>
        </is>
      </c>
      <c r="B22" s="12" t="n">
        <v>0.3713234544750413</v>
      </c>
      <c r="C22" s="12" t="n">
        <v>0.1713998598197924</v>
      </c>
      <c r="D22" s="12" t="n">
        <v>0.1427962929498929</v>
      </c>
      <c r="E22" s="12" t="n">
        <v>0.07285608290849908</v>
      </c>
      <c r="F22" s="12" t="n">
        <v>0.1398221566886839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South Mountain Mutual Water Company</t>
        </is>
      </c>
    </row>
    <row r="2">
      <c r="A2" s="2" t="inlineStr">
        <is>
          <t>Financial Statements - income statement, balance sheet, cash flow, member income test (USD)</t>
        </is>
      </c>
    </row>
    <row r="3">
      <c r="A3" s="2" t="inlineStr">
        <is>
          <t>Entity ID: cawc_0017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31431</v>
      </c>
      <c r="C19" s="11" t="n">
        <v>41920</v>
      </c>
      <c r="D19" s="11" t="n">
        <v>32084</v>
      </c>
      <c r="E19" s="11" t="n">
        <v>46371</v>
      </c>
      <c r="F19" s="11" t="n">
        <v>66094</v>
      </c>
    </row>
    <row r="21">
      <c r="A21" s="10" t="inlineStr">
        <is>
          <t>Net income</t>
        </is>
      </c>
      <c r="B21" s="11" t="n">
        <v>36435</v>
      </c>
      <c r="C21" s="11" t="n">
        <v>20297</v>
      </c>
      <c r="D21" s="11" t="n">
        <v>44252</v>
      </c>
      <c r="E21" s="11" t="n">
        <v>24352</v>
      </c>
      <c r="F21" s="11" t="n">
        <v>55758</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98122</v>
      </c>
      <c r="C27" s="9" t="n">
        <v>118419</v>
      </c>
      <c r="D27" s="9" t="n">
        <v>104455</v>
      </c>
      <c r="E27" s="9" t="n">
        <v>128807</v>
      </c>
      <c r="F27" s="9" t="n">
        <v>140310</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0</v>
      </c>
      <c r="C34" s="11" t="n">
        <v>0</v>
      </c>
      <c r="D34" s="11" t="n">
        <v>205441</v>
      </c>
      <c r="E34" s="11" t="n">
        <v>205441</v>
      </c>
      <c r="F34" s="11" t="n">
        <v>258468</v>
      </c>
    </row>
    <row r="35">
      <c r="A35" s="10" t="inlineStr">
        <is>
          <t>Total assets</t>
        </is>
      </c>
      <c r="B35" s="11" t="n">
        <v>98122</v>
      </c>
      <c r="C35" s="11" t="n">
        <v>118419</v>
      </c>
      <c r="D35" s="11" t="n">
        <v>309896</v>
      </c>
      <c r="E35" s="11" t="n">
        <v>334248</v>
      </c>
      <c r="F35" s="11" t="n">
        <v>398778</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8772</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98122</v>
      </c>
      <c r="C46" s="11" t="n">
        <v>118419</v>
      </c>
      <c r="D46" s="11" t="n">
        <v>309896</v>
      </c>
      <c r="E46" s="11" t="n">
        <v>334248</v>
      </c>
      <c r="F46" s="11" t="n">
        <v>390006</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36435</v>
      </c>
      <c r="C52" s="9" t="n">
        <v>20297</v>
      </c>
      <c r="D52" s="9" t="n">
        <v>44252</v>
      </c>
      <c r="E52" s="9" t="n">
        <v>24352</v>
      </c>
      <c r="F52" s="9" t="n">
        <v>55758</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20297</v>
      </c>
      <c r="D58" s="11" t="n">
        <v>44252</v>
      </c>
      <c r="E58" s="11" t="n">
        <v>24352</v>
      </c>
      <c r="F58" s="11" t="n">
        <v>55758</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20297</v>
      </c>
      <c r="D67" s="11" t="n">
        <v>-13964</v>
      </c>
      <c r="E67" s="11" t="n">
        <v>24352</v>
      </c>
      <c r="F67" s="11" t="n">
        <v>11503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South Mountain Mutual Water Company</t>
        </is>
      </c>
    </row>
    <row r="2">
      <c r="A2" s="2" t="inlineStr">
        <is>
          <t>Balance Sheet - as reported (USD, end of year)</t>
        </is>
      </c>
    </row>
    <row r="3">
      <c r="A3" s="2" t="inlineStr">
        <is>
          <t>Entity ID: cawc_0017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98122</v>
      </c>
      <c r="C7" s="9" t="n">
        <v>118419</v>
      </c>
      <c r="D7" s="9" t="n">
        <v>104455</v>
      </c>
      <c r="E7" s="9" t="n">
        <v>128807</v>
      </c>
      <c r="F7" s="9" t="n">
        <v>140310</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0</v>
      </c>
      <c r="C14" s="11" t="n">
        <v>0</v>
      </c>
      <c r="D14" s="11" t="n">
        <v>205441</v>
      </c>
      <c r="E14" s="11" t="n">
        <v>205441</v>
      </c>
      <c r="F14" s="11" t="n">
        <v>258468</v>
      </c>
    </row>
    <row r="15">
      <c r="A15" s="10" t="inlineStr">
        <is>
          <t>Total assets</t>
        </is>
      </c>
      <c r="B15" s="11" t="n">
        <v>98122</v>
      </c>
      <c r="C15" s="11" t="n">
        <v>118419</v>
      </c>
      <c r="D15" s="11" t="n">
        <v>309896</v>
      </c>
      <c r="E15" s="11" t="n">
        <v>334248</v>
      </c>
      <c r="F15" s="11" t="n">
        <v>398778</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8772</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98122</v>
      </c>
      <c r="C26" s="11" t="n">
        <v>118419</v>
      </c>
      <c r="D26" s="11" t="n">
        <v>309896</v>
      </c>
      <c r="E26" s="11" t="n">
        <v>334248</v>
      </c>
      <c r="F26" s="11" t="n">
        <v>390006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South Mountain Mutual Water Company</t>
        </is>
      </c>
    </row>
    <row r="2">
      <c r="A2" s="2" t="inlineStr">
        <is>
          <t>Form 990-EZ - Part I (revenue, expenses, net assets) and Part II (balance sheet), as filed (USD)</t>
        </is>
      </c>
    </row>
    <row r="3">
      <c r="A3" s="2" t="inlineStr">
        <is>
          <t>Entity ID: cawc_0017   |   Fiscal year ends December 31.</t>
        </is>
      </c>
    </row>
    <row r="5">
      <c r="A5" s="4" t="inlineStr">
        <is>
          <t>Form 990-EZ line</t>
        </is>
      </c>
      <c r="B5" s="5" t="inlineStr">
        <is>
          <t>FY2020</t>
        </is>
      </c>
      <c r="C5" s="5" t="inlineStr">
        <is>
          <t>FY2021</t>
        </is>
      </c>
      <c r="D5" s="5" t="inlineStr">
        <is>
          <t>FY2022</t>
        </is>
      </c>
      <c r="E5" s="5" t="inlineStr">
        <is>
          <t>FY2023</t>
        </is>
      </c>
      <c r="F5" s="5" t="inlineStr">
        <is>
          <t>FY2024</t>
        </is>
      </c>
    </row>
    <row r="6">
      <c r="A6" s="6" t="inlineStr">
        <is>
          <t>Revenue (Part I)</t>
        </is>
      </c>
      <c r="B6" s="7" t="n"/>
      <c r="C6" s="7" t="n"/>
      <c r="D6" s="7" t="n"/>
      <c r="E6" s="7" t="n"/>
      <c r="F6" s="7" t="n"/>
    </row>
    <row r="7">
      <c r="A7" s="8" t="inlineStr">
        <is>
          <t xml:space="preserve">    1. Contributions, gifts, grants</t>
        </is>
      </c>
      <c r="B7" s="14" t="inlineStr">
        <is>
          <t>not reported</t>
        </is>
      </c>
      <c r="C7" s="14" t="inlineStr">
        <is>
          <t>not reported</t>
        </is>
      </c>
      <c r="D7" s="14" t="inlineStr">
        <is>
          <t>not reported</t>
        </is>
      </c>
      <c r="E7" s="14" t="inlineStr">
        <is>
          <t>not reported</t>
        </is>
      </c>
      <c r="F7" s="9" t="n">
        <v>48272</v>
      </c>
    </row>
    <row r="8">
      <c r="A8" s="8" t="inlineStr">
        <is>
          <t xml:space="preserve">    3. Membership dues and assessments</t>
        </is>
      </c>
      <c r="B8" s="9" t="n">
        <v>67824</v>
      </c>
      <c r="C8" s="9" t="n">
        <v>62171</v>
      </c>
      <c r="D8" s="9" t="n">
        <v>76298</v>
      </c>
      <c r="E8" s="9" t="n">
        <v>70685</v>
      </c>
      <c r="F8" s="9" t="n">
        <v>73580</v>
      </c>
    </row>
    <row r="9">
      <c r="A9" s="8" t="inlineStr">
        <is>
          <t xml:space="preserve">    4. Investment income</t>
        </is>
      </c>
      <c r="B9" s="9" t="n">
        <v>42</v>
      </c>
      <c r="C9" s="9" t="n">
        <v>46</v>
      </c>
      <c r="D9" s="9" t="n">
        <v>38</v>
      </c>
      <c r="E9" s="9" t="n">
        <v>38</v>
      </c>
      <c r="F9" s="14" t="inlineStr">
        <is>
          <t>not reported</t>
        </is>
      </c>
    </row>
    <row r="10">
      <c r="A10" s="10" t="inlineStr">
        <is>
          <t>9. Total revenue</t>
        </is>
      </c>
      <c r="B10" s="11" t="n">
        <v>67866</v>
      </c>
      <c r="C10" s="11" t="n">
        <v>62217</v>
      </c>
      <c r="D10" s="11" t="n">
        <v>76336</v>
      </c>
      <c r="E10" s="11" t="n">
        <v>70723</v>
      </c>
      <c r="F10" s="11" t="n">
        <v>121852</v>
      </c>
    </row>
    <row r="12">
      <c r="A12" s="6" t="inlineStr">
        <is>
          <t>Expenses (Part I)</t>
        </is>
      </c>
      <c r="B12" s="7" t="n"/>
      <c r="C12" s="7" t="n"/>
      <c r="D12" s="7" t="n"/>
      <c r="E12" s="7" t="n"/>
      <c r="F12" s="7" t="n"/>
    </row>
    <row r="13">
      <c r="A13" s="8" t="inlineStr">
        <is>
          <t xml:space="preserve">    13. Fees for services (independent contractors)</t>
        </is>
      </c>
      <c r="B13" s="14" t="inlineStr">
        <is>
          <t>not reported</t>
        </is>
      </c>
      <c r="C13" s="9" t="n">
        <v>7885</v>
      </c>
      <c r="D13" s="14" t="inlineStr">
        <is>
          <t>not reported</t>
        </is>
      </c>
      <c r="E13" s="14" t="inlineStr">
        <is>
          <t>not reported</t>
        </is>
      </c>
      <c r="F13" s="14" t="inlineStr">
        <is>
          <t>not reported</t>
        </is>
      </c>
    </row>
    <row r="14">
      <c r="A14" s="8" t="inlineStr">
        <is>
          <t xml:space="preserve">    16. Other expenses</t>
        </is>
      </c>
      <c r="B14" s="9" t="n">
        <v>31431</v>
      </c>
      <c r="C14" s="9" t="n">
        <v>34035</v>
      </c>
      <c r="D14" s="9" t="n">
        <v>32084</v>
      </c>
      <c r="E14" s="9" t="n">
        <v>46371</v>
      </c>
      <c r="F14" s="9" t="n">
        <v>66094</v>
      </c>
    </row>
    <row r="15">
      <c r="A15" s="10" t="inlineStr">
        <is>
          <t>17. Total expenses</t>
        </is>
      </c>
      <c r="B15" s="11">
        <f>SUM(B13:B14)</f>
        <v/>
      </c>
      <c r="C15" s="11">
        <f>SUM(C13:C14)</f>
        <v/>
      </c>
      <c r="D15" s="11">
        <f>SUM(D13:D14)</f>
        <v/>
      </c>
      <c r="E15" s="11">
        <f>SUM(E13:E14)</f>
        <v/>
      </c>
      <c r="F15" s="11">
        <f>SUM(F13:F14)</f>
        <v/>
      </c>
    </row>
    <row r="17">
      <c r="A17" s="6" t="inlineStr">
        <is>
          <t>Net-assets reconciliation (Part I)</t>
        </is>
      </c>
      <c r="B17" s="7" t="n"/>
      <c r="C17" s="7" t="n"/>
      <c r="D17" s="7" t="n"/>
      <c r="E17" s="7" t="n"/>
      <c r="F17" s="7" t="n"/>
    </row>
    <row r="18">
      <c r="A18" s="8" t="inlineStr">
        <is>
          <t xml:space="preserve">    19. Net assets or fund balances, beginning of year</t>
        </is>
      </c>
      <c r="B18" s="9" t="n">
        <v>61687</v>
      </c>
      <c r="C18" s="9" t="n">
        <v>98122</v>
      </c>
      <c r="D18" s="9" t="n">
        <v>118419</v>
      </c>
      <c r="E18" s="9" t="n">
        <v>309896</v>
      </c>
      <c r="F18" s="9" t="n">
        <v>334248</v>
      </c>
    </row>
    <row r="19">
      <c r="A19" s="8" t="inlineStr">
        <is>
          <t xml:space="preserve">    18. Excess or (deficit) for the year</t>
        </is>
      </c>
      <c r="B19" s="9" t="n">
        <v>36435</v>
      </c>
      <c r="C19" s="9" t="n">
        <v>20297</v>
      </c>
      <c r="D19" s="9" t="n">
        <v>44252</v>
      </c>
      <c r="E19" s="9" t="n">
        <v>24352</v>
      </c>
      <c r="F19" s="9" t="n">
        <v>55758</v>
      </c>
    </row>
    <row r="20">
      <c r="A20" s="10" t="inlineStr">
        <is>
          <t>21. Net assets or fund balances, end of year</t>
        </is>
      </c>
      <c r="B20" s="11">
        <f>SUM(B18,B19)</f>
        <v/>
      </c>
      <c r="C20" s="11">
        <f>SUM(C18,C19)</f>
        <v/>
      </c>
      <c r="D20" s="11">
        <f>SUM(D18,D19)</f>
        <v/>
      </c>
      <c r="E20" s="11">
        <f>SUM(E18,E19)</f>
        <v/>
      </c>
      <c r="F20" s="11">
        <f>SUM(F18,F19)</f>
        <v/>
      </c>
    </row>
    <row r="22">
      <c r="A22" s="6" t="inlineStr">
        <is>
          <t>Balance sheet (Part II, end of year - column B)</t>
        </is>
      </c>
      <c r="B22" s="7" t="n"/>
      <c r="C22" s="7" t="n"/>
      <c r="D22" s="7" t="n"/>
      <c r="E22" s="7" t="n"/>
      <c r="F22" s="7" t="n"/>
    </row>
    <row r="23">
      <c r="A23" s="8" t="inlineStr">
        <is>
          <t xml:space="preserve">    22. Cash, savings, and investments</t>
        </is>
      </c>
      <c r="B23" s="9" t="n">
        <v>98122</v>
      </c>
      <c r="C23" s="9" t="n">
        <v>118419</v>
      </c>
      <c r="D23" s="9" t="n">
        <v>104455</v>
      </c>
      <c r="E23" s="9" t="n">
        <v>128807</v>
      </c>
      <c r="F23" s="9" t="n">
        <v>140310</v>
      </c>
    </row>
    <row r="24">
      <c r="A24" s="8" t="inlineStr">
        <is>
          <t xml:space="preserve">    23. Land and buildings</t>
        </is>
      </c>
      <c r="B24" s="9" t="n">
        <v>0</v>
      </c>
      <c r="C24" s="9" t="n">
        <v>0</v>
      </c>
      <c r="D24" s="9" t="n">
        <v>205441</v>
      </c>
      <c r="E24" s="9" t="n">
        <v>205441</v>
      </c>
      <c r="F24" s="9" t="n">
        <v>258468</v>
      </c>
    </row>
    <row r="25">
      <c r="A25" s="8" t="inlineStr">
        <is>
          <t xml:space="preserve">    24. Other assets</t>
        </is>
      </c>
      <c r="B25" s="9" t="n">
        <v>0</v>
      </c>
      <c r="C25" s="9" t="n">
        <v>0</v>
      </c>
      <c r="D25" s="9" t="n">
        <v>0</v>
      </c>
      <c r="E25" s="9" t="n">
        <v>0</v>
      </c>
      <c r="F25" s="9" t="n">
        <v>0</v>
      </c>
    </row>
    <row r="26">
      <c r="A26" s="10" t="inlineStr">
        <is>
          <t>25. Total assets</t>
        </is>
      </c>
      <c r="B26" s="11">
        <f>SUM(B23:B25)</f>
        <v/>
      </c>
      <c r="C26" s="11">
        <f>SUM(C23:C25)</f>
        <v/>
      </c>
      <c r="D26" s="11">
        <f>SUM(D23:D25)</f>
        <v/>
      </c>
      <c r="E26" s="11">
        <f>SUM(E23:E25)</f>
        <v/>
      </c>
      <c r="F26" s="11">
        <f>SUM(F23:F25)</f>
        <v/>
      </c>
    </row>
    <row r="27">
      <c r="A27" s="10" t="inlineStr">
        <is>
          <t>26. Total liabilities</t>
        </is>
      </c>
      <c r="B27" s="11" t="n">
        <v>0</v>
      </c>
      <c r="C27" s="11" t="n">
        <v>0</v>
      </c>
      <c r="D27" s="11" t="n">
        <v>0</v>
      </c>
      <c r="E27" s="11" t="n">
        <v>0</v>
      </c>
      <c r="F27" s="11" t="n">
        <v>8772</v>
      </c>
    </row>
    <row r="28">
      <c r="A28" s="10" t="inlineStr">
        <is>
          <t>27. Net assets or fund balances</t>
        </is>
      </c>
      <c r="B28" s="11" t="n">
        <v>98122</v>
      </c>
      <c r="C28" s="11" t="n">
        <v>118419</v>
      </c>
      <c r="D28" s="11" t="n">
        <v>309896</v>
      </c>
      <c r="E28" s="11" t="n">
        <v>334248</v>
      </c>
      <c r="F28" s="11" t="n">
        <v>390006</v>
      </c>
    </row>
    <row r="30" ht="42" customHeight="1">
      <c r="A30"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1:F1"/>
    <mergeCell ref="A30:F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South Mountain Mutual Water Company</t>
        </is>
      </c>
    </row>
    <row r="2">
      <c r="A2" s="2" t="inlineStr">
        <is>
          <t>Cash Flow Proxies - derived (USD)</t>
        </is>
      </c>
    </row>
    <row r="3">
      <c r="A3" s="2" t="inlineStr">
        <is>
          <t>Entity ID: cawc_0017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36435</v>
      </c>
      <c r="C9" s="9" t="n">
        <v>20297</v>
      </c>
      <c r="D9" s="9" t="n">
        <v>44252</v>
      </c>
      <c r="E9" s="9" t="n">
        <v>24352</v>
      </c>
      <c r="F9" s="9" t="n">
        <v>55758</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20297</v>
      </c>
      <c r="D15" s="11" t="n">
        <v>44252</v>
      </c>
      <c r="E15" s="11" t="n">
        <v>24352</v>
      </c>
      <c r="F15" s="11" t="n">
        <v>55758</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20297</v>
      </c>
      <c r="D24" s="11" t="n">
        <v>-13964</v>
      </c>
      <c r="E24" s="11" t="n">
        <v>24352</v>
      </c>
      <c r="F24" s="11" t="n">
        <v>11503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South Mountain Mutual Water Company</t>
        </is>
      </c>
    </row>
    <row r="2">
      <c r="A2" s="2" t="inlineStr">
        <is>
          <t>Financial Ratios</t>
        </is>
      </c>
    </row>
    <row r="3">
      <c r="A3" s="2" t="inlineStr">
        <is>
          <t>Entity ID: cawc_0017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0.5368667668641146</v>
      </c>
      <c r="C7" s="12" t="n">
        <v>0.3262291656621181</v>
      </c>
      <c r="D7" s="12" t="n">
        <v>0.579700272479564</v>
      </c>
      <c r="E7" s="12" t="n">
        <v>0.3443292846740099</v>
      </c>
      <c r="F7" s="12" t="n">
        <v>0.4575878935101599</v>
      </c>
    </row>
    <row r="8">
      <c r="A8" s="8" t="inlineStr">
        <is>
          <t xml:space="preserve">    Expense ratio (expenses / revenue)</t>
        </is>
      </c>
      <c r="B8" s="12" t="n">
        <v>0.4631332331358854</v>
      </c>
      <c r="C8" s="12" t="n">
        <v>0.6737708343378819</v>
      </c>
      <c r="D8" s="12" t="n">
        <v>0.420299727520436</v>
      </c>
      <c r="E8" s="12" t="n">
        <v>0.6556707153259901</v>
      </c>
      <c r="F8" s="12" t="n">
        <v>0.5424121064898402</v>
      </c>
    </row>
    <row r="9">
      <c r="A9" s="8" t="inlineStr">
        <is>
          <t xml:space="preserve">    Return on assets (NI / assets)</t>
        </is>
      </c>
      <c r="B9" s="12" t="n">
        <v>0.3713234544750413</v>
      </c>
      <c r="C9" s="12" t="n">
        <v>0.1713998598197924</v>
      </c>
      <c r="D9" s="12" t="n">
        <v>0.1427962929498929</v>
      </c>
      <c r="E9" s="12" t="n">
        <v>0.07285608290849908</v>
      </c>
      <c r="F9" s="12" t="n">
        <v>0.1398221566886839</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0.02199720145043107</v>
      </c>
    </row>
    <row r="14">
      <c r="A14" s="8" t="inlineStr">
        <is>
          <t xml:space="preserve">    Equity ratio (net assets / assets)</t>
        </is>
      </c>
      <c r="B14" s="12" t="n">
        <v>1</v>
      </c>
      <c r="C14" s="12" t="n">
        <v>1</v>
      </c>
      <c r="D14" s="12" t="n">
        <v>1</v>
      </c>
      <c r="E14" s="12" t="n">
        <v>1</v>
      </c>
      <c r="F14" s="12" t="n">
        <v>0.978002798549569</v>
      </c>
    </row>
    <row r="16">
      <c r="A16" s="6" t="inlineStr">
        <is>
          <t>Liquidity &amp; asset profile (derived here)</t>
        </is>
      </c>
      <c r="B16" s="7" t="n"/>
      <c r="C16" s="7" t="n"/>
      <c r="D16" s="7" t="n"/>
      <c r="E16" s="7" t="n"/>
      <c r="F16" s="7" t="n"/>
    </row>
    <row r="17">
      <c r="A17" s="8" t="inlineStr">
        <is>
          <t xml:space="preserve">    Current ratio (current assets / AP)</t>
        </is>
      </c>
      <c r="B17" s="15" t="n"/>
      <c r="C17" s="15" t="n"/>
      <c r="D17" s="15" t="n"/>
      <c r="E17" s="15" t="n"/>
      <c r="F17" s="15" t="n"/>
    </row>
    <row r="18">
      <c r="A18" s="8" t="inlineStr">
        <is>
          <t xml:space="preserve">    Cash ratio ((cash+temp inv.) / total liab.)</t>
        </is>
      </c>
      <c r="B18" s="15" t="n"/>
      <c r="C18" s="15" t="n"/>
      <c r="D18" s="15" t="n"/>
      <c r="E18" s="15" t="n"/>
      <c r="F18" s="15" t="n">
        <v>15.99521203830369</v>
      </c>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South Mountain Mutual Water Company</t>
        </is>
      </c>
    </row>
    <row r="2">
      <c r="A2" s="2" t="inlineStr">
        <is>
          <t>Unit economics - per-customer revenue by category (USD)</t>
        </is>
      </c>
    </row>
    <row r="3">
      <c r="A3" s="2" t="inlineStr">
        <is>
          <t>Entity ID: cawc_0017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South Mountain Mutual Water Company</t>
        </is>
      </c>
    </row>
    <row r="2">
      <c r="A2" s="2" t="inlineStr">
        <is>
          <t>Rate structure and representative bill - eAR Section 8a (RY2024)</t>
        </is>
      </c>
    </row>
    <row r="3">
      <c r="A3" s="2" t="inlineStr">
        <is>
          <t>Entity ID: cawc_0017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141" customHeight="1">
      <c r="A6" s="3" t="inlineStr">
        <is>
          <t>A filed eAR Section 8a rate schedule IS staged for this system, reporting year 2024, carrying a residential rate structure filed as "OtherRate", a volumetric unit of Gallons, a billing frequency of A. It carries no single-family residential charges grid (no base charge and no tier prices), so a representative monthly bill is not computable as a monthly bill for this system. Nothing here is estimated to fill the gap.</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South Mountain Mutual Water Company</t>
        </is>
      </c>
    </row>
    <row r="2">
      <c r="A2" s="2" t="inlineStr">
        <is>
          <t>Denominators and calendar alignment</t>
        </is>
      </c>
    </row>
    <row r="3">
      <c r="A3" s="2" t="inlineStr">
        <is>
          <t>Entity ID: cawc_0017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16" t="inlineStr">
        <is>
          <t>Customer (service connection)</t>
        </is>
      </c>
      <c r="B7" s="22" t="n">
        <v>27</v>
      </c>
      <c r="C7" s="18" t="inlineStr">
        <is>
          <t>State Water Board eAR Section 4 (CurTotalConnections), reporting year 2024</t>
        </is>
      </c>
    </row>
    <row r="8">
      <c r="A8" s="16" t="inlineStr">
        <is>
          <t>SDWIS service-connection count (different registry)</t>
        </is>
      </c>
      <c r="B8" s="22" t="n">
        <v>27</v>
      </c>
      <c r="C8" s="18" t="inlineStr"/>
    </row>
    <row r="9">
      <c r="A9" s="16" t="inlineStr">
        <is>
          <t>Member (shareholder)</t>
        </is>
      </c>
      <c r="B9" s="17" t="n"/>
      <c r="C9" s="18"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FY2020 (2020-12-31)</t>
        </is>
      </c>
      <c r="B14" s="22" t="n">
        <v>27</v>
      </c>
      <c r="C14" s="14" t="inlineStr">
        <is>
          <t>not reported</t>
        </is>
      </c>
      <c r="D14" s="22" t="n">
        <v>132.1</v>
      </c>
      <c r="E14" s="22" t="n">
        <v>74</v>
      </c>
      <c r="F14" s="22" t="n">
        <v>0</v>
      </c>
      <c r="G14" s="17" t="inlineStr">
        <is>
          <t>eAR annual total, calendar filer, equals fiscal year (not a monthly recast)</t>
        </is>
      </c>
    </row>
    <row r="15" ht="40" customHeight="1">
      <c r="A15" s="8" t="inlineStr">
        <is>
          <t>FY2021 (2021-12-31)</t>
        </is>
      </c>
      <c r="B15" s="22" t="n">
        <v>27</v>
      </c>
      <c r="C15" s="14" t="inlineStr">
        <is>
          <t>not reported</t>
        </is>
      </c>
      <c r="D15" s="22" t="n">
        <v>132.1</v>
      </c>
      <c r="E15" s="22" t="n">
        <v>93</v>
      </c>
      <c r="F15" s="22" t="n">
        <v>0</v>
      </c>
      <c r="G15" s="17" t="inlineStr">
        <is>
          <t>eAR annual total, calendar filer, equals fiscal year (not a monthly recast)</t>
        </is>
      </c>
    </row>
    <row r="16" ht="40" customHeight="1">
      <c r="A16" s="8" t="inlineStr">
        <is>
          <t>FY2022 (2022-12-31)</t>
        </is>
      </c>
      <c r="B16" s="22" t="n">
        <v>27</v>
      </c>
      <c r="C16" s="14" t="inlineStr">
        <is>
          <t>not reported</t>
        </is>
      </c>
      <c r="D16" s="22" t="n">
        <v>132.1</v>
      </c>
      <c r="E16" s="22" t="n">
        <v>94.90000000000001</v>
      </c>
      <c r="F16" s="22" t="n">
        <v>0</v>
      </c>
      <c r="G16" s="17" t="inlineStr">
        <is>
          <t>eAR annual total, calendar filer, equals fiscal year (not a monthly recast)</t>
        </is>
      </c>
    </row>
    <row r="17" ht="40" customHeight="1">
      <c r="A17" s="8" t="inlineStr">
        <is>
          <t>FY2023 (2023-12-31)</t>
        </is>
      </c>
      <c r="B17" s="22" t="n">
        <v>27</v>
      </c>
      <c r="C17" s="14" t="inlineStr">
        <is>
          <t>not reported</t>
        </is>
      </c>
      <c r="D17" s="22" t="n">
        <v>132.1</v>
      </c>
      <c r="E17" s="14" t="inlineStr">
        <is>
          <t>not reported</t>
        </is>
      </c>
      <c r="F17" s="14" t="inlineStr">
        <is>
          <t>not reported</t>
        </is>
      </c>
      <c r="G17" s="17" t="inlineStr">
        <is>
          <t>eAR annual total, calendar filer, equals fiscal year (not a monthly recast)</t>
        </is>
      </c>
    </row>
    <row r="18" ht="40" customHeight="1">
      <c r="A18" s="8" t="inlineStr">
        <is>
          <t>FY2024 (2024-12-31)</t>
        </is>
      </c>
      <c r="B18" s="22" t="n">
        <v>27</v>
      </c>
      <c r="C18" s="22" t="n">
        <v>58</v>
      </c>
      <c r="D18" s="22" t="n">
        <v>132.1</v>
      </c>
      <c r="E18" s="14" t="inlineStr">
        <is>
          <t>not reported</t>
        </is>
      </c>
      <c r="F18" s="14" t="inlineStr">
        <is>
          <t>not reported</t>
        </is>
      </c>
      <c r="G18" s="17" t="inlineStr">
        <is>
          <t>eAR annual total, calendar filer, equals fiscal year (not a monthly recast)</t>
        </is>
      </c>
    </row>
    <row r="20">
      <c r="A20" s="6" t="inlineStr">
        <is>
          <t>Connections by class - FY2024 (eAR Section 4)</t>
        </is>
      </c>
      <c r="B20" s="7" t="n"/>
      <c r="C20" s="7" t="n"/>
      <c r="D20" s="7" t="n"/>
      <c r="E20" s="7" t="n"/>
      <c r="F20" s="7" t="n"/>
      <c r="G20" s="7" t="n"/>
    </row>
    <row r="21">
      <c r="A21" s="16" t="inlineStr">
        <is>
          <t>Single-family residential</t>
        </is>
      </c>
      <c r="B21" s="22" t="n">
        <v>27</v>
      </c>
      <c r="C21" s="18"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2:G22"/>
    <mergeCell ref="A2:G2"/>
    <mergeCell ref="A10:G10"/>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South Mountain Mutual Water Company</t>
        </is>
      </c>
    </row>
    <row r="2">
      <c r="A2" s="2" t="inlineStr">
        <is>
          <t>Governance evidence status - Ostrom's eight design principles</t>
        </is>
      </c>
    </row>
    <row r="3">
      <c r="A3" s="2" t="inlineStr">
        <is>
          <t>Entity ID: cawc_0017   |   Fiscal year ends December 31.</t>
        </is>
      </c>
    </row>
    <row r="5">
      <c r="A5" s="23" t="inlineStr">
        <is>
          <t>Evidence summary: 3 documented, 3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19" t="inlineStr">
        <is>
          <t>DOCUMENTED</t>
        </is>
      </c>
      <c r="C10" s="17" t="inlineStr">
        <is>
          <t>The system is a defined public water system: 27 service connections over a State-published service-area boundary.</t>
        </is>
      </c>
      <c r="D10" s="17" t="inlineStr">
        <is>
          <t>SDWIS Community water system; SABL service-area boundary (verified); connections defined.</t>
        </is>
      </c>
      <c r="E10" s="24"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Verified, so its outer edge rests on that State layer.</t>
        </is>
      </c>
    </row>
    <row r="12" ht="46" customHeight="1">
      <c r="A12" s="8" t="inlineStr">
        <is>
          <t>Rules fit local conditions</t>
        </is>
      </c>
      <c r="B12" s="19" t="inlineStr">
        <is>
          <t>PARTIAL</t>
        </is>
      </c>
      <c r="C12" s="17" t="inlineStr">
        <is>
          <t>The system charges customers for water and reports a rate structure to the State, but the detailed basis is only partially documented.</t>
        </is>
      </c>
      <c r="D12" s="17" t="inlineStr">
        <is>
          <t>eAR Section 8a customer-charges block.</t>
        </is>
      </c>
      <c r="E12" s="24" t="inlineStr">
        <is>
          <t>[E]</t>
        </is>
      </c>
    </row>
    <row r="13" ht="81" customHeight="1">
      <c r="A13" s="3" t="inlineStr">
        <is>
          <t>What the record shows: The eAR documents that the system charges for water and reports a rate structure, so charges are tied to service. The detailed basis (metered tiers versus shares or parcels) is only partially documented for a system this small, so the proportionality evidence is incomplete.</t>
        </is>
      </c>
    </row>
    <row r="14" ht="46" customHeight="1">
      <c r="A14" s="8" t="inlineStr">
        <is>
          <t>Collective-choice arrangements</t>
        </is>
      </c>
      <c r="B14" s="19" t="inlineStr">
        <is>
          <t>PARTIAL</t>
        </is>
      </c>
      <c r="C14" s="17" t="inlineStr">
        <is>
          <t>As a mutual it is owned by its customer-shareholders who elect the board, but specific board membership and votes are not documented.</t>
        </is>
      </c>
      <c r="D14" s="17" t="inlineStr">
        <is>
          <t>Mutual (501(c)(12)) ownership structure; Form 990 governance section.</t>
        </is>
      </c>
      <c r="E14" s="24" t="inlineStr">
        <is>
          <t>[990][SOS]</t>
        </is>
      </c>
    </row>
    <row r="15" ht="150" customHeight="1">
      <c r="A15" s="3" t="inlineStr">
        <is>
          <t>What the record shows: The mutual-company form documents that customers are shareholders who elect the directors, so a collective-choice mechanism exists on paper. No record of the specific board, elections, or member votes was found, so the evidence is partial. The specific board is now on the record: the Statement of Information filed 7/2/2026 names 1 director and 3 officers, transcribed as filed. That closes one of the gaps named above. It does NOT close the others: a filed roster shows who governs, not how members choose them, and carries no election, turnout or member vote. The evidence status therefore stays PARTIAL, because what this principle asks about is member participation and that remains undocumented.</t>
        </is>
      </c>
    </row>
    <row r="16" ht="46" customHeight="1">
      <c r="A16" s="8" t="inlineStr">
        <is>
          <t>Monitoring</t>
        </is>
      </c>
      <c r="B16" s="19" t="inlineStr">
        <is>
          <t>DOCUMENTED</t>
        </is>
      </c>
      <c r="C16" s="17" t="inlineStr">
        <is>
          <t>The system is metered and monitored: the State SAFER risk assessment shows it Not Failing, and it files an annual eAR.</t>
        </is>
      </c>
      <c r="D16" s="17" t="inlineStr">
        <is>
          <t>SAFER Not Failing; annual eAR reporting; metered connections.</t>
        </is>
      </c>
      <c r="E16" s="24"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19" t="inlineStr">
        <is>
          <t>NOT DOCUMENTED</t>
        </is>
      </c>
      <c r="C18" s="17" t="inlineStr">
        <is>
          <t>No published shut-off, penalty, or delinquency policy was found for this system.</t>
        </is>
      </c>
      <c r="D18" s="17" t="inlineStr">
        <is>
          <t>No sourced sanctions policy.</t>
        </is>
      </c>
      <c r="E18" s="24"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19" t="inlineStr">
        <is>
          <t>NOT DOCUMENTED</t>
        </is>
      </c>
      <c r="C20" s="17" t="inlineStr">
        <is>
          <t>No published bylaws, dispute procedure, or grievance mechanism was found for this system.</t>
        </is>
      </c>
      <c r="D20" s="17" t="inlineStr">
        <is>
          <t>No sourced conflict-resolution record.</t>
        </is>
      </c>
      <c r="E20" s="24"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19" t="inlineStr">
        <is>
          <t>DOCUMENTED</t>
        </is>
      </c>
      <c r="C22" s="17" t="inlineStr">
        <is>
          <t>An incorporated California mutual water company recognized by the IRS (501(c)(12)) and by the State Water Board as a public water system.</t>
        </is>
      </c>
      <c r="D22" s="17" t="inlineStr">
        <is>
          <t>IRS 501(c)(12) exempt filer (Form 990); SDWIS public water system.</t>
        </is>
      </c>
      <c r="E22" s="24"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0494202, first registered 07/19/1965, status as filed "Active", with a governing body named in the Statement of Information filed 7/2/2026.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19" t="inlineStr">
        <is>
          <t>PARTIAL</t>
        </is>
      </c>
      <c r="C24" s="17" t="inlineStr">
        <is>
          <t>The system draws on a shared local groundwater basin, embedding it in a larger physical water system, though its role in basin governance is not documented.</t>
        </is>
      </c>
      <c r="D24" s="17" t="inlineStr">
        <is>
          <t>SDWIS Primary Water Source Type: groundwater (shared basin).</t>
        </is>
      </c>
      <c r="E24" s="24"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South Mountain Mutual Water Company</t>
        </is>
      </c>
    </row>
    <row r="2">
      <c r="A2" s="2" t="inlineStr">
        <is>
          <t>Operational metrics - plant per acre, density, terrain</t>
        </is>
      </c>
    </row>
    <row r="3">
      <c r="A3" s="2" t="inlineStr">
        <is>
          <t>Entity ID: cawc_0017   |   Fiscal year ends December 31.</t>
        </is>
      </c>
    </row>
    <row r="5">
      <c r="A5" s="6" t="inlineStr">
        <is>
          <t>Connections per acre</t>
        </is>
      </c>
      <c r="B5" s="7" t="n"/>
      <c r="C5" s="7" t="n"/>
    </row>
    <row r="6">
      <c r="A6" s="16" t="inlineStr">
        <is>
          <t>Connections per acre</t>
        </is>
      </c>
      <c r="B6" s="15" t="n">
        <v>0.2</v>
      </c>
      <c r="C6" s="18" t="inlineStr">
        <is>
          <t>27 connections / 132.1 acres. CA State Water Board SABL SERVICE_CONNECTIONS; Geodesic area (WGS84 spherical excess) of the SABL service-area polygon.</t>
        </is>
      </c>
    </row>
    <row r="8">
      <c r="A8" s="6" t="inlineStr">
        <is>
          <t>Who they are</t>
        </is>
      </c>
      <c r="B8" s="7" t="n"/>
      <c r="C8" s="7" t="n"/>
    </row>
    <row r="9">
      <c r="A9" s="16" t="inlineStr">
        <is>
          <t>Terrain class</t>
        </is>
      </c>
      <c r="B9" s="17" t="inlineStr">
        <is>
          <t>other</t>
        </is>
      </c>
      <c r="C9" s="18" t="inlineStr">
        <is>
          <t>Company context page (BLUEPRINT 5B)</t>
        </is>
      </c>
    </row>
    <row r="10" ht="111" customHeight="1">
      <c r="A10" s="3" t="inlineStr">
        <is>
          <t>A small mutual water company (501(c)(12)) serving about 27 service connections and roughly 58 residents on South Mountain Road south of the Santa Clara River near Santa Paula, Ventura County, on ranch and hillside terrain.</t>
        </is>
      </c>
    </row>
  </sheetData>
  <mergeCells count="4">
    <mergeCell ref="A1:C1"/>
    <mergeCell ref="A3:C3"/>
    <mergeCell ref="A2:C2"/>
    <mergeCell ref="A10:C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South Mountain Mutual Water Company</t>
        </is>
      </c>
    </row>
    <row r="2">
      <c r="A2" s="2" t="inlineStr">
        <is>
          <t>Supply and weather indicators (DWR water year)</t>
        </is>
      </c>
    </row>
    <row r="3">
      <c r="A3" s="2" t="inlineStr">
        <is>
          <t>Entity ID: cawc_0017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4" t="inlineStr">
        <is>
          <t>Dry</t>
        </is>
      </c>
      <c r="C8" s="24" t="inlineStr">
        <is>
          <t>Critical</t>
        </is>
      </c>
      <c r="D8" s="24" t="inlineStr">
        <is>
          <t>Critical</t>
        </is>
      </c>
      <c r="E8" s="24" t="inlineStr">
        <is>
          <t>Wet</t>
        </is>
      </c>
      <c r="F8" s="24" t="inlineStr">
        <is>
          <t>Above Normal</t>
        </is>
      </c>
    </row>
    <row r="9">
      <c r="A9" s="8" t="inlineStr">
        <is>
          <t>Peak drought, Ventura County</t>
        </is>
      </c>
      <c r="B9" s="24" t="inlineStr">
        <is>
          <t>D1</t>
        </is>
      </c>
      <c r="C9" s="24" t="inlineStr">
        <is>
          <t>D4</t>
        </is>
      </c>
      <c r="D9" s="24" t="inlineStr">
        <is>
          <t>D4</t>
        </is>
      </c>
      <c r="E9" s="24" t="inlineStr">
        <is>
          <t>D3</t>
        </is>
      </c>
      <c r="F9" s="24" t="inlineStr">
        <is>
          <t>None (no D0-D4 during the fiscal year)</t>
        </is>
      </c>
    </row>
    <row r="10">
      <c r="A10" s="8" t="inlineStr">
        <is>
          <t>Precip, percent of normal (8-Station Index)</t>
        </is>
      </c>
      <c r="B10" s="24" t="inlineStr">
        <is>
          <t>63</t>
        </is>
      </c>
      <c r="C10" s="24" t="inlineStr">
        <is>
          <t>48</t>
        </is>
      </c>
      <c r="D10" s="24" t="inlineStr">
        <is>
          <t>86</t>
        </is>
      </c>
      <c r="E10" s="24" t="inlineStr">
        <is>
          <t>133</t>
        </is>
      </c>
      <c r="F10" s="24" t="inlineStr">
        <is>
          <t>96</t>
        </is>
      </c>
    </row>
    <row r="11">
      <c r="A11" s="8" t="inlineStr">
        <is>
          <t>Snowpack, April 1 percent of average</t>
        </is>
      </c>
      <c r="B11" s="24" t="inlineStr">
        <is>
          <t>53%</t>
        </is>
      </c>
      <c r="C11" s="24" t="inlineStr">
        <is>
          <t>59%</t>
        </is>
      </c>
      <c r="D11" s="24" t="inlineStr">
        <is>
          <t>38%</t>
        </is>
      </c>
      <c r="E11" s="24" t="inlineStr">
        <is>
          <t>237%</t>
        </is>
      </c>
      <c r="F11" s="24" t="inlineStr">
        <is>
          <t>110%</t>
        </is>
      </c>
    </row>
    <row r="12">
      <c r="A12" s="8" t="inlineStr">
        <is>
          <t>State Water Project allocation</t>
        </is>
      </c>
      <c r="B12" s="24" t="inlineStr">
        <is>
          <t>20%</t>
        </is>
      </c>
      <c r="C12" s="24" t="inlineStr">
        <is>
          <t>5%</t>
        </is>
      </c>
      <c r="D12" s="24" t="inlineStr">
        <is>
          <t>5%</t>
        </is>
      </c>
      <c r="E12" s="24" t="inlineStr">
        <is>
          <t>100%</t>
        </is>
      </c>
      <c r="F12" s="24"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South Mountain Mutual Water Company</t>
        </is>
      </c>
    </row>
    <row r="2">
      <c r="A2" s="2" t="inlineStr">
        <is>
          <t>How this was built - forensic lineage</t>
        </is>
      </c>
    </row>
    <row r="3">
      <c r="A3" s="2" t="inlineStr">
        <is>
          <t>Entity ID: cawc_0017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South Mountain Mutual Water Company</t>
        </is>
      </c>
    </row>
    <row r="2">
      <c r="A2" s="2" t="inlineStr">
        <is>
          <t>Water Operations (sourced outside the financial filings)</t>
        </is>
      </c>
    </row>
    <row r="3">
      <c r="A3" s="2" t="inlineStr">
        <is>
          <t>Entity ID: cawc_0017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17" t="inlineStr">
        <is>
          <t>Potable (community drinking water)</t>
        </is>
      </c>
      <c r="C8" s="8" t="inlineStr">
        <is>
          <t>SDWIS Drinking Water Watch (State Water Board)</t>
        </is>
      </c>
      <c r="D8" s="24" t="n">
        <v>2024</v>
      </c>
      <c r="E8" s="8" t="inlineStr">
        <is>
          <t>high</t>
        </is>
      </c>
      <c r="F8" s="17" t="inlineStr">
        <is>
          <t>SOUTH MOUNTAIN MUTUAL WATER CO: State Water System Type = Community.</t>
        </is>
      </c>
    </row>
    <row r="9" ht="42" customHeight="1">
      <c r="A9" s="8" t="inlineStr">
        <is>
          <t>Source mix</t>
        </is>
      </c>
      <c r="B9" s="17" t="inlineStr">
        <is>
          <t>Primary source: local groundwater wells (SDWIS Primary Water Source Type: Groundwater). SDWIS classifies the primary supply type; it states no acre-foot volume by source.</t>
        </is>
      </c>
      <c r="C9" s="8" t="inlineStr">
        <is>
          <t>SDWIS Drinking Water Watch (State Water Board)</t>
        </is>
      </c>
      <c r="D9" s="24" t="n">
        <v>2024</v>
      </c>
      <c r="E9" s="8" t="inlineStr">
        <is>
          <t>high</t>
        </is>
      </c>
      <c r="F9" s="17" t="inlineStr">
        <is>
          <t>SOUTH MOUNTAIN MUTUAL WATER CO: Primary Water Source Type = Groundwater.</t>
        </is>
      </c>
    </row>
    <row r="10" ht="42" customHeight="1">
      <c r="A10" s="8" t="inlineStr">
        <is>
          <t>Service connections (total)</t>
        </is>
      </c>
      <c r="B10" s="17" t="inlineStr">
        <is>
          <t>27 connections</t>
        </is>
      </c>
      <c r="C10" s="8" t="inlineStr">
        <is>
          <t>SDWIS Drinking Water Watch (State Water Board)</t>
        </is>
      </c>
      <c r="D10" s="24" t="n">
        <v>2024</v>
      </c>
      <c r="E10" s="8" t="inlineStr">
        <is>
          <t>high</t>
        </is>
      </c>
      <c r="F10" s="17" t="inlineStr">
        <is>
          <t>SOUTH MOUNTAIN MUTUAL WATER CO: Total Number of Service Connections = 27.  [cross-source: SDWIS connection snapshot; the eAR reports active service connections on its own basis and per reporting year. Both preserved, not reconciled.]</t>
        </is>
      </c>
    </row>
    <row r="11" ht="42" customHeight="1">
      <c r="A11" s="8" t="inlineStr">
        <is>
          <t>Connections by class</t>
        </is>
      </c>
      <c r="B11" s="17" t="inlineStr">
        <is>
          <t>Service connections by type (SDWIS snapshot): Residential 27; Total 27.</t>
        </is>
      </c>
      <c r="C11" s="8" t="inlineStr">
        <is>
          <t>SDWIS Drinking Water Watch (State Water Board)</t>
        </is>
      </c>
      <c r="D11" s="24" t="n">
        <v>2024</v>
      </c>
      <c r="E11" s="8" t="inlineStr">
        <is>
          <t>high</t>
        </is>
      </c>
      <c r="F11" s="17" t="inlineStr">
        <is>
          <t>SOUTH MOUNTAIN MUTUAL WATER CO: connections by type - Residential 27; Total 27.</t>
        </is>
      </c>
    </row>
    <row r="12" ht="42" customHeight="1">
      <c r="A12" s="8" t="inlineStr">
        <is>
          <t>Population served</t>
        </is>
      </c>
      <c r="B12" s="17" t="inlineStr">
        <is>
          <t>58 residents</t>
        </is>
      </c>
      <c r="C12" s="8" t="inlineStr">
        <is>
          <t>SDWIS Drinking Water Watch (State Water Board)</t>
        </is>
      </c>
      <c r="D12" s="24" t="n">
        <v>2024</v>
      </c>
      <c r="E12" s="8" t="inlineStr">
        <is>
          <t>high</t>
        </is>
      </c>
      <c r="F12" s="17" t="inlineStr">
        <is>
          <t>SOUTH MOUNTAIN MUTUAL WATER CO: Total Population = 58.</t>
        </is>
      </c>
    </row>
    <row r="13" ht="42" customHeight="1">
      <c r="A13" s="8" t="inlineStr">
        <is>
          <t>Treatment and water quality</t>
        </is>
      </c>
      <c r="B13" s="17" t="inlineStr">
        <is>
          <t>Operator certification on file: Treatment or distribution operator of any grade; Distribution Operator Level 1. SDWIS states operator grades, not the treatment process detail.</t>
        </is>
      </c>
      <c r="C13" s="8" t="inlineStr">
        <is>
          <t>SDWIS Drinking Water Watch (State Water Board)</t>
        </is>
      </c>
      <c r="D13" s="24" t="n">
        <v>2024</v>
      </c>
      <c r="E13" s="8" t="inlineStr">
        <is>
          <t>high</t>
        </is>
      </c>
      <c r="F13" s="17" t="inlineStr">
        <is>
          <t>SOUTH MOUNTAIN MUTUAL WATER CO: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18" t="inlineStr">
        <is>
          <t>not reported - needs annual volume in acre-feet (State Water Board eAR Section 6 or company production records); the CCR states only a percentage mix</t>
        </is>
      </c>
      <c r="C16" s="25" t="n"/>
      <c r="D16" s="25" t="n"/>
      <c r="E16" s="25" t="n"/>
      <c r="F16" s="25" t="n"/>
    </row>
    <row r="17" ht="30" customHeight="1">
      <c r="A17" s="8" t="inlineStr">
        <is>
          <t>Customer classes served</t>
        </is>
      </c>
      <c r="B17" s="18" t="inlineStr">
        <is>
          <t>not reported - needs the State Water Board eAR or the system CCR</t>
        </is>
      </c>
      <c r="C17" s="25" t="n"/>
      <c r="D17" s="25" t="n"/>
      <c r="E17" s="25" t="n"/>
      <c r="F17" s="25" t="n"/>
    </row>
  </sheetData>
  <mergeCells count="4">
    <mergeCell ref="A3:F3"/>
    <mergeCell ref="A2:F2"/>
    <mergeCell ref="A1:F1"/>
    <mergeCell ref="A5:F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0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South Mountain Mutual Water Company</t>
        </is>
      </c>
    </row>
    <row r="2">
      <c r="A2" s="2" t="inlineStr">
        <is>
          <t>Sources &amp; audit - full provenance and tie-outs (kept off the statements so they read clean)</t>
        </is>
      </c>
    </row>
    <row r="3">
      <c r="A3" s="2" t="inlineStr">
        <is>
          <t>Entity ID: cawc_0017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4" t="inlineStr">
        <is>
          <t>FY2020</t>
        </is>
      </c>
      <c r="B10" s="8" t="inlineStr">
        <is>
          <t>2020-12-31</t>
        </is>
      </c>
      <c r="C10" s="8" t="inlineStr">
        <is>
          <t>990-EZ</t>
        </is>
      </c>
      <c r="D10" s="8" t="inlineStr">
        <is>
          <t>high</t>
        </is>
      </c>
      <c r="E10" s="8" t="inlineStr">
        <is>
          <t>4727640f-1ec2-4ef0-8914-d777c96c687e</t>
        </is>
      </c>
      <c r="F10" s="8" t="inlineStr">
        <is>
          <t>202140789349200924</t>
        </is>
      </c>
      <c r="G10" s="8" t="inlineStr">
        <is>
          <t>claude-opus-5</t>
        </is>
      </c>
      <c r="H10" s="8" t="inlineStr">
        <is>
          <t>2026-09-14T20:40:23+00:00</t>
        </is>
      </c>
      <c r="I10" s="8" t="inlineStr">
        <is>
          <t>https://apps.irs.gov/pub/epostcard/990/xml/2021/2021_TEOS_XML_01A.zip#202140789349200924_public.xml</t>
        </is>
      </c>
    </row>
    <row r="11">
      <c r="A11" s="24" t="inlineStr">
        <is>
          <t>FY2021</t>
        </is>
      </c>
      <c r="B11" s="8" t="inlineStr">
        <is>
          <t>2021-12-31</t>
        </is>
      </c>
      <c r="C11" s="8" t="inlineStr">
        <is>
          <t>990-EZ</t>
        </is>
      </c>
      <c r="D11" s="8" t="inlineStr">
        <is>
          <t>high</t>
        </is>
      </c>
      <c r="E11" s="8" t="inlineStr">
        <is>
          <t>83d6237b-f606-4a0e-bbf9-fcc7ca2d6599</t>
        </is>
      </c>
      <c r="F11" s="8" t="inlineStr">
        <is>
          <t>202221059349201677</t>
        </is>
      </c>
      <c r="G11" s="8" t="inlineStr">
        <is>
          <t>claude-opus-5</t>
        </is>
      </c>
      <c r="H11" s="8" t="inlineStr">
        <is>
          <t>2026-09-14T20:40:23+00:00</t>
        </is>
      </c>
      <c r="I11" s="8" t="inlineStr">
        <is>
          <t>https://apps.irs.gov/pub/epostcard/990/xml/2022/2022_TEOS_XML_01A.zip#202221059349201677_public.xml</t>
        </is>
      </c>
    </row>
    <row r="12">
      <c r="A12" s="24" t="inlineStr">
        <is>
          <t>FY2022</t>
        </is>
      </c>
      <c r="B12" s="8" t="inlineStr">
        <is>
          <t>2022-12-31</t>
        </is>
      </c>
      <c r="C12" s="8" t="inlineStr">
        <is>
          <t>990-EZ</t>
        </is>
      </c>
      <c r="D12" s="8" t="inlineStr">
        <is>
          <t>high</t>
        </is>
      </c>
      <c r="E12" s="8" t="inlineStr">
        <is>
          <t>0014eabd-afd0-458f-9cee-29a7df38a4a4</t>
        </is>
      </c>
      <c r="F12" s="8" t="inlineStr">
        <is>
          <t>202320589349201612</t>
        </is>
      </c>
      <c r="G12" s="8" t="inlineStr">
        <is>
          <t>claude-opus-5</t>
        </is>
      </c>
      <c r="H12" s="8" t="inlineStr">
        <is>
          <t>2026-09-14T20:40:23+00:00</t>
        </is>
      </c>
      <c r="I12" s="8" t="inlineStr">
        <is>
          <t>https://apps.irs.gov/pub/epostcard/990/xml/2023/2023_TEOS_XML_03A.zip#202320589349201612_public.xml</t>
        </is>
      </c>
    </row>
    <row r="13">
      <c r="A13" s="24" t="inlineStr">
        <is>
          <t>FY2023</t>
        </is>
      </c>
      <c r="B13" s="8" t="inlineStr">
        <is>
          <t>2023-12-31</t>
        </is>
      </c>
      <c r="C13" s="8" t="inlineStr">
        <is>
          <t>990-EZ</t>
        </is>
      </c>
      <c r="D13" s="8" t="inlineStr">
        <is>
          <t>high</t>
        </is>
      </c>
      <c r="E13" s="8" t="inlineStr">
        <is>
          <t>236fb461-b472-4c20-817e-28bf9be61bb5</t>
        </is>
      </c>
      <c r="F13" s="8" t="inlineStr">
        <is>
          <t>202411039349202041</t>
        </is>
      </c>
      <c r="G13" s="8" t="inlineStr">
        <is>
          <t>claude-opus-5</t>
        </is>
      </c>
      <c r="H13" s="8" t="inlineStr">
        <is>
          <t>2026-09-14T20:40:23+00:00</t>
        </is>
      </c>
      <c r="I13" s="8" t="inlineStr">
        <is>
          <t>https://apps.irs.gov/pub/epostcard/990/xml/2024/2024_TEOS_XML_04A.zip#202411039349202041_public.xml</t>
        </is>
      </c>
    </row>
    <row r="14">
      <c r="A14" s="24" t="inlineStr">
        <is>
          <t>FY2024</t>
        </is>
      </c>
      <c r="B14" s="8" t="inlineStr">
        <is>
          <t>2024-12-31</t>
        </is>
      </c>
      <c r="C14" s="8" t="inlineStr">
        <is>
          <t>990-EZ</t>
        </is>
      </c>
      <c r="D14" s="8" t="inlineStr">
        <is>
          <t>high</t>
        </is>
      </c>
      <c r="E14" s="8" t="inlineStr">
        <is>
          <t>c26c4b62-143e-4180-9f4d-c43a2fb26624</t>
        </is>
      </c>
      <c r="F14" s="8" t="inlineStr">
        <is>
          <t>202540939349201104</t>
        </is>
      </c>
      <c r="G14" s="8" t="inlineStr">
        <is>
          <t>claude-opus-5</t>
        </is>
      </c>
      <c r="H14" s="8" t="inlineStr">
        <is>
          <t>2026-09-14T20:40:23+00:00</t>
        </is>
      </c>
      <c r="I14" s="8" t="inlineStr">
        <is>
          <t>https://apps.irs.gov/pub/epostcard/990/xml/2025/2025_TEOS_XML_04A.zip#202540939349201104_public.xml</t>
        </is>
      </c>
    </row>
    <row r="16">
      <c r="A16" s="23"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F7</t>
        </is>
      </c>
      <c r="C18" s="8" t="inlineStr">
        <is>
          <t>1. Contributions, gifts, grants</t>
        </is>
      </c>
      <c r="D18" s="8" t="inlineStr">
        <is>
          <t>Part I line 1</t>
        </is>
      </c>
      <c r="E18" s="8" t="inlineStr">
        <is>
          <t>part_i_revenue_expenses.contributions_grants</t>
        </is>
      </c>
      <c r="F18" s="8" t="inlineStr">
        <is>
          <t>high</t>
        </is>
      </c>
      <c r="G18" s="9" t="n">
        <v>48272</v>
      </c>
    </row>
    <row r="19">
      <c r="A19" s="8" t="inlineStr">
        <is>
          <t>Form 990-EZ Parts I &amp; II</t>
        </is>
      </c>
      <c r="B19" s="8" t="inlineStr">
        <is>
          <t>B8</t>
        </is>
      </c>
      <c r="C19" s="8" t="inlineStr">
        <is>
          <t>3. Membership dues and assessments</t>
        </is>
      </c>
      <c r="D19" s="8" t="inlineStr">
        <is>
          <t>Part I line 3</t>
        </is>
      </c>
      <c r="E19" s="8" t="inlineStr">
        <is>
          <t>part_i_revenue_expenses.membership_dues</t>
        </is>
      </c>
      <c r="F19" s="8" t="inlineStr">
        <is>
          <t>high</t>
        </is>
      </c>
      <c r="G19" s="9" t="n">
        <v>67824</v>
      </c>
    </row>
    <row r="20">
      <c r="A20" s="8" t="inlineStr">
        <is>
          <t>Form 990-EZ Parts I &amp; II</t>
        </is>
      </c>
      <c r="B20" s="8" t="inlineStr">
        <is>
          <t>C8</t>
        </is>
      </c>
      <c r="C20" s="8" t="inlineStr">
        <is>
          <t>3. Membership dues and assessments</t>
        </is>
      </c>
      <c r="D20" s="8" t="inlineStr">
        <is>
          <t>Part I line 3</t>
        </is>
      </c>
      <c r="E20" s="8" t="inlineStr">
        <is>
          <t>part_i_revenue_expenses.membership_dues</t>
        </is>
      </c>
      <c r="F20" s="8" t="inlineStr">
        <is>
          <t>high</t>
        </is>
      </c>
      <c r="G20" s="9" t="n">
        <v>62171</v>
      </c>
    </row>
    <row r="21">
      <c r="A21" s="8" t="inlineStr">
        <is>
          <t>Form 990-EZ Parts I &amp; II</t>
        </is>
      </c>
      <c r="B21" s="8" t="inlineStr">
        <is>
          <t>D8</t>
        </is>
      </c>
      <c r="C21" s="8" t="inlineStr">
        <is>
          <t>3. Membership dues and assessments</t>
        </is>
      </c>
      <c r="D21" s="8" t="inlineStr">
        <is>
          <t>Part I line 3</t>
        </is>
      </c>
      <c r="E21" s="8" t="inlineStr">
        <is>
          <t>part_i_revenue_expenses.membership_dues</t>
        </is>
      </c>
      <c r="F21" s="8" t="inlineStr">
        <is>
          <t>high</t>
        </is>
      </c>
      <c r="G21" s="9" t="n">
        <v>76298</v>
      </c>
    </row>
    <row r="22">
      <c r="A22" s="8" t="inlineStr">
        <is>
          <t>Form 990-EZ Parts I &amp; II</t>
        </is>
      </c>
      <c r="B22" s="8" t="inlineStr">
        <is>
          <t>E8</t>
        </is>
      </c>
      <c r="C22" s="8" t="inlineStr">
        <is>
          <t>3. Membership dues and assessments</t>
        </is>
      </c>
      <c r="D22" s="8" t="inlineStr">
        <is>
          <t>Part I line 3</t>
        </is>
      </c>
      <c r="E22" s="8" t="inlineStr">
        <is>
          <t>part_i_revenue_expenses.membership_dues</t>
        </is>
      </c>
      <c r="F22" s="8" t="inlineStr">
        <is>
          <t>high</t>
        </is>
      </c>
      <c r="G22" s="9" t="n">
        <v>70685</v>
      </c>
    </row>
    <row r="23">
      <c r="A23" s="8" t="inlineStr">
        <is>
          <t>Form 990-EZ Parts I &amp; II</t>
        </is>
      </c>
      <c r="B23" s="8" t="inlineStr">
        <is>
          <t>F8</t>
        </is>
      </c>
      <c r="C23" s="8" t="inlineStr">
        <is>
          <t>3. Membership dues and assessments</t>
        </is>
      </c>
      <c r="D23" s="8" t="inlineStr">
        <is>
          <t>Part I line 3</t>
        </is>
      </c>
      <c r="E23" s="8" t="inlineStr">
        <is>
          <t>part_i_revenue_expenses.membership_dues</t>
        </is>
      </c>
      <c r="F23" s="8" t="inlineStr">
        <is>
          <t>high</t>
        </is>
      </c>
      <c r="G23" s="9" t="n">
        <v>73580</v>
      </c>
    </row>
    <row r="24">
      <c r="A24" s="8" t="inlineStr">
        <is>
          <t>Form 990-EZ Parts I &amp; II</t>
        </is>
      </c>
      <c r="B24" s="8" t="inlineStr">
        <is>
          <t>B9</t>
        </is>
      </c>
      <c r="C24" s="8" t="inlineStr">
        <is>
          <t>4. Investment income</t>
        </is>
      </c>
      <c r="D24" s="8" t="inlineStr">
        <is>
          <t>Part I line 4</t>
        </is>
      </c>
      <c r="E24" s="8" t="inlineStr">
        <is>
          <t>part_i_revenue_expenses.investment_income</t>
        </is>
      </c>
      <c r="F24" s="8" t="inlineStr">
        <is>
          <t>high</t>
        </is>
      </c>
      <c r="G24" s="9" t="n">
        <v>42</v>
      </c>
    </row>
    <row r="25">
      <c r="A25" s="8" t="inlineStr">
        <is>
          <t>Form 990-EZ Parts I &amp; II</t>
        </is>
      </c>
      <c r="B25" s="8" t="inlineStr">
        <is>
          <t>C9</t>
        </is>
      </c>
      <c r="C25" s="8" t="inlineStr">
        <is>
          <t>4. Investment income</t>
        </is>
      </c>
      <c r="D25" s="8" t="inlineStr">
        <is>
          <t>Part I line 4</t>
        </is>
      </c>
      <c r="E25" s="8" t="inlineStr">
        <is>
          <t>part_i_revenue_expenses.investment_income</t>
        </is>
      </c>
      <c r="F25" s="8" t="inlineStr">
        <is>
          <t>high</t>
        </is>
      </c>
      <c r="G25" s="9" t="n">
        <v>46</v>
      </c>
    </row>
    <row r="26">
      <c r="A26" s="8" t="inlineStr">
        <is>
          <t>Form 990-EZ Parts I &amp; II</t>
        </is>
      </c>
      <c r="B26" s="8" t="inlineStr">
        <is>
          <t>D9</t>
        </is>
      </c>
      <c r="C26" s="8" t="inlineStr">
        <is>
          <t>4. Investment income</t>
        </is>
      </c>
      <c r="D26" s="8" t="inlineStr">
        <is>
          <t>Part I line 4</t>
        </is>
      </c>
      <c r="E26" s="8" t="inlineStr">
        <is>
          <t>part_i_revenue_expenses.investment_income</t>
        </is>
      </c>
      <c r="F26" s="8" t="inlineStr">
        <is>
          <t>high</t>
        </is>
      </c>
      <c r="G26" s="9" t="n">
        <v>38</v>
      </c>
    </row>
    <row r="27">
      <c r="A27" s="8" t="inlineStr">
        <is>
          <t>Form 990-EZ Parts I &amp; II</t>
        </is>
      </c>
      <c r="B27" s="8" t="inlineStr">
        <is>
          <t>E9</t>
        </is>
      </c>
      <c r="C27" s="8" t="inlineStr">
        <is>
          <t>4. Investment income</t>
        </is>
      </c>
      <c r="D27" s="8" t="inlineStr">
        <is>
          <t>Part I line 4</t>
        </is>
      </c>
      <c r="E27" s="8" t="inlineStr">
        <is>
          <t>part_i_revenue_expenses.investment_income</t>
        </is>
      </c>
      <c r="F27" s="8" t="inlineStr">
        <is>
          <t>high</t>
        </is>
      </c>
      <c r="G27" s="9" t="n">
        <v>38</v>
      </c>
    </row>
    <row r="28">
      <c r="A28" s="8" t="inlineStr">
        <is>
          <t>Form 990-EZ Parts I &amp; II</t>
        </is>
      </c>
      <c r="B28" s="8" t="inlineStr">
        <is>
          <t>B10</t>
        </is>
      </c>
      <c r="C28" s="8" t="inlineStr">
        <is>
          <t>9. Total revenue</t>
        </is>
      </c>
      <c r="D28" s="8" t="inlineStr">
        <is>
          <t>Part I line 9</t>
        </is>
      </c>
      <c r="E28" s="8" t="inlineStr">
        <is>
          <t>part_i_revenue_expenses.total_revenue</t>
        </is>
      </c>
      <c r="F28" s="8" t="inlineStr">
        <is>
          <t>high</t>
        </is>
      </c>
      <c r="G28" s="9" t="n">
        <v>67866</v>
      </c>
    </row>
    <row r="29">
      <c r="A29" s="8" t="inlineStr">
        <is>
          <t>Form 990-EZ Parts I &amp; II</t>
        </is>
      </c>
      <c r="B29" s="8" t="inlineStr">
        <is>
          <t>C10</t>
        </is>
      </c>
      <c r="C29" s="8" t="inlineStr">
        <is>
          <t>9. Total revenue</t>
        </is>
      </c>
      <c r="D29" s="8" t="inlineStr">
        <is>
          <t>Part I line 9</t>
        </is>
      </c>
      <c r="E29" s="8" t="inlineStr">
        <is>
          <t>part_i_revenue_expenses.total_revenue</t>
        </is>
      </c>
      <c r="F29" s="8" t="inlineStr">
        <is>
          <t>high</t>
        </is>
      </c>
      <c r="G29" s="9" t="n">
        <v>62217</v>
      </c>
    </row>
    <row r="30">
      <c r="A30" s="8" t="inlineStr">
        <is>
          <t>Form 990-EZ Parts I &amp; II</t>
        </is>
      </c>
      <c r="B30" s="8" t="inlineStr">
        <is>
          <t>D10</t>
        </is>
      </c>
      <c r="C30" s="8" t="inlineStr">
        <is>
          <t>9. Total revenue</t>
        </is>
      </c>
      <c r="D30" s="8" t="inlineStr">
        <is>
          <t>Part I line 9</t>
        </is>
      </c>
      <c r="E30" s="8" t="inlineStr">
        <is>
          <t>part_i_revenue_expenses.total_revenue</t>
        </is>
      </c>
      <c r="F30" s="8" t="inlineStr">
        <is>
          <t>high</t>
        </is>
      </c>
      <c r="G30" s="9" t="n">
        <v>76336</v>
      </c>
    </row>
    <row r="31">
      <c r="A31" s="8" t="inlineStr">
        <is>
          <t>Form 990-EZ Parts I &amp; II</t>
        </is>
      </c>
      <c r="B31" s="8" t="inlineStr">
        <is>
          <t>E10</t>
        </is>
      </c>
      <c r="C31" s="8" t="inlineStr">
        <is>
          <t>9. Total revenue</t>
        </is>
      </c>
      <c r="D31" s="8" t="inlineStr">
        <is>
          <t>Part I line 9</t>
        </is>
      </c>
      <c r="E31" s="8" t="inlineStr">
        <is>
          <t>part_i_revenue_expenses.total_revenue</t>
        </is>
      </c>
      <c r="F31" s="8" t="inlineStr">
        <is>
          <t>high</t>
        </is>
      </c>
      <c r="G31" s="9" t="n">
        <v>70723</v>
      </c>
    </row>
    <row r="32">
      <c r="A32" s="8" t="inlineStr">
        <is>
          <t>Form 990-EZ Parts I &amp; II</t>
        </is>
      </c>
      <c r="B32" s="8" t="inlineStr">
        <is>
          <t>F10</t>
        </is>
      </c>
      <c r="C32" s="8" t="inlineStr">
        <is>
          <t>9. Total revenue</t>
        </is>
      </c>
      <c r="D32" s="8" t="inlineStr">
        <is>
          <t>Part I line 9</t>
        </is>
      </c>
      <c r="E32" s="8" t="inlineStr">
        <is>
          <t>part_i_revenue_expenses.total_revenue</t>
        </is>
      </c>
      <c r="F32" s="8" t="inlineStr">
        <is>
          <t>high</t>
        </is>
      </c>
      <c r="G32" s="9" t="n">
        <v>121852</v>
      </c>
    </row>
    <row r="33">
      <c r="A33" s="8" t="inlineStr">
        <is>
          <t>Form 990-EZ Parts I &amp; II</t>
        </is>
      </c>
      <c r="B33" s="8" t="inlineStr">
        <is>
          <t>C13</t>
        </is>
      </c>
      <c r="C33" s="8" t="inlineStr">
        <is>
          <t>13. Fees for services (independent contractors)</t>
        </is>
      </c>
      <c r="D33" s="8" t="inlineStr">
        <is>
          <t>Part I line 13</t>
        </is>
      </c>
      <c r="E33" s="8" t="inlineStr">
        <is>
          <t>part_i_revenue_expenses.fees_ind_contractors</t>
        </is>
      </c>
      <c r="F33" s="8" t="inlineStr">
        <is>
          <t>high</t>
        </is>
      </c>
      <c r="G33" s="9" t="n">
        <v>7885</v>
      </c>
    </row>
    <row r="34">
      <c r="A34" s="8" t="inlineStr">
        <is>
          <t>Form 990-EZ Parts I &amp; II</t>
        </is>
      </c>
      <c r="B34" s="8" t="inlineStr">
        <is>
          <t>B14</t>
        </is>
      </c>
      <c r="C34" s="8" t="inlineStr">
        <is>
          <t>16. Other expenses</t>
        </is>
      </c>
      <c r="D34" s="8" t="inlineStr">
        <is>
          <t>Part I line 16</t>
        </is>
      </c>
      <c r="E34" s="8" t="inlineStr">
        <is>
          <t>part_i_revenue_expenses.other_expenses_total</t>
        </is>
      </c>
      <c r="F34" s="8" t="inlineStr">
        <is>
          <t>high</t>
        </is>
      </c>
      <c r="G34" s="9" t="n">
        <v>31431</v>
      </c>
    </row>
    <row r="35">
      <c r="A35" s="8" t="inlineStr">
        <is>
          <t>Form 990-EZ Parts I &amp; II</t>
        </is>
      </c>
      <c r="B35" s="8" t="inlineStr">
        <is>
          <t>C14</t>
        </is>
      </c>
      <c r="C35" s="8" t="inlineStr">
        <is>
          <t>16. Other expenses</t>
        </is>
      </c>
      <c r="D35" s="8" t="inlineStr">
        <is>
          <t>Part I line 16</t>
        </is>
      </c>
      <c r="E35" s="8" t="inlineStr">
        <is>
          <t>part_i_revenue_expenses.other_expenses_total</t>
        </is>
      </c>
      <c r="F35" s="8" t="inlineStr">
        <is>
          <t>high</t>
        </is>
      </c>
      <c r="G35" s="9" t="n">
        <v>34035</v>
      </c>
    </row>
    <row r="36">
      <c r="A36" s="8" t="inlineStr">
        <is>
          <t>Form 990-EZ Parts I &amp; II</t>
        </is>
      </c>
      <c r="B36" s="8" t="inlineStr">
        <is>
          <t>D14</t>
        </is>
      </c>
      <c r="C36" s="8" t="inlineStr">
        <is>
          <t>16. Other expenses</t>
        </is>
      </c>
      <c r="D36" s="8" t="inlineStr">
        <is>
          <t>Part I line 16</t>
        </is>
      </c>
      <c r="E36" s="8" t="inlineStr">
        <is>
          <t>part_i_revenue_expenses.other_expenses_total</t>
        </is>
      </c>
      <c r="F36" s="8" t="inlineStr">
        <is>
          <t>high</t>
        </is>
      </c>
      <c r="G36" s="9" t="n">
        <v>32084</v>
      </c>
    </row>
    <row r="37">
      <c r="A37" s="8" t="inlineStr">
        <is>
          <t>Form 990-EZ Parts I &amp; II</t>
        </is>
      </c>
      <c r="B37" s="8" t="inlineStr">
        <is>
          <t>E14</t>
        </is>
      </c>
      <c r="C37" s="8" t="inlineStr">
        <is>
          <t>16. Other expenses</t>
        </is>
      </c>
      <c r="D37" s="8" t="inlineStr">
        <is>
          <t>Part I line 16</t>
        </is>
      </c>
      <c r="E37" s="8" t="inlineStr">
        <is>
          <t>part_i_revenue_expenses.other_expenses_total</t>
        </is>
      </c>
      <c r="F37" s="8" t="inlineStr">
        <is>
          <t>high</t>
        </is>
      </c>
      <c r="G37" s="9" t="n">
        <v>46371</v>
      </c>
    </row>
    <row r="38">
      <c r="A38" s="8" t="inlineStr">
        <is>
          <t>Form 990-EZ Parts I &amp; II</t>
        </is>
      </c>
      <c r="B38" s="8" t="inlineStr">
        <is>
          <t>F14</t>
        </is>
      </c>
      <c r="C38" s="8" t="inlineStr">
        <is>
          <t>16. Other expenses</t>
        </is>
      </c>
      <c r="D38" s="8" t="inlineStr">
        <is>
          <t>Part I line 16</t>
        </is>
      </c>
      <c r="E38" s="8" t="inlineStr">
        <is>
          <t>part_i_revenue_expenses.other_expenses_total</t>
        </is>
      </c>
      <c r="F38" s="8" t="inlineStr">
        <is>
          <t>high</t>
        </is>
      </c>
      <c r="G38" s="9" t="n">
        <v>66094</v>
      </c>
    </row>
    <row r="39">
      <c r="A39" s="8" t="inlineStr">
        <is>
          <t>Form 990-EZ Parts I &amp; II</t>
        </is>
      </c>
      <c r="B39" s="8" t="inlineStr">
        <is>
          <t>B18</t>
        </is>
      </c>
      <c r="C39" s="8" t="inlineStr">
        <is>
          <t>19. Net assets or fund balances, beginning of year</t>
        </is>
      </c>
      <c r="D39" s="8" t="inlineStr">
        <is>
          <t>Part I line 19</t>
        </is>
      </c>
      <c r="E39" s="8" t="inlineStr">
        <is>
          <t>part_i_revenue_expenses.net_assets_boy</t>
        </is>
      </c>
      <c r="F39" s="8" t="inlineStr">
        <is>
          <t>high</t>
        </is>
      </c>
      <c r="G39" s="9" t="n">
        <v>61687</v>
      </c>
    </row>
    <row r="40">
      <c r="A40" s="8" t="inlineStr">
        <is>
          <t>Form 990-EZ Parts I &amp; II</t>
        </is>
      </c>
      <c r="B40" s="8" t="inlineStr">
        <is>
          <t>C18</t>
        </is>
      </c>
      <c r="C40" s="8" t="inlineStr">
        <is>
          <t>19. Net assets or fund balances, beginning of year</t>
        </is>
      </c>
      <c r="D40" s="8" t="inlineStr">
        <is>
          <t>Part I line 19</t>
        </is>
      </c>
      <c r="E40" s="8" t="inlineStr">
        <is>
          <t>part_i_revenue_expenses.net_assets_boy</t>
        </is>
      </c>
      <c r="F40" s="8" t="inlineStr">
        <is>
          <t>high</t>
        </is>
      </c>
      <c r="G40" s="9" t="n">
        <v>98122</v>
      </c>
    </row>
    <row r="41">
      <c r="A41" s="8" t="inlineStr">
        <is>
          <t>Form 990-EZ Parts I &amp; II</t>
        </is>
      </c>
      <c r="B41" s="8" t="inlineStr">
        <is>
          <t>D18</t>
        </is>
      </c>
      <c r="C41" s="8" t="inlineStr">
        <is>
          <t>19. Net assets or fund balances, beginning of year</t>
        </is>
      </c>
      <c r="D41" s="8" t="inlineStr">
        <is>
          <t>Part I line 19</t>
        </is>
      </c>
      <c r="E41" s="8" t="inlineStr">
        <is>
          <t>part_i_revenue_expenses.net_assets_boy</t>
        </is>
      </c>
      <c r="F41" s="8" t="inlineStr">
        <is>
          <t>high</t>
        </is>
      </c>
      <c r="G41" s="9" t="n">
        <v>118419</v>
      </c>
    </row>
    <row r="42">
      <c r="A42" s="8" t="inlineStr">
        <is>
          <t>Form 990-EZ Parts I &amp; II</t>
        </is>
      </c>
      <c r="B42" s="8" t="inlineStr">
        <is>
          <t>E18</t>
        </is>
      </c>
      <c r="C42" s="8" t="inlineStr">
        <is>
          <t>19. Net assets or fund balances, beginning of year</t>
        </is>
      </c>
      <c r="D42" s="8" t="inlineStr">
        <is>
          <t>Part I line 19</t>
        </is>
      </c>
      <c r="E42" s="8" t="inlineStr">
        <is>
          <t>part_i_revenue_expenses.net_assets_boy</t>
        </is>
      </c>
      <c r="F42" s="8" t="inlineStr">
        <is>
          <t>high</t>
        </is>
      </c>
      <c r="G42" s="9" t="n">
        <v>309896</v>
      </c>
    </row>
    <row r="43">
      <c r="A43" s="8" t="inlineStr">
        <is>
          <t>Form 990-EZ Parts I &amp; II</t>
        </is>
      </c>
      <c r="B43" s="8" t="inlineStr">
        <is>
          <t>F18</t>
        </is>
      </c>
      <c r="C43" s="8" t="inlineStr">
        <is>
          <t>19. Net assets or fund balances, beginning of year</t>
        </is>
      </c>
      <c r="D43" s="8" t="inlineStr">
        <is>
          <t>Part I line 19</t>
        </is>
      </c>
      <c r="E43" s="8" t="inlineStr">
        <is>
          <t>part_i_revenue_expenses.net_assets_boy</t>
        </is>
      </c>
      <c r="F43" s="8" t="inlineStr">
        <is>
          <t>high</t>
        </is>
      </c>
      <c r="G43" s="9" t="n">
        <v>334248</v>
      </c>
    </row>
    <row r="44">
      <c r="A44" s="8" t="inlineStr">
        <is>
          <t>Form 990-EZ Parts I &amp; II</t>
        </is>
      </c>
      <c r="B44" s="8" t="inlineStr">
        <is>
          <t>B19</t>
        </is>
      </c>
      <c r="C44" s="8" t="inlineStr">
        <is>
          <t>18. Excess or (deficit) for the year</t>
        </is>
      </c>
      <c r="D44" s="8" t="inlineStr">
        <is>
          <t>Part I line 18</t>
        </is>
      </c>
      <c r="E44" s="8" t="inlineStr">
        <is>
          <t>part_i_revenue_expenses.excess_or_deficit</t>
        </is>
      </c>
      <c r="F44" s="8" t="inlineStr">
        <is>
          <t>high</t>
        </is>
      </c>
      <c r="G44" s="9" t="n">
        <v>36435</v>
      </c>
    </row>
    <row r="45">
      <c r="A45" s="8" t="inlineStr">
        <is>
          <t>Form 990-EZ Parts I &amp; II</t>
        </is>
      </c>
      <c r="B45" s="8" t="inlineStr">
        <is>
          <t>C19</t>
        </is>
      </c>
      <c r="C45" s="8" t="inlineStr">
        <is>
          <t>18. Excess or (deficit) for the year</t>
        </is>
      </c>
      <c r="D45" s="8" t="inlineStr">
        <is>
          <t>Part I line 18</t>
        </is>
      </c>
      <c r="E45" s="8" t="inlineStr">
        <is>
          <t>part_i_revenue_expenses.excess_or_deficit</t>
        </is>
      </c>
      <c r="F45" s="8" t="inlineStr">
        <is>
          <t>high</t>
        </is>
      </c>
      <c r="G45" s="9" t="n">
        <v>20297</v>
      </c>
    </row>
    <row r="46">
      <c r="A46" s="8" t="inlineStr">
        <is>
          <t>Form 990-EZ Parts I &amp; II</t>
        </is>
      </c>
      <c r="B46" s="8" t="inlineStr">
        <is>
          <t>D19</t>
        </is>
      </c>
      <c r="C46" s="8" t="inlineStr">
        <is>
          <t>18. Excess or (deficit) for the year</t>
        </is>
      </c>
      <c r="D46" s="8" t="inlineStr">
        <is>
          <t>Part I line 18</t>
        </is>
      </c>
      <c r="E46" s="8" t="inlineStr">
        <is>
          <t>part_i_revenue_expenses.excess_or_deficit</t>
        </is>
      </c>
      <c r="F46" s="8" t="inlineStr">
        <is>
          <t>high</t>
        </is>
      </c>
      <c r="G46" s="9" t="n">
        <v>44252</v>
      </c>
    </row>
    <row r="47">
      <c r="A47" s="8" t="inlineStr">
        <is>
          <t>Form 990-EZ Parts I &amp; II</t>
        </is>
      </c>
      <c r="B47" s="8" t="inlineStr">
        <is>
          <t>E19</t>
        </is>
      </c>
      <c r="C47" s="8" t="inlineStr">
        <is>
          <t>18. Excess or (deficit) for the year</t>
        </is>
      </c>
      <c r="D47" s="8" t="inlineStr">
        <is>
          <t>Part I line 18</t>
        </is>
      </c>
      <c r="E47" s="8" t="inlineStr">
        <is>
          <t>part_i_revenue_expenses.excess_or_deficit</t>
        </is>
      </c>
      <c r="F47" s="8" t="inlineStr">
        <is>
          <t>high</t>
        </is>
      </c>
      <c r="G47" s="9" t="n">
        <v>24352</v>
      </c>
    </row>
    <row r="48">
      <c r="A48" s="8" t="inlineStr">
        <is>
          <t>Form 990-EZ Parts I &amp; II</t>
        </is>
      </c>
      <c r="B48" s="8" t="inlineStr">
        <is>
          <t>F19</t>
        </is>
      </c>
      <c r="C48" s="8" t="inlineStr">
        <is>
          <t>18. Excess or (deficit) for the year</t>
        </is>
      </c>
      <c r="D48" s="8" t="inlineStr">
        <is>
          <t>Part I line 18</t>
        </is>
      </c>
      <c r="E48" s="8" t="inlineStr">
        <is>
          <t>part_i_revenue_expenses.excess_or_deficit</t>
        </is>
      </c>
      <c r="F48" s="8" t="inlineStr">
        <is>
          <t>high</t>
        </is>
      </c>
      <c r="G48" s="9" t="n">
        <v>55758</v>
      </c>
    </row>
    <row r="49">
      <c r="A49" s="8" t="inlineStr">
        <is>
          <t>Form 990-EZ Parts I &amp; II</t>
        </is>
      </c>
      <c r="B49" s="8" t="inlineStr">
        <is>
          <t>B23</t>
        </is>
      </c>
      <c r="C49" s="8" t="inlineStr">
        <is>
          <t>22. Cash, savings, and investments</t>
        </is>
      </c>
      <c r="D49" s="8" t="inlineStr">
        <is>
          <t>Part II line 22 col B</t>
        </is>
      </c>
      <c r="E49" s="8" t="inlineStr">
        <is>
          <t>part_ii_balance_sheet.cash_savings_investments_eoy</t>
        </is>
      </c>
      <c r="F49" s="8" t="inlineStr">
        <is>
          <t>high</t>
        </is>
      </c>
      <c r="G49" s="9" t="n">
        <v>98122</v>
      </c>
    </row>
    <row r="50">
      <c r="A50" s="8" t="inlineStr">
        <is>
          <t>Form 990-EZ Parts I &amp; II</t>
        </is>
      </c>
      <c r="B50" s="8" t="inlineStr">
        <is>
          <t>C23</t>
        </is>
      </c>
      <c r="C50" s="8" t="inlineStr">
        <is>
          <t>22. Cash, savings, and investments</t>
        </is>
      </c>
      <c r="D50" s="8" t="inlineStr">
        <is>
          <t>Part II line 22 col B</t>
        </is>
      </c>
      <c r="E50" s="8" t="inlineStr">
        <is>
          <t>part_ii_balance_sheet.cash_savings_investments_eoy</t>
        </is>
      </c>
      <c r="F50" s="8" t="inlineStr">
        <is>
          <t>high</t>
        </is>
      </c>
      <c r="G50" s="9" t="n">
        <v>118419</v>
      </c>
    </row>
    <row r="51">
      <c r="A51" s="8" t="inlineStr">
        <is>
          <t>Form 990-EZ Parts I &amp; II</t>
        </is>
      </c>
      <c r="B51" s="8" t="inlineStr">
        <is>
          <t>D23</t>
        </is>
      </c>
      <c r="C51" s="8" t="inlineStr">
        <is>
          <t>22. Cash, savings, and investments</t>
        </is>
      </c>
      <c r="D51" s="8" t="inlineStr">
        <is>
          <t>Part II line 22 col B</t>
        </is>
      </c>
      <c r="E51" s="8" t="inlineStr">
        <is>
          <t>part_ii_balance_sheet.cash_savings_investments_eoy</t>
        </is>
      </c>
      <c r="F51" s="8" t="inlineStr">
        <is>
          <t>high</t>
        </is>
      </c>
      <c r="G51" s="9" t="n">
        <v>104455</v>
      </c>
    </row>
    <row r="52">
      <c r="A52" s="8" t="inlineStr">
        <is>
          <t>Form 990-EZ Parts I &amp; II</t>
        </is>
      </c>
      <c r="B52" s="8" t="inlineStr">
        <is>
          <t>E23</t>
        </is>
      </c>
      <c r="C52" s="8" t="inlineStr">
        <is>
          <t>22. Cash, savings, and investments</t>
        </is>
      </c>
      <c r="D52" s="8" t="inlineStr">
        <is>
          <t>Part II line 22 col B</t>
        </is>
      </c>
      <c r="E52" s="8" t="inlineStr">
        <is>
          <t>part_ii_balance_sheet.cash_savings_investments_eoy</t>
        </is>
      </c>
      <c r="F52" s="8" t="inlineStr">
        <is>
          <t>high</t>
        </is>
      </c>
      <c r="G52" s="9" t="n">
        <v>128807</v>
      </c>
    </row>
    <row r="53">
      <c r="A53" s="8" t="inlineStr">
        <is>
          <t>Form 990-EZ Parts I &amp; II</t>
        </is>
      </c>
      <c r="B53" s="8" t="inlineStr">
        <is>
          <t>F23</t>
        </is>
      </c>
      <c r="C53" s="8" t="inlineStr">
        <is>
          <t>22. Cash, savings, and investments</t>
        </is>
      </c>
      <c r="D53" s="8" t="inlineStr">
        <is>
          <t>Part II line 22 col B</t>
        </is>
      </c>
      <c r="E53" s="8" t="inlineStr">
        <is>
          <t>part_ii_balance_sheet.cash_savings_investments_eoy</t>
        </is>
      </c>
      <c r="F53" s="8" t="inlineStr">
        <is>
          <t>high</t>
        </is>
      </c>
      <c r="G53" s="9" t="n">
        <v>140310</v>
      </c>
    </row>
    <row r="54">
      <c r="A54" s="8" t="inlineStr">
        <is>
          <t>Form 990-EZ Parts I &amp; II</t>
        </is>
      </c>
      <c r="B54" s="8" t="inlineStr">
        <is>
          <t>B24</t>
        </is>
      </c>
      <c r="C54" s="8" t="inlineStr">
        <is>
          <t>23. Land and buildings</t>
        </is>
      </c>
      <c r="D54" s="8" t="inlineStr">
        <is>
          <t>Part II line 23 col B</t>
        </is>
      </c>
      <c r="E54" s="8" t="inlineStr">
        <is>
          <t>part_ii_balance_sheet.land_and_buildings_eoy</t>
        </is>
      </c>
      <c r="F54" s="8" t="inlineStr">
        <is>
          <t>high</t>
        </is>
      </c>
      <c r="G54" s="9" t="n">
        <v>0</v>
      </c>
    </row>
    <row r="55">
      <c r="A55" s="8" t="inlineStr">
        <is>
          <t>Form 990-EZ Parts I &amp; II</t>
        </is>
      </c>
      <c r="B55" s="8" t="inlineStr">
        <is>
          <t>C24</t>
        </is>
      </c>
      <c r="C55" s="8" t="inlineStr">
        <is>
          <t>23. Land and buildings</t>
        </is>
      </c>
      <c r="D55" s="8" t="inlineStr">
        <is>
          <t>Part II line 23 col B</t>
        </is>
      </c>
      <c r="E55" s="8" t="inlineStr">
        <is>
          <t>part_ii_balance_sheet.land_and_buildings_eoy</t>
        </is>
      </c>
      <c r="F55" s="8" t="inlineStr">
        <is>
          <t>high</t>
        </is>
      </c>
      <c r="G55" s="9" t="n">
        <v>0</v>
      </c>
    </row>
    <row r="56">
      <c r="A56" s="8" t="inlineStr">
        <is>
          <t>Form 990-EZ Parts I &amp; II</t>
        </is>
      </c>
      <c r="B56" s="8" t="inlineStr">
        <is>
          <t>D24</t>
        </is>
      </c>
      <c r="C56" s="8" t="inlineStr">
        <is>
          <t>23. Land and buildings</t>
        </is>
      </c>
      <c r="D56" s="8" t="inlineStr">
        <is>
          <t>Part II line 23 col B</t>
        </is>
      </c>
      <c r="E56" s="8" t="inlineStr">
        <is>
          <t>part_ii_balance_sheet.land_and_buildings_eoy</t>
        </is>
      </c>
      <c r="F56" s="8" t="inlineStr">
        <is>
          <t>high</t>
        </is>
      </c>
      <c r="G56" s="9" t="n">
        <v>205441</v>
      </c>
    </row>
    <row r="57">
      <c r="A57" s="8" t="inlineStr">
        <is>
          <t>Form 990-EZ Parts I &amp; II</t>
        </is>
      </c>
      <c r="B57" s="8" t="inlineStr">
        <is>
          <t>E24</t>
        </is>
      </c>
      <c r="C57" s="8" t="inlineStr">
        <is>
          <t>23. Land and buildings</t>
        </is>
      </c>
      <c r="D57" s="8" t="inlineStr">
        <is>
          <t>Part II line 23 col B</t>
        </is>
      </c>
      <c r="E57" s="8" t="inlineStr">
        <is>
          <t>part_ii_balance_sheet.land_and_buildings_eoy</t>
        </is>
      </c>
      <c r="F57" s="8" t="inlineStr">
        <is>
          <t>high</t>
        </is>
      </c>
      <c r="G57" s="9" t="n">
        <v>205441</v>
      </c>
    </row>
    <row r="58">
      <c r="A58" s="8" t="inlineStr">
        <is>
          <t>Form 990-EZ Parts I &amp; II</t>
        </is>
      </c>
      <c r="B58" s="8" t="inlineStr">
        <is>
          <t>F24</t>
        </is>
      </c>
      <c r="C58" s="8" t="inlineStr">
        <is>
          <t>23. Land and buildings</t>
        </is>
      </c>
      <c r="D58" s="8" t="inlineStr">
        <is>
          <t>Part II line 23 col B</t>
        </is>
      </c>
      <c r="E58" s="8" t="inlineStr">
        <is>
          <t>part_ii_balance_sheet.land_and_buildings_eoy</t>
        </is>
      </c>
      <c r="F58" s="8" t="inlineStr">
        <is>
          <t>high</t>
        </is>
      </c>
      <c r="G58" s="9" t="n">
        <v>258468</v>
      </c>
    </row>
    <row r="59">
      <c r="A59" s="8" t="inlineStr">
        <is>
          <t>Form 990-EZ Parts I &amp; II</t>
        </is>
      </c>
      <c r="B59" s="8" t="inlineStr">
        <is>
          <t>B25</t>
        </is>
      </c>
      <c r="C59" s="8" t="inlineStr">
        <is>
          <t>24. Other assets</t>
        </is>
      </c>
      <c r="D59" s="8" t="inlineStr">
        <is>
          <t>Part II line 24 col B</t>
        </is>
      </c>
      <c r="E59" s="8" t="inlineStr">
        <is>
          <t>part_ii_balance_sheet.other_assets_eoy</t>
        </is>
      </c>
      <c r="F59" s="8" t="inlineStr">
        <is>
          <t>high</t>
        </is>
      </c>
      <c r="G59" s="9" t="n">
        <v>0</v>
      </c>
    </row>
    <row r="60">
      <c r="A60" s="8" t="inlineStr">
        <is>
          <t>Form 990-EZ Parts I &amp; II</t>
        </is>
      </c>
      <c r="B60" s="8" t="inlineStr">
        <is>
          <t>C25</t>
        </is>
      </c>
      <c r="C60" s="8" t="inlineStr">
        <is>
          <t>24. Other assets</t>
        </is>
      </c>
      <c r="D60" s="8" t="inlineStr">
        <is>
          <t>Part II line 24 col B</t>
        </is>
      </c>
      <c r="E60" s="8" t="inlineStr">
        <is>
          <t>part_ii_balance_sheet.other_assets_eoy</t>
        </is>
      </c>
      <c r="F60" s="8" t="inlineStr">
        <is>
          <t>high</t>
        </is>
      </c>
      <c r="G60" s="9" t="n">
        <v>0</v>
      </c>
    </row>
    <row r="61">
      <c r="A61" s="8" t="inlineStr">
        <is>
          <t>Form 990-EZ Parts I &amp; II</t>
        </is>
      </c>
      <c r="B61" s="8" t="inlineStr">
        <is>
          <t>D25</t>
        </is>
      </c>
      <c r="C61" s="8" t="inlineStr">
        <is>
          <t>24. Other assets</t>
        </is>
      </c>
      <c r="D61" s="8" t="inlineStr">
        <is>
          <t>Part II line 24 col B</t>
        </is>
      </c>
      <c r="E61" s="8" t="inlineStr">
        <is>
          <t>part_ii_balance_sheet.other_assets_eoy</t>
        </is>
      </c>
      <c r="F61" s="8" t="inlineStr">
        <is>
          <t>high</t>
        </is>
      </c>
      <c r="G61" s="9" t="n">
        <v>0</v>
      </c>
    </row>
    <row r="62">
      <c r="A62" s="8" t="inlineStr">
        <is>
          <t>Form 990-EZ Parts I &amp; II</t>
        </is>
      </c>
      <c r="B62" s="8" t="inlineStr">
        <is>
          <t>E25</t>
        </is>
      </c>
      <c r="C62" s="8" t="inlineStr">
        <is>
          <t>24. Other assets</t>
        </is>
      </c>
      <c r="D62" s="8" t="inlineStr">
        <is>
          <t>Part II line 24 col B</t>
        </is>
      </c>
      <c r="E62" s="8" t="inlineStr">
        <is>
          <t>part_ii_balance_sheet.other_assets_eoy</t>
        </is>
      </c>
      <c r="F62" s="8" t="inlineStr">
        <is>
          <t>high</t>
        </is>
      </c>
      <c r="G62" s="9" t="n">
        <v>0</v>
      </c>
    </row>
    <row r="63">
      <c r="A63" s="8" t="inlineStr">
        <is>
          <t>Form 990-EZ Parts I &amp; II</t>
        </is>
      </c>
      <c r="B63" s="8" t="inlineStr">
        <is>
          <t>F25</t>
        </is>
      </c>
      <c r="C63" s="8" t="inlineStr">
        <is>
          <t>24. Other assets</t>
        </is>
      </c>
      <c r="D63" s="8" t="inlineStr">
        <is>
          <t>Part II line 24 col B</t>
        </is>
      </c>
      <c r="E63" s="8" t="inlineStr">
        <is>
          <t>part_ii_balance_sheet.other_assets_eoy</t>
        </is>
      </c>
      <c r="F63" s="8" t="inlineStr">
        <is>
          <t>high</t>
        </is>
      </c>
      <c r="G63" s="9" t="n">
        <v>0</v>
      </c>
    </row>
    <row r="64">
      <c r="A64" s="8" t="inlineStr">
        <is>
          <t>Form 990-EZ Parts I &amp; II</t>
        </is>
      </c>
      <c r="B64" s="8" t="inlineStr">
        <is>
          <t>B27</t>
        </is>
      </c>
      <c r="C64" s="8" t="inlineStr">
        <is>
          <t>26. Total liabilities</t>
        </is>
      </c>
      <c r="D64" s="8" t="inlineStr">
        <is>
          <t>Part II line 26 col B</t>
        </is>
      </c>
      <c r="E64" s="8" t="inlineStr">
        <is>
          <t>part_ii_balance_sheet.total_liabilities_eoy</t>
        </is>
      </c>
      <c r="F64" s="8" t="inlineStr">
        <is>
          <t>high</t>
        </is>
      </c>
      <c r="G64" s="9" t="n">
        <v>0</v>
      </c>
    </row>
    <row r="65">
      <c r="A65" s="8" t="inlineStr">
        <is>
          <t>Form 990-EZ Parts I &amp; II</t>
        </is>
      </c>
      <c r="B65" s="8" t="inlineStr">
        <is>
          <t>C27</t>
        </is>
      </c>
      <c r="C65" s="8" t="inlineStr">
        <is>
          <t>26. Total liabilities</t>
        </is>
      </c>
      <c r="D65" s="8" t="inlineStr">
        <is>
          <t>Part II line 26 col B</t>
        </is>
      </c>
      <c r="E65" s="8" t="inlineStr">
        <is>
          <t>part_ii_balance_sheet.total_liabilities_eoy</t>
        </is>
      </c>
      <c r="F65" s="8" t="inlineStr">
        <is>
          <t>high</t>
        </is>
      </c>
      <c r="G65" s="9" t="n">
        <v>0</v>
      </c>
    </row>
    <row r="66">
      <c r="A66" s="8" t="inlineStr">
        <is>
          <t>Form 990-EZ Parts I &amp; II</t>
        </is>
      </c>
      <c r="B66" s="8" t="inlineStr">
        <is>
          <t>D27</t>
        </is>
      </c>
      <c r="C66" s="8" t="inlineStr">
        <is>
          <t>26. Total liabilities</t>
        </is>
      </c>
      <c r="D66" s="8" t="inlineStr">
        <is>
          <t>Part II line 26 col B</t>
        </is>
      </c>
      <c r="E66" s="8" t="inlineStr">
        <is>
          <t>part_ii_balance_sheet.total_liabilities_eoy</t>
        </is>
      </c>
      <c r="F66" s="8" t="inlineStr">
        <is>
          <t>high</t>
        </is>
      </c>
      <c r="G66" s="9" t="n">
        <v>0</v>
      </c>
    </row>
    <row r="67">
      <c r="A67" s="8" t="inlineStr">
        <is>
          <t>Form 990-EZ Parts I &amp; II</t>
        </is>
      </c>
      <c r="B67" s="8" t="inlineStr">
        <is>
          <t>E27</t>
        </is>
      </c>
      <c r="C67" s="8" t="inlineStr">
        <is>
          <t>26. Total liabilities</t>
        </is>
      </c>
      <c r="D67" s="8" t="inlineStr">
        <is>
          <t>Part II line 26 col B</t>
        </is>
      </c>
      <c r="E67" s="8" t="inlineStr">
        <is>
          <t>part_ii_balance_sheet.total_liabilities_eoy</t>
        </is>
      </c>
      <c r="F67" s="8" t="inlineStr">
        <is>
          <t>high</t>
        </is>
      </c>
      <c r="G67" s="9" t="n">
        <v>0</v>
      </c>
    </row>
    <row r="68">
      <c r="A68" s="8" t="inlineStr">
        <is>
          <t>Form 990-EZ Parts I &amp; II</t>
        </is>
      </c>
      <c r="B68" s="8" t="inlineStr">
        <is>
          <t>F27</t>
        </is>
      </c>
      <c r="C68" s="8" t="inlineStr">
        <is>
          <t>26. Total liabilities</t>
        </is>
      </c>
      <c r="D68" s="8" t="inlineStr">
        <is>
          <t>Part II line 26 col B</t>
        </is>
      </c>
      <c r="E68" s="8" t="inlineStr">
        <is>
          <t>part_ii_balance_sheet.total_liabilities_eoy</t>
        </is>
      </c>
      <c r="F68" s="8" t="inlineStr">
        <is>
          <t>high</t>
        </is>
      </c>
      <c r="G68" s="9" t="n">
        <v>8772</v>
      </c>
    </row>
    <row r="69">
      <c r="A69" s="8" t="inlineStr">
        <is>
          <t>Form 990-EZ Parts I &amp; II</t>
        </is>
      </c>
      <c r="B69" s="8" t="inlineStr">
        <is>
          <t>B28</t>
        </is>
      </c>
      <c r="C69" s="8" t="inlineStr">
        <is>
          <t>27. Net assets or fund balances</t>
        </is>
      </c>
      <c r="D69" s="8" t="inlineStr">
        <is>
          <t>Part II line 27 col B</t>
        </is>
      </c>
      <c r="E69" s="8" t="inlineStr">
        <is>
          <t>part_ii_balance_sheet.net_assets_eoy</t>
        </is>
      </c>
      <c r="F69" s="8" t="inlineStr">
        <is>
          <t>high</t>
        </is>
      </c>
      <c r="G69" s="9" t="n">
        <v>98122</v>
      </c>
    </row>
    <row r="70">
      <c r="A70" s="8" t="inlineStr">
        <is>
          <t>Form 990-EZ Parts I &amp; II</t>
        </is>
      </c>
      <c r="B70" s="8" t="inlineStr">
        <is>
          <t>C28</t>
        </is>
      </c>
      <c r="C70" s="8" t="inlineStr">
        <is>
          <t>27. Net assets or fund balances</t>
        </is>
      </c>
      <c r="D70" s="8" t="inlineStr">
        <is>
          <t>Part II line 27 col B</t>
        </is>
      </c>
      <c r="E70" s="8" t="inlineStr">
        <is>
          <t>part_ii_balance_sheet.net_assets_eoy</t>
        </is>
      </c>
      <c r="F70" s="8" t="inlineStr">
        <is>
          <t>high</t>
        </is>
      </c>
      <c r="G70" s="9" t="n">
        <v>118419</v>
      </c>
    </row>
    <row r="71">
      <c r="A71" s="8" t="inlineStr">
        <is>
          <t>Form 990-EZ Parts I &amp; II</t>
        </is>
      </c>
      <c r="B71" s="8" t="inlineStr">
        <is>
          <t>D28</t>
        </is>
      </c>
      <c r="C71" s="8" t="inlineStr">
        <is>
          <t>27. Net assets or fund balances</t>
        </is>
      </c>
      <c r="D71" s="8" t="inlineStr">
        <is>
          <t>Part II line 27 col B</t>
        </is>
      </c>
      <c r="E71" s="8" t="inlineStr">
        <is>
          <t>part_ii_balance_sheet.net_assets_eoy</t>
        </is>
      </c>
      <c r="F71" s="8" t="inlineStr">
        <is>
          <t>high</t>
        </is>
      </c>
      <c r="G71" s="9" t="n">
        <v>309896</v>
      </c>
    </row>
    <row r="72">
      <c r="A72" s="8" t="inlineStr">
        <is>
          <t>Form 990-EZ Parts I &amp; II</t>
        </is>
      </c>
      <c r="B72" s="8" t="inlineStr">
        <is>
          <t>E28</t>
        </is>
      </c>
      <c r="C72" s="8" t="inlineStr">
        <is>
          <t>27. Net assets or fund balances</t>
        </is>
      </c>
      <c r="D72" s="8" t="inlineStr">
        <is>
          <t>Part II line 27 col B</t>
        </is>
      </c>
      <c r="E72" s="8" t="inlineStr">
        <is>
          <t>part_ii_balance_sheet.net_assets_eoy</t>
        </is>
      </c>
      <c r="F72" s="8" t="inlineStr">
        <is>
          <t>high</t>
        </is>
      </c>
      <c r="G72" s="9" t="n">
        <v>334248</v>
      </c>
    </row>
    <row r="73">
      <c r="A73" s="8" t="inlineStr">
        <is>
          <t>Form 990-EZ Parts I &amp; II</t>
        </is>
      </c>
      <c r="B73" s="8" t="inlineStr">
        <is>
          <t>F28</t>
        </is>
      </c>
      <c r="C73" s="8" t="inlineStr">
        <is>
          <t>27. Net assets or fund balances</t>
        </is>
      </c>
      <c r="D73" s="8" t="inlineStr">
        <is>
          <t>Part II line 27 col B</t>
        </is>
      </c>
      <c r="E73" s="8" t="inlineStr">
        <is>
          <t>part_ii_balance_sheet.net_assets_eoy</t>
        </is>
      </c>
      <c r="F73" s="8" t="inlineStr">
        <is>
          <t>high</t>
        </is>
      </c>
      <c r="G73" s="9" t="n">
        <v>390006</v>
      </c>
    </row>
    <row r="75">
      <c r="A75" s="23" t="inlineStr">
        <is>
          <t>C. Tie-out checks (filed vs computed; any nonzero variance is flagged red)</t>
        </is>
      </c>
      <c r="B75" s="7" t="n"/>
      <c r="C75" s="7" t="n"/>
      <c r="D75" s="7" t="n"/>
      <c r="E75" s="7" t="n"/>
      <c r="F75" s="7" t="n"/>
      <c r="G75" s="7" t="n"/>
      <c r="H75" s="7" t="n"/>
      <c r="I75" s="7" t="n"/>
      <c r="J75" s="7" t="n"/>
      <c r="K75" s="7" t="n"/>
    </row>
    <row r="76">
      <c r="A76" s="5" t="inlineStr">
        <is>
          <t>Tab</t>
        </is>
      </c>
      <c r="B76" s="5" t="inlineStr">
        <is>
          <t>Check</t>
        </is>
      </c>
      <c r="C76" s="5" t="inlineStr">
        <is>
          <t>Fiscal year</t>
        </is>
      </c>
      <c r="D76" s="5" t="inlineStr">
        <is>
          <t>Filed</t>
        </is>
      </c>
      <c r="E76" s="5" t="inlineStr">
        <is>
          <t>Computed</t>
        </is>
      </c>
      <c r="F76" s="5" t="inlineStr">
        <is>
          <t>Variance (computed - filed)</t>
        </is>
      </c>
    </row>
    <row r="77">
      <c r="A77" s="26" t="inlineStr">
        <is>
          <t>Form 990-EZ Parts I &amp; II</t>
        </is>
      </c>
      <c r="B77" s="26" t="inlineStr">
        <is>
          <t>17. Total expenses</t>
        </is>
      </c>
      <c r="C77" s="26" t="inlineStr">
        <is>
          <t>FY2020</t>
        </is>
      </c>
      <c r="D77" s="9" t="n">
        <v>31431</v>
      </c>
      <c r="E77" s="9">
        <f>'Form 990-EZ Parts I &amp; II'!B15</f>
        <v/>
      </c>
      <c r="F77" s="9">
        <f>E77-D77</f>
        <v/>
      </c>
    </row>
    <row r="78">
      <c r="A78" s="26" t="inlineStr">
        <is>
          <t>Form 990-EZ Parts I &amp; II</t>
        </is>
      </c>
      <c r="B78" s="26" t="inlineStr">
        <is>
          <t>17. Total expenses</t>
        </is>
      </c>
      <c r="C78" s="26" t="inlineStr">
        <is>
          <t>FY2021</t>
        </is>
      </c>
      <c r="D78" s="9" t="n">
        <v>41920</v>
      </c>
      <c r="E78" s="9">
        <f>'Form 990-EZ Parts I &amp; II'!C15</f>
        <v/>
      </c>
      <c r="F78" s="9">
        <f>E78-D78</f>
        <v/>
      </c>
    </row>
    <row r="79">
      <c r="A79" s="26" t="inlineStr">
        <is>
          <t>Form 990-EZ Parts I &amp; II</t>
        </is>
      </c>
      <c r="B79" s="26" t="inlineStr">
        <is>
          <t>17. Total expenses</t>
        </is>
      </c>
      <c r="C79" s="26" t="inlineStr">
        <is>
          <t>FY2022</t>
        </is>
      </c>
      <c r="D79" s="9" t="n">
        <v>32084</v>
      </c>
      <c r="E79" s="9">
        <f>'Form 990-EZ Parts I &amp; II'!D15</f>
        <v/>
      </c>
      <c r="F79" s="9">
        <f>E79-D79</f>
        <v/>
      </c>
    </row>
    <row r="80">
      <c r="A80" s="26" t="inlineStr">
        <is>
          <t>Form 990-EZ Parts I &amp; II</t>
        </is>
      </c>
      <c r="B80" s="26" t="inlineStr">
        <is>
          <t>17. Total expenses</t>
        </is>
      </c>
      <c r="C80" s="26" t="inlineStr">
        <is>
          <t>FY2023</t>
        </is>
      </c>
      <c r="D80" s="9" t="n">
        <v>46371</v>
      </c>
      <c r="E80" s="9">
        <f>'Form 990-EZ Parts I &amp; II'!E15</f>
        <v/>
      </c>
      <c r="F80" s="9">
        <f>E80-D80</f>
        <v/>
      </c>
    </row>
    <row r="81">
      <c r="A81" s="26" t="inlineStr">
        <is>
          <t>Form 990-EZ Parts I &amp; II</t>
        </is>
      </c>
      <c r="B81" s="26" t="inlineStr">
        <is>
          <t>17. Total expenses</t>
        </is>
      </c>
      <c r="C81" s="26" t="inlineStr">
        <is>
          <t>FY2024</t>
        </is>
      </c>
      <c r="D81" s="9" t="n">
        <v>66094</v>
      </c>
      <c r="E81" s="9">
        <f>'Form 990-EZ Parts I &amp; II'!F15</f>
        <v/>
      </c>
      <c r="F81" s="9">
        <f>E81-D81</f>
        <v/>
      </c>
    </row>
    <row r="82">
      <c r="A82" s="26" t="inlineStr">
        <is>
          <t>Form 990-EZ Parts I &amp; II</t>
        </is>
      </c>
      <c r="B82" s="26" t="inlineStr">
        <is>
          <t>21. Net assets or fund balances, end of year</t>
        </is>
      </c>
      <c r="C82" s="26" t="inlineStr">
        <is>
          <t>FY2020</t>
        </is>
      </c>
      <c r="D82" s="9" t="n">
        <v>98122</v>
      </c>
      <c r="E82" s="9">
        <f>'Form 990-EZ Parts I &amp; II'!B20</f>
        <v/>
      </c>
      <c r="F82" s="9">
        <f>E82-D82</f>
        <v/>
      </c>
    </row>
    <row r="83">
      <c r="A83" s="26" t="inlineStr">
        <is>
          <t>Form 990-EZ Parts I &amp; II</t>
        </is>
      </c>
      <c r="B83" s="26" t="inlineStr">
        <is>
          <t>21. Net assets or fund balances, end of year</t>
        </is>
      </c>
      <c r="C83" s="26" t="inlineStr">
        <is>
          <t>FY2021</t>
        </is>
      </c>
      <c r="D83" s="9" t="n">
        <v>118419</v>
      </c>
      <c r="E83" s="9">
        <f>'Form 990-EZ Parts I &amp; II'!C20</f>
        <v/>
      </c>
      <c r="F83" s="9">
        <f>E83-D83</f>
        <v/>
      </c>
    </row>
    <row r="84">
      <c r="A84" s="26" t="inlineStr">
        <is>
          <t>Form 990-EZ Parts I &amp; II</t>
        </is>
      </c>
      <c r="B84" s="26" t="inlineStr">
        <is>
          <t>21. Net assets or fund balances, end of year</t>
        </is>
      </c>
      <c r="C84" s="26" t="inlineStr">
        <is>
          <t>FY2022</t>
        </is>
      </c>
      <c r="D84" s="9" t="n">
        <v>309896</v>
      </c>
      <c r="E84" s="9">
        <f>'Form 990-EZ Parts I &amp; II'!D20</f>
        <v/>
      </c>
      <c r="F84" s="9">
        <f>E84-D84</f>
        <v/>
      </c>
    </row>
    <row r="85">
      <c r="A85" s="26" t="inlineStr">
        <is>
          <t>Form 990-EZ Parts I &amp; II</t>
        </is>
      </c>
      <c r="B85" s="26" t="inlineStr">
        <is>
          <t>21. Net assets or fund balances, end of year</t>
        </is>
      </c>
      <c r="C85" s="26" t="inlineStr">
        <is>
          <t>FY2023</t>
        </is>
      </c>
      <c r="D85" s="9" t="n">
        <v>334248</v>
      </c>
      <c r="E85" s="9">
        <f>'Form 990-EZ Parts I &amp; II'!E20</f>
        <v/>
      </c>
      <c r="F85" s="9">
        <f>E85-D85</f>
        <v/>
      </c>
    </row>
    <row r="86">
      <c r="A86" s="26" t="inlineStr">
        <is>
          <t>Form 990-EZ Parts I &amp; II</t>
        </is>
      </c>
      <c r="B86" s="26" t="inlineStr">
        <is>
          <t>21. Net assets or fund balances, end of year</t>
        </is>
      </c>
      <c r="C86" s="26" t="inlineStr">
        <is>
          <t>FY2024</t>
        </is>
      </c>
      <c r="D86" s="9" t="n">
        <v>390006</v>
      </c>
      <c r="E86" s="9">
        <f>'Form 990-EZ Parts I &amp; II'!F20</f>
        <v/>
      </c>
      <c r="F86" s="9">
        <f>E86-D86</f>
        <v/>
      </c>
    </row>
    <row r="87">
      <c r="A87" s="26" t="inlineStr">
        <is>
          <t>Form 990-EZ Parts I &amp; II</t>
        </is>
      </c>
      <c r="B87" s="26" t="inlineStr">
        <is>
          <t>25. Total assets</t>
        </is>
      </c>
      <c r="C87" s="26" t="inlineStr">
        <is>
          <t>FY2020</t>
        </is>
      </c>
      <c r="D87" s="9" t="n">
        <v>98122</v>
      </c>
      <c r="E87" s="9">
        <f>'Form 990-EZ Parts I &amp; II'!B26</f>
        <v/>
      </c>
      <c r="F87" s="9">
        <f>E87-D87</f>
        <v/>
      </c>
    </row>
    <row r="88">
      <c r="A88" s="26" t="inlineStr">
        <is>
          <t>Form 990-EZ Parts I &amp; II</t>
        </is>
      </c>
      <c r="B88" s="26" t="inlineStr">
        <is>
          <t>25. Total assets</t>
        </is>
      </c>
      <c r="C88" s="26" t="inlineStr">
        <is>
          <t>FY2021</t>
        </is>
      </c>
      <c r="D88" s="9" t="n">
        <v>118419</v>
      </c>
      <c r="E88" s="9">
        <f>'Form 990-EZ Parts I &amp; II'!C26</f>
        <v/>
      </c>
      <c r="F88" s="9">
        <f>E88-D88</f>
        <v/>
      </c>
    </row>
    <row r="89">
      <c r="A89" s="26" t="inlineStr">
        <is>
          <t>Form 990-EZ Parts I &amp; II</t>
        </is>
      </c>
      <c r="B89" s="26" t="inlineStr">
        <is>
          <t>25. Total assets</t>
        </is>
      </c>
      <c r="C89" s="26" t="inlineStr">
        <is>
          <t>FY2022</t>
        </is>
      </c>
      <c r="D89" s="9" t="n">
        <v>309896</v>
      </c>
      <c r="E89" s="9">
        <f>'Form 990-EZ Parts I &amp; II'!D26</f>
        <v/>
      </c>
      <c r="F89" s="9">
        <f>E89-D89</f>
        <v/>
      </c>
    </row>
    <row r="90">
      <c r="A90" s="26" t="inlineStr">
        <is>
          <t>Form 990-EZ Parts I &amp; II</t>
        </is>
      </c>
      <c r="B90" s="26" t="inlineStr">
        <is>
          <t>25. Total assets</t>
        </is>
      </c>
      <c r="C90" s="26" t="inlineStr">
        <is>
          <t>FY2023</t>
        </is>
      </c>
      <c r="D90" s="9" t="n">
        <v>334248</v>
      </c>
      <c r="E90" s="9">
        <f>'Form 990-EZ Parts I &amp; II'!E26</f>
        <v/>
      </c>
      <c r="F90" s="9">
        <f>E90-D90</f>
        <v/>
      </c>
    </row>
    <row r="91">
      <c r="A91" s="26" t="inlineStr">
        <is>
          <t>Form 990-EZ Parts I &amp; II</t>
        </is>
      </c>
      <c r="B91" s="26" t="inlineStr">
        <is>
          <t>25. Total assets</t>
        </is>
      </c>
      <c r="C91" s="26" t="inlineStr">
        <is>
          <t>FY2024</t>
        </is>
      </c>
      <c r="D91" s="9" t="n">
        <v>398778</v>
      </c>
      <c r="E91" s="9">
        <f>'Form 990-EZ Parts I &amp; II'!F26</f>
        <v/>
      </c>
      <c r="F91" s="9">
        <f>E91-D91</f>
        <v/>
      </c>
    </row>
    <row r="92">
      <c r="A92" s="26" t="inlineStr">
        <is>
          <t>Form 990-EZ Parts I &amp; II</t>
        </is>
      </c>
      <c r="B92" s="26" t="inlineStr">
        <is>
          <t>Balance sheet identity: line 25 = line 26 + line 27 (EOY)</t>
        </is>
      </c>
      <c r="C92" s="26" t="inlineStr">
        <is>
          <t>FY2020</t>
        </is>
      </c>
      <c r="D92" s="9">
        <f>'Form 990-EZ Parts I &amp; II'!B26</f>
        <v/>
      </c>
      <c r="E92" s="9">
        <f>SUM('Form 990-EZ Parts I &amp; II'!B27,'Form 990-EZ Parts I &amp; II'!B28)</f>
        <v/>
      </c>
      <c r="F92" s="9">
        <f>E92-D92</f>
        <v/>
      </c>
    </row>
    <row r="93">
      <c r="A93" s="26" t="inlineStr">
        <is>
          <t>Form 990-EZ Parts I &amp; II</t>
        </is>
      </c>
      <c r="B93" s="26" t="inlineStr">
        <is>
          <t>Balance sheet identity: line 25 = line 26 + line 27 (EOY)</t>
        </is>
      </c>
      <c r="C93" s="26" t="inlineStr">
        <is>
          <t>FY2021</t>
        </is>
      </c>
      <c r="D93" s="9">
        <f>'Form 990-EZ Parts I &amp; II'!C26</f>
        <v/>
      </c>
      <c r="E93" s="9">
        <f>SUM('Form 990-EZ Parts I &amp; II'!C27,'Form 990-EZ Parts I &amp; II'!C28)</f>
        <v/>
      </c>
      <c r="F93" s="9">
        <f>E93-D93</f>
        <v/>
      </c>
    </row>
    <row r="94">
      <c r="A94" s="26" t="inlineStr">
        <is>
          <t>Form 990-EZ Parts I &amp; II</t>
        </is>
      </c>
      <c r="B94" s="26" t="inlineStr">
        <is>
          <t>Balance sheet identity: line 25 = line 26 + line 27 (EOY)</t>
        </is>
      </c>
      <c r="C94" s="26" t="inlineStr">
        <is>
          <t>FY2022</t>
        </is>
      </c>
      <c r="D94" s="9">
        <f>'Form 990-EZ Parts I &amp; II'!D26</f>
        <v/>
      </c>
      <c r="E94" s="9">
        <f>SUM('Form 990-EZ Parts I &amp; II'!D27,'Form 990-EZ Parts I &amp; II'!D28)</f>
        <v/>
      </c>
      <c r="F94" s="9">
        <f>E94-D94</f>
        <v/>
      </c>
    </row>
    <row r="95">
      <c r="A95" s="26" t="inlineStr">
        <is>
          <t>Form 990-EZ Parts I &amp; II</t>
        </is>
      </c>
      <c r="B95" s="26" t="inlineStr">
        <is>
          <t>Balance sheet identity: line 25 = line 26 + line 27 (EOY)</t>
        </is>
      </c>
      <c r="C95" s="26" t="inlineStr">
        <is>
          <t>FY2023</t>
        </is>
      </c>
      <c r="D95" s="9">
        <f>'Form 990-EZ Parts I &amp; II'!E26</f>
        <v/>
      </c>
      <c r="E95" s="9">
        <f>SUM('Form 990-EZ Parts I &amp; II'!E27,'Form 990-EZ Parts I &amp; II'!E28)</f>
        <v/>
      </c>
      <c r="F95" s="9">
        <f>E95-D95</f>
        <v/>
      </c>
    </row>
    <row r="96">
      <c r="A96" s="26" t="inlineStr">
        <is>
          <t>Form 990-EZ Parts I &amp; II</t>
        </is>
      </c>
      <c r="B96" s="26" t="inlineStr">
        <is>
          <t>Balance sheet identity: line 25 = line 26 + line 27 (EOY)</t>
        </is>
      </c>
      <c r="C96" s="26" t="inlineStr">
        <is>
          <t>FY2024</t>
        </is>
      </c>
      <c r="D96" s="9">
        <f>'Form 990-EZ Parts I &amp; II'!F26</f>
        <v/>
      </c>
      <c r="E96" s="9">
        <f>SUM('Form 990-EZ Parts I &amp; II'!F27,'Form 990-EZ Parts I &amp; II'!F28)</f>
        <v/>
      </c>
      <c r="F96" s="9">
        <f>E96-D96</f>
        <v/>
      </c>
    </row>
    <row r="98">
      <c r="A98" s="23" t="inlineStr">
        <is>
          <t>D. Preparer / auditor trail (one row per fiscal year, as filed)</t>
        </is>
      </c>
      <c r="B98" s="7" t="n"/>
      <c r="C98" s="7" t="n"/>
      <c r="D98" s="7" t="n"/>
      <c r="E98" s="7" t="n"/>
      <c r="F98" s="7" t="n"/>
      <c r="G98" s="7" t="n"/>
      <c r="H98" s="7" t="n"/>
      <c r="I98" s="7" t="n"/>
      <c r="J98" s="7" t="n"/>
      <c r="K98" s="7" t="n"/>
    </row>
    <row r="99">
      <c r="A99" s="5" t="inlineStr">
        <is>
          <t>Fiscal year</t>
        </is>
      </c>
      <c r="B99" s="5" t="inlineStr">
        <is>
          <t>Paid preparer</t>
        </is>
      </c>
      <c r="C99" s="5" t="inlineStr">
        <is>
          <t>Preparer firm</t>
        </is>
      </c>
      <c r="D99" s="5" t="inlineStr">
        <is>
          <t>Independent auditor</t>
        </is>
      </c>
      <c r="E99" s="5" t="inlineStr">
        <is>
          <t>Citation</t>
        </is>
      </c>
    </row>
    <row r="100" ht="42" customHeight="1">
      <c r="A100" s="24" t="inlineStr">
        <is>
          <t>FY2020</t>
        </is>
      </c>
      <c r="B100" s="8" t="inlineStr">
        <is>
          <t>Stephen McFadden</t>
        </is>
      </c>
      <c r="C100" s="8" t="inlineStr">
        <is>
          <t>Stephen F McFadden CPA</t>
        </is>
      </c>
      <c r="D100" s="27" t="inlineStr">
        <is>
          <t>not reported</t>
        </is>
      </c>
      <c r="E100" s="17" t="inlineStr">
        <is>
          <t>Form 990 Return Header, Paid Preparer block (return_header.preparer_person_name / preparer_firm_name); auditor: Part XII line 2 reports audited financial statements but does not name the firm.</t>
        </is>
      </c>
    </row>
    <row r="101" ht="42" customHeight="1">
      <c r="A101" s="24" t="inlineStr">
        <is>
          <t>FY2021</t>
        </is>
      </c>
      <c r="B101" s="8" t="inlineStr">
        <is>
          <t>Stephen McFadden</t>
        </is>
      </c>
      <c r="C101" s="8" t="inlineStr">
        <is>
          <t>Stephen F McFadden CPA</t>
        </is>
      </c>
      <c r="D101" s="27" t="inlineStr">
        <is>
          <t>not reported</t>
        </is>
      </c>
      <c r="E101" s="17" t="inlineStr">
        <is>
          <t>Form 990 Return Header, Paid Preparer block (return_header.preparer_person_name / preparer_firm_name); auditor: Part XII line 2 reports audited financial statements but does not name the firm.</t>
        </is>
      </c>
    </row>
    <row r="102" ht="42" customHeight="1">
      <c r="A102" s="24" t="inlineStr">
        <is>
          <t>FY2022</t>
        </is>
      </c>
      <c r="B102" s="8" t="inlineStr">
        <is>
          <t>Stephen McFadden</t>
        </is>
      </c>
      <c r="C102" s="8" t="inlineStr">
        <is>
          <t>Stephen F McFadden CPA</t>
        </is>
      </c>
      <c r="D102" s="27" t="inlineStr">
        <is>
          <t>not reported</t>
        </is>
      </c>
      <c r="E102" s="17" t="inlineStr">
        <is>
          <t>Form 990 Return Header, Paid Preparer block (return_header.preparer_person_name / preparer_firm_name); auditor: Part XII line 2 reports audited financial statements but does not name the firm.</t>
        </is>
      </c>
    </row>
    <row r="103" ht="42" customHeight="1">
      <c r="A103" s="24" t="inlineStr">
        <is>
          <t>FY2023</t>
        </is>
      </c>
      <c r="B103" s="8" t="inlineStr">
        <is>
          <t>Stephen McFadden</t>
        </is>
      </c>
      <c r="C103" s="8" t="inlineStr">
        <is>
          <t>Stephen F McFadden CPA</t>
        </is>
      </c>
      <c r="D103" s="27" t="inlineStr">
        <is>
          <t>not reported</t>
        </is>
      </c>
      <c r="E103" s="17" t="inlineStr">
        <is>
          <t>Form 990 Return Header, Paid Preparer block (return_header.preparer_person_name / preparer_firm_name); auditor: Part XII line 2 reports audited financial statements but does not name the firm.</t>
        </is>
      </c>
    </row>
    <row r="104" ht="42" customHeight="1">
      <c r="A104" s="24" t="inlineStr">
        <is>
          <t>FY2024</t>
        </is>
      </c>
      <c r="B104" s="8" t="inlineStr">
        <is>
          <t>STEPHEN MCFADDEN</t>
        </is>
      </c>
      <c r="C104" s="8" t="inlineStr">
        <is>
          <t>Stephen F McFadden CPA</t>
        </is>
      </c>
      <c r="D104" s="27" t="inlineStr">
        <is>
          <t>not reported</t>
        </is>
      </c>
      <c r="E104" s="17" t="inlineStr">
        <is>
          <t>Form 990 Return Header, Paid Preparer block (return_header.preparer_person_name / preparer_firm_name); auditor: Part XII line 2 reports audited financial statements but does not name the firm.</t>
        </is>
      </c>
    </row>
    <row r="106" ht="42" customHeight="1">
      <c r="A10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106:K106"/>
  </mergeCells>
  <conditionalFormatting sqref="F77:F96">
    <cfRule type="cellIs" priority="1" operator="notEqual" dxfId="0">
      <formula>0</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