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Paradise Lake Mutual Water Company</t>
        </is>
      </c>
    </row>
    <row r="2">
      <c r="A2" s="2" t="inlineStr">
        <is>
          <t>Financial Summary - multi-year overview (USD)</t>
        </is>
      </c>
    </row>
    <row r="3">
      <c r="A3" s="2" t="inlineStr">
        <is>
          <t>Entity ID: cawc_0179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90592</v>
      </c>
      <c r="C10" s="9" t="n">
        <v>85680</v>
      </c>
      <c r="D10" s="9" t="n">
        <v>87177</v>
      </c>
      <c r="E10" s="9" t="n">
        <v>103848</v>
      </c>
      <c r="F10" s="9" t="n">
        <v>115150</v>
      </c>
      <c r="G10" s="9" t="n">
        <v>111618</v>
      </c>
    </row>
    <row r="11">
      <c r="A11" s="8" t="inlineStr">
        <is>
          <t xml:space="preserve">    Total expenses</t>
        </is>
      </c>
      <c r="B11" s="9" t="n">
        <v>47945</v>
      </c>
      <c r="C11" s="9" t="n">
        <v>38440</v>
      </c>
      <c r="D11" s="9" t="n">
        <v>38354</v>
      </c>
      <c r="E11" s="9" t="n">
        <v>56978</v>
      </c>
      <c r="F11" s="9" t="n">
        <v>61982</v>
      </c>
      <c r="G11" s="9" t="n">
        <v>69619</v>
      </c>
    </row>
    <row r="12">
      <c r="A12" s="10" t="inlineStr">
        <is>
          <t xml:space="preserve">    Net income</t>
        </is>
      </c>
      <c r="B12" s="11" t="n">
        <v>42647</v>
      </c>
      <c r="C12" s="11" t="n">
        <v>47240</v>
      </c>
      <c r="D12" s="11" t="n">
        <v>48823</v>
      </c>
      <c r="E12" s="11" t="n">
        <v>46870</v>
      </c>
      <c r="F12" s="11" t="n">
        <v>53168</v>
      </c>
      <c r="G12" s="11" t="n">
        <v>41999</v>
      </c>
    </row>
    <row r="14">
      <c r="A14" s="6" t="inlineStr">
        <is>
          <t>Financial position (USD, end of year)</t>
        </is>
      </c>
      <c r="B14" s="7" t="n"/>
      <c r="C14" s="7" t="n"/>
      <c r="D14" s="7" t="n"/>
      <c r="E14" s="7" t="n"/>
      <c r="F14" s="7" t="n"/>
      <c r="G14" s="7" t="n"/>
    </row>
    <row r="15">
      <c r="A15" s="8" t="inlineStr">
        <is>
          <t xml:space="preserve">    Total assets</t>
        </is>
      </c>
      <c r="B15" s="9" t="n">
        <v>362310</v>
      </c>
      <c r="C15" s="9" t="n">
        <v>387609</v>
      </c>
      <c r="D15" s="9" t="n">
        <v>439167</v>
      </c>
      <c r="E15" s="9" t="n">
        <v>505822</v>
      </c>
      <c r="F15" s="9" t="n">
        <v>556403</v>
      </c>
      <c r="G15" s="9" t="n">
        <v>578789</v>
      </c>
    </row>
    <row r="16">
      <c r="A16" s="8" t="inlineStr">
        <is>
          <t xml:space="preserve">    Total liabilities</t>
        </is>
      </c>
      <c r="B16" s="9" t="n">
        <v>4900</v>
      </c>
      <c r="C16" s="9" t="n">
        <v>7160</v>
      </c>
      <c r="D16" s="9" t="n">
        <v>9895</v>
      </c>
      <c r="E16" s="9" t="n">
        <v>29680</v>
      </c>
      <c r="F16" s="9" t="n">
        <v>27093</v>
      </c>
      <c r="G16" s="9" t="n">
        <v>7480</v>
      </c>
    </row>
    <row r="17">
      <c r="A17" s="10" t="inlineStr">
        <is>
          <t xml:space="preserve">    Net assets</t>
        </is>
      </c>
      <c r="B17" s="11" t="n">
        <v>357410</v>
      </c>
      <c r="C17" s="11" t="n">
        <v>380449</v>
      </c>
      <c r="D17" s="11" t="n">
        <v>429272</v>
      </c>
      <c r="E17" s="11" t="n">
        <v>476142</v>
      </c>
      <c r="F17" s="11" t="n">
        <v>529310</v>
      </c>
      <c r="G17" s="11" t="n">
        <v>571309</v>
      </c>
    </row>
    <row r="19">
      <c r="A19" s="6" t="inlineStr">
        <is>
          <t>Headline ratios</t>
        </is>
      </c>
      <c r="B19" s="7" t="n"/>
      <c r="C19" s="7" t="n"/>
      <c r="D19" s="7" t="n"/>
      <c r="E19" s="7" t="n"/>
      <c r="F19" s="7" t="n"/>
      <c r="G19" s="7" t="n"/>
    </row>
    <row r="20">
      <c r="A20" s="8" t="inlineStr">
        <is>
          <t xml:space="preserve">    Operating margin</t>
        </is>
      </c>
      <c r="B20" s="12" t="n">
        <v>0.4707590074178735</v>
      </c>
      <c r="C20" s="12" t="n">
        <v>0.5513538748832867</v>
      </c>
      <c r="D20" s="12" t="n">
        <v>0.5600445071521158</v>
      </c>
      <c r="E20" s="12" t="n">
        <v>0.4513327170479932</v>
      </c>
      <c r="F20" s="12" t="n">
        <v>0.4617281806339557</v>
      </c>
      <c r="G20" s="12" t="n">
        <v>0.3762744360228637</v>
      </c>
    </row>
    <row r="21">
      <c r="A21" s="8" t="inlineStr">
        <is>
          <t xml:space="preserve">    Revenue growth (YoY)</t>
        </is>
      </c>
      <c r="B21" s="12" t="n"/>
      <c r="C21" s="12" t="n"/>
      <c r="D21" s="12" t="n"/>
      <c r="E21" s="12" t="n">
        <v>0.1912316321965656</v>
      </c>
      <c r="F21" s="12" t="n">
        <v>0.1088321392804869</v>
      </c>
      <c r="G21" s="12" t="n">
        <v>-0.03067303517151541</v>
      </c>
    </row>
    <row r="22">
      <c r="A22" s="8" t="inlineStr">
        <is>
          <t xml:space="preserve">    Return on assets</t>
        </is>
      </c>
      <c r="B22" s="12" t="n">
        <v>0.117708592089647</v>
      </c>
      <c r="C22" s="12" t="n">
        <v>0.1218753950501665</v>
      </c>
      <c r="D22" s="12" t="n">
        <v>0.1111718321276416</v>
      </c>
      <c r="E22" s="12" t="n">
        <v>0.09266105467931407</v>
      </c>
      <c r="F22" s="12" t="n">
        <v>0.09555663790454041</v>
      </c>
      <c r="G22" s="12" t="n">
        <v>0.07256357670930166</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Paradise Lake Mutual Water Company</t>
        </is>
      </c>
    </row>
    <row r="2">
      <c r="A2" s="2" t="inlineStr">
        <is>
          <t>Financial Statements - income statement, balance sheet, cash flow, member income test (USD)</t>
        </is>
      </c>
    </row>
    <row r="3">
      <c r="A3" s="2" t="inlineStr">
        <is>
          <t>Entity ID: cawc_0179   |   Fiscal year ends May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v>92696</v>
      </c>
      <c r="F8" s="9" t="n">
        <v>94032</v>
      </c>
      <c r="G8" s="9" t="n">
        <v>91540</v>
      </c>
    </row>
    <row r="9">
      <c r="A9" s="8" t="inlineStr">
        <is>
          <t xml:space="preserve">    Investment income</t>
        </is>
      </c>
      <c r="B9" s="9" t="n"/>
      <c r="C9" s="9" t="n"/>
      <c r="D9" s="9" t="n"/>
      <c r="E9" s="9" t="n">
        <v>10652</v>
      </c>
      <c r="F9" s="9" t="n">
        <v>21118</v>
      </c>
      <c r="G9" s="9" t="n">
        <v>20078</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v>500</v>
      </c>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v>103848</v>
      </c>
      <c r="F14" s="11" t="n">
        <v>115150</v>
      </c>
      <c r="G14" s="11" t="n">
        <v>111618</v>
      </c>
    </row>
    <row r="16">
      <c r="A16" s="6" t="inlineStr">
        <is>
          <t>Expenses</t>
        </is>
      </c>
      <c r="B16" s="7" t="n"/>
      <c r="C16" s="7" t="n"/>
      <c r="D16" s="7" t="n"/>
      <c r="E16" s="7" t="n"/>
      <c r="F16" s="7" t="n"/>
      <c r="G16" s="7" t="n"/>
    </row>
    <row r="17">
      <c r="A17" s="8" t="inlineStr">
        <is>
          <t xml:space="preserve">    Depreciation</t>
        </is>
      </c>
      <c r="B17" s="9" t="n"/>
      <c r="C17" s="9" t="n"/>
      <c r="D17" s="9" t="n"/>
      <c r="E17" s="9" t="n">
        <v>4646</v>
      </c>
      <c r="F17" s="9" t="n">
        <v>4085</v>
      </c>
      <c r="G17" s="9" t="n">
        <v>7710</v>
      </c>
    </row>
    <row r="18">
      <c r="A18" s="8" t="inlineStr">
        <is>
          <t xml:space="preserve">    Interest expense</t>
        </is>
      </c>
      <c r="B18" s="9" t="n"/>
      <c r="C18" s="9" t="n"/>
      <c r="D18" s="9" t="n"/>
      <c r="E18" s="9" t="n"/>
      <c r="F18" s="9" t="n"/>
      <c r="G18" s="9" t="n"/>
    </row>
    <row r="19">
      <c r="A19" s="10" t="inlineStr">
        <is>
          <t>Total expenses</t>
        </is>
      </c>
      <c r="B19" s="11" t="n">
        <v>47945</v>
      </c>
      <c r="C19" s="11" t="n">
        <v>38440</v>
      </c>
      <c r="D19" s="11" t="n">
        <v>38354</v>
      </c>
      <c r="E19" s="11" t="n">
        <v>56978</v>
      </c>
      <c r="F19" s="11" t="n">
        <v>61982</v>
      </c>
      <c r="G19" s="11" t="n">
        <v>69619</v>
      </c>
    </row>
    <row r="21">
      <c r="A21" s="10" t="inlineStr">
        <is>
          <t>Net income</t>
        </is>
      </c>
      <c r="B21" s="11" t="n">
        <v>42647</v>
      </c>
      <c r="C21" s="11" t="n">
        <v>47240</v>
      </c>
      <c r="D21" s="11" t="n">
        <v>48823</v>
      </c>
      <c r="E21" s="11" t="n">
        <v>46870</v>
      </c>
      <c r="F21" s="11" t="n">
        <v>53168</v>
      </c>
      <c r="G21" s="11" t="n">
        <v>41999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281323</v>
      </c>
      <c r="C27" s="9" t="n">
        <v>341470</v>
      </c>
      <c r="D27" s="9" t="n">
        <v>387072</v>
      </c>
      <c r="E27" s="9" t="n">
        <v>57754</v>
      </c>
      <c r="F27" s="9" t="n">
        <v>99814</v>
      </c>
      <c r="G27" s="9" t="n">
        <v>24178</v>
      </c>
    </row>
    <row r="28">
      <c r="A28" s="8" t="inlineStr">
        <is>
          <t xml:space="preserve">    Savings &amp; temporary investments</t>
        </is>
      </c>
      <c r="B28" s="9" t="n"/>
      <c r="C28" s="9" t="n"/>
      <c r="D28" s="9" t="n"/>
      <c r="E28" s="9" t="n">
        <v>393665</v>
      </c>
      <c r="F28" s="9" t="n">
        <v>414783</v>
      </c>
      <c r="G28" s="9" t="n">
        <v>434861</v>
      </c>
    </row>
    <row r="29">
      <c r="A29" s="8" t="inlineStr">
        <is>
          <t xml:space="preserve">    Accounts receivable</t>
        </is>
      </c>
      <c r="B29" s="9" t="n"/>
      <c r="C29" s="9" t="n"/>
      <c r="D29" s="9" t="n"/>
      <c r="E29" s="9" t="n">
        <v>1867</v>
      </c>
      <c r="F29" s="9" t="n">
        <v>3343</v>
      </c>
      <c r="G29" s="9" t="n">
        <v>1871</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v>13172</v>
      </c>
      <c r="F31" s="9" t="n">
        <v>5216</v>
      </c>
      <c r="G31" s="9" t="n">
        <v>2566</v>
      </c>
    </row>
    <row r="32">
      <c r="A32" s="8" t="inlineStr">
        <is>
          <t xml:space="preserve">    Property, plant &amp; equipment (gross)</t>
        </is>
      </c>
      <c r="B32" s="9" t="n"/>
      <c r="C32" s="9" t="n"/>
      <c r="D32" s="9" t="n"/>
      <c r="E32" s="9" t="n">
        <v>533228</v>
      </c>
      <c r="F32" s="9" t="n">
        <v>527086</v>
      </c>
      <c r="G32" s="9" t="n">
        <v>616862</v>
      </c>
    </row>
    <row r="33">
      <c r="A33" s="8" t="inlineStr">
        <is>
          <t xml:space="preserve">    Less: accumulated depreciation</t>
        </is>
      </c>
      <c r="B33" s="9" t="n"/>
      <c r="C33" s="9" t="n"/>
      <c r="D33" s="9" t="n"/>
      <c r="E33" s="9" t="n">
        <v>-493864</v>
      </c>
      <c r="F33" s="9" t="n">
        <v>-493839</v>
      </c>
      <c r="G33" s="9" t="n">
        <v>-501549</v>
      </c>
    </row>
    <row r="34">
      <c r="A34" s="10" t="inlineStr">
        <is>
          <t xml:space="preserve">    Net property, plant &amp; equipment</t>
        </is>
      </c>
      <c r="B34" s="11" t="n"/>
      <c r="C34" s="11" t="n">
        <v>42518</v>
      </c>
      <c r="D34" s="11" t="n">
        <v>44011</v>
      </c>
      <c r="E34" s="11" t="n">
        <v>39364</v>
      </c>
      <c r="F34" s="11" t="n">
        <v>33247</v>
      </c>
      <c r="G34" s="11" t="n">
        <v>115313</v>
      </c>
    </row>
    <row r="35">
      <c r="A35" s="10" t="inlineStr">
        <is>
          <t>Total assets</t>
        </is>
      </c>
      <c r="B35" s="11" t="n">
        <v>362310</v>
      </c>
      <c r="C35" s="11" t="n">
        <v>387609</v>
      </c>
      <c r="D35" s="11" t="n">
        <v>439167</v>
      </c>
      <c r="E35" s="11" t="n">
        <v>505822</v>
      </c>
      <c r="F35" s="11" t="n">
        <v>556403</v>
      </c>
      <c r="G35" s="11" t="n">
        <v>578789</v>
      </c>
    </row>
    <row r="37">
      <c r="A37" s="6" t="inlineStr">
        <is>
          <t>Liabilities</t>
        </is>
      </c>
      <c r="B37" s="7" t="n"/>
      <c r="C37" s="7" t="n"/>
      <c r="D37" s="7" t="n"/>
      <c r="E37" s="7" t="n"/>
      <c r="F37" s="7" t="n"/>
      <c r="G37" s="7" t="n"/>
    </row>
    <row r="38">
      <c r="A38" s="8" t="inlineStr">
        <is>
          <t xml:space="preserve">    Accounts payable</t>
        </is>
      </c>
      <c r="B38" s="9" t="n"/>
      <c r="C38" s="9" t="n"/>
      <c r="D38" s="9" t="n"/>
      <c r="E38" s="9" t="n">
        <v>21435</v>
      </c>
      <c r="F38" s="9" t="n">
        <v>16798</v>
      </c>
      <c r="G38" s="9" t="n">
        <v>907</v>
      </c>
    </row>
    <row r="39">
      <c r="A39" s="8" t="inlineStr">
        <is>
          <t xml:space="preserve">    Mortgages &amp; notes payable</t>
        </is>
      </c>
      <c r="B39" s="9" t="n"/>
      <c r="C39" s="9" t="n"/>
      <c r="D39" s="9" t="n"/>
      <c r="E39" s="9" t="n"/>
      <c r="F39" s="9" t="n"/>
      <c r="G39" s="9" t="n"/>
    </row>
    <row r="40">
      <c r="A40" s="10" t="inlineStr">
        <is>
          <t>Total liabilities</t>
        </is>
      </c>
      <c r="B40" s="11" t="n">
        <v>4900</v>
      </c>
      <c r="C40" s="11" t="n">
        <v>7160</v>
      </c>
      <c r="D40" s="11" t="n">
        <v>9895</v>
      </c>
      <c r="E40" s="11" t="n">
        <v>29680</v>
      </c>
      <c r="F40" s="11" t="n">
        <v>27093</v>
      </c>
      <c r="G40" s="11" t="n">
        <v>7480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357410</v>
      </c>
      <c r="C46" s="11" t="n">
        <v>380449</v>
      </c>
      <c r="D46" s="11" t="n">
        <v>429272</v>
      </c>
      <c r="E46" s="11" t="n">
        <v>476142</v>
      </c>
      <c r="F46" s="11" t="n">
        <v>529310</v>
      </c>
      <c r="G46" s="11" t="n">
        <v>571309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42647</v>
      </c>
      <c r="C52" s="9" t="n">
        <v>47240</v>
      </c>
      <c r="D52" s="9" t="n">
        <v>48823</v>
      </c>
      <c r="E52" s="9" t="n">
        <v>46870</v>
      </c>
      <c r="F52" s="9" t="n">
        <v>53168</v>
      </c>
      <c r="G52" s="9" t="n">
        <v>41999</v>
      </c>
    </row>
    <row r="53">
      <c r="A53" s="8" t="inlineStr">
        <is>
          <t xml:space="preserve">    + Depreciation (reported)</t>
        </is>
      </c>
      <c r="B53" s="9" t="n"/>
      <c r="C53" s="9" t="n"/>
      <c r="D53" s="9" t="n"/>
      <c r="E53" s="9" t="n">
        <v>4646</v>
      </c>
      <c r="F53" s="9" t="n">
        <v>4085</v>
      </c>
      <c r="G53" s="9" t="n">
        <v>7710</v>
      </c>
    </row>
    <row r="54">
      <c r="A54" s="8" t="inlineStr">
        <is>
          <t xml:space="preserve">    − Δ Accounts receivable</t>
        </is>
      </c>
      <c r="B54" s="9" t="n"/>
      <c r="C54" s="9" t="n"/>
      <c r="D54" s="9" t="n"/>
      <c r="E54" s="9" t="n"/>
      <c r="F54" s="9" t="n">
        <v>-1476</v>
      </c>
      <c r="G54" s="9" t="n">
        <v>1472</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v>7956</v>
      </c>
      <c r="G56" s="9" t="n">
        <v>2650</v>
      </c>
    </row>
    <row r="57">
      <c r="A57" s="8" t="inlineStr">
        <is>
          <t xml:space="preserve">    + Δ Accounts payable</t>
        </is>
      </c>
      <c r="B57" s="9" t="n"/>
      <c r="C57" s="9" t="n"/>
      <c r="D57" s="9" t="n"/>
      <c r="E57" s="9" t="n"/>
      <c r="F57" s="9" t="n">
        <v>-4637</v>
      </c>
      <c r="G57" s="9" t="n">
        <v>-15891</v>
      </c>
    </row>
    <row r="58">
      <c r="A58" s="10" t="inlineStr">
        <is>
          <t xml:space="preserve">    Operating cash flow proxy</t>
        </is>
      </c>
      <c r="B58" s="11" t="n"/>
      <c r="C58" s="11" t="n">
        <v>47240</v>
      </c>
      <c r="D58" s="11" t="n">
        <v>48823</v>
      </c>
      <c r="E58" s="11" t="n">
        <v>51516</v>
      </c>
      <c r="F58" s="11" t="n">
        <v>59096</v>
      </c>
      <c r="G58" s="11" t="n">
        <v>37940</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v>6142</v>
      </c>
      <c r="G61" s="9" t="n">
        <v>-89776</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60147</v>
      </c>
      <c r="D67" s="11" t="n">
        <v>45602</v>
      </c>
      <c r="E67" s="11" t="n">
        <v>64347</v>
      </c>
      <c r="F67" s="11" t="n">
        <v>63178</v>
      </c>
      <c r="G67" s="11" t="n">
        <v>-55558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FY2023</t>
        </is>
      </c>
      <c r="C72" s="5" t="inlineStr">
        <is>
          <t>FY2024</t>
        </is>
      </c>
      <c r="D72" s="5" t="inlineStr">
        <is>
          <t>FY2025</t>
        </is>
      </c>
    </row>
    <row r="73">
      <c r="A73" s="8" t="inlineStr">
        <is>
          <t xml:space="preserve">    11a. Gross income from members or shareholders</t>
        </is>
      </c>
      <c r="B73" s="9" t="n">
        <v>93196</v>
      </c>
      <c r="C73" s="9" t="n">
        <v>94032</v>
      </c>
      <c r="D73" s="9" t="n">
        <v>91540</v>
      </c>
    </row>
    <row r="74">
      <c r="A74" s="8" t="inlineStr">
        <is>
          <t xml:space="preserve">    11b. Gross income from other sources</t>
        </is>
      </c>
      <c r="B74" s="9" t="n">
        <v>10652</v>
      </c>
      <c r="C74" s="9" t="n">
        <v>21118</v>
      </c>
      <c r="D74" s="9" t="n">
        <v>20078</v>
      </c>
    </row>
    <row r="75">
      <c r="A75" s="14" t="inlineStr">
        <is>
          <t>Total gross income (11a + 11b)</t>
        </is>
      </c>
      <c r="B75" s="15">
        <f>SUM(B73,B74)</f>
        <v/>
      </c>
      <c r="C75" s="15">
        <f>SUM(C73,C74)</f>
        <v/>
      </c>
      <c r="D75" s="15">
        <f>SUM(D73,D74)</f>
        <v/>
      </c>
    </row>
    <row r="76">
      <c r="A76" s="14" t="inlineStr">
        <is>
          <t>Member income share (11a / total)</t>
        </is>
      </c>
      <c r="B76" s="16">
        <f>IF(B75=0,"",B73/B75)</f>
        <v/>
      </c>
      <c r="C76" s="16">
        <f>IF(C75=0,"",C73/C75)</f>
        <v/>
      </c>
      <c r="D76" s="16">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Paradise Lake Mutual Water Company</t>
        </is>
      </c>
    </row>
    <row r="2">
      <c r="A2" s="2" t="inlineStr">
        <is>
          <t>Balance Sheet - as reported (USD, end of year)</t>
        </is>
      </c>
    </row>
    <row r="3">
      <c r="A3" s="2" t="inlineStr">
        <is>
          <t>Entity ID: cawc_0179   |   Fiscal year ends May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281323</v>
      </c>
      <c r="C7" s="9" t="n">
        <v>341470</v>
      </c>
      <c r="D7" s="9" t="n">
        <v>387072</v>
      </c>
      <c r="E7" s="9" t="n">
        <v>57754</v>
      </c>
      <c r="F7" s="9" t="n">
        <v>99814</v>
      </c>
      <c r="G7" s="9" t="n">
        <v>24178</v>
      </c>
    </row>
    <row r="8">
      <c r="A8" s="8" t="inlineStr">
        <is>
          <t xml:space="preserve">    Savings &amp; temporary investments</t>
        </is>
      </c>
      <c r="B8" s="9" t="n"/>
      <c r="C8" s="9" t="n"/>
      <c r="D8" s="9" t="n"/>
      <c r="E8" s="9" t="n">
        <v>393665</v>
      </c>
      <c r="F8" s="9" t="n">
        <v>414783</v>
      </c>
      <c r="G8" s="9" t="n">
        <v>434861</v>
      </c>
    </row>
    <row r="9">
      <c r="A9" s="8" t="inlineStr">
        <is>
          <t xml:space="preserve">    Accounts receivable</t>
        </is>
      </c>
      <c r="B9" s="9" t="n"/>
      <c r="C9" s="9" t="n"/>
      <c r="D9" s="9" t="n"/>
      <c r="E9" s="9" t="n">
        <v>1867</v>
      </c>
      <c r="F9" s="9" t="n">
        <v>3343</v>
      </c>
      <c r="G9" s="9" t="n">
        <v>1871</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v>13172</v>
      </c>
      <c r="F11" s="9" t="n">
        <v>5216</v>
      </c>
      <c r="G11" s="9" t="n">
        <v>2566</v>
      </c>
    </row>
    <row r="12">
      <c r="A12" s="8" t="inlineStr">
        <is>
          <t xml:space="preserve">    Property, plant &amp; equipment (gross)</t>
        </is>
      </c>
      <c r="B12" s="9" t="n"/>
      <c r="C12" s="9" t="n"/>
      <c r="D12" s="9" t="n"/>
      <c r="E12" s="9" t="n">
        <v>533228</v>
      </c>
      <c r="F12" s="9" t="n">
        <v>527086</v>
      </c>
      <c r="G12" s="9" t="n">
        <v>616862</v>
      </c>
    </row>
    <row r="13">
      <c r="A13" s="8" t="inlineStr">
        <is>
          <t xml:space="preserve">    Less: accumulated depreciation</t>
        </is>
      </c>
      <c r="B13" s="9" t="n"/>
      <c r="C13" s="9" t="n"/>
      <c r="D13" s="9" t="n"/>
      <c r="E13" s="9" t="n">
        <v>-493864</v>
      </c>
      <c r="F13" s="9" t="n">
        <v>-493839</v>
      </c>
      <c r="G13" s="9" t="n">
        <v>-501549</v>
      </c>
    </row>
    <row r="14">
      <c r="A14" s="10" t="inlineStr">
        <is>
          <t xml:space="preserve">    Net property, plant &amp; equipment</t>
        </is>
      </c>
      <c r="B14" s="11" t="n"/>
      <c r="C14" s="11" t="n">
        <v>42518</v>
      </c>
      <c r="D14" s="11" t="n">
        <v>44011</v>
      </c>
      <c r="E14" s="11" t="n">
        <v>39364</v>
      </c>
      <c r="F14" s="11" t="n">
        <v>33247</v>
      </c>
      <c r="G14" s="11" t="n">
        <v>115313</v>
      </c>
    </row>
    <row r="15">
      <c r="A15" s="10" t="inlineStr">
        <is>
          <t>Total assets</t>
        </is>
      </c>
      <c r="B15" s="11" t="n">
        <v>362310</v>
      </c>
      <c r="C15" s="11" t="n">
        <v>387609</v>
      </c>
      <c r="D15" s="11" t="n">
        <v>439167</v>
      </c>
      <c r="E15" s="11" t="n">
        <v>505822</v>
      </c>
      <c r="F15" s="11" t="n">
        <v>556403</v>
      </c>
      <c r="G15" s="11" t="n">
        <v>578789</v>
      </c>
    </row>
    <row r="17">
      <c r="A17" s="6" t="inlineStr">
        <is>
          <t>Liabilities</t>
        </is>
      </c>
      <c r="B17" s="7" t="n"/>
      <c r="C17" s="7" t="n"/>
      <c r="D17" s="7" t="n"/>
      <c r="E17" s="7" t="n"/>
      <c r="F17" s="7" t="n"/>
      <c r="G17" s="7" t="n"/>
    </row>
    <row r="18">
      <c r="A18" s="8" t="inlineStr">
        <is>
          <t xml:space="preserve">    Accounts payable</t>
        </is>
      </c>
      <c r="B18" s="9" t="n"/>
      <c r="C18" s="9" t="n"/>
      <c r="D18" s="9" t="n"/>
      <c r="E18" s="9" t="n">
        <v>21435</v>
      </c>
      <c r="F18" s="9" t="n">
        <v>16798</v>
      </c>
      <c r="G18" s="9" t="n">
        <v>907</v>
      </c>
    </row>
    <row r="19">
      <c r="A19" s="8" t="inlineStr">
        <is>
          <t xml:space="preserve">    Mortgages &amp; notes payable</t>
        </is>
      </c>
      <c r="B19" s="9" t="n"/>
      <c r="C19" s="9" t="n"/>
      <c r="D19" s="9" t="n"/>
      <c r="E19" s="9" t="n"/>
      <c r="F19" s="9" t="n"/>
      <c r="G19" s="9" t="n"/>
    </row>
    <row r="20">
      <c r="A20" s="10" t="inlineStr">
        <is>
          <t>Total liabilities</t>
        </is>
      </c>
      <c r="B20" s="11" t="n">
        <v>4900</v>
      </c>
      <c r="C20" s="11" t="n">
        <v>7160</v>
      </c>
      <c r="D20" s="11" t="n">
        <v>9895</v>
      </c>
      <c r="E20" s="11" t="n">
        <v>29680</v>
      </c>
      <c r="F20" s="11" t="n">
        <v>27093</v>
      </c>
      <c r="G20" s="11" t="n">
        <v>7480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357410</v>
      </c>
      <c r="C26" s="11" t="n">
        <v>380449</v>
      </c>
      <c r="D26" s="11" t="n">
        <v>429272</v>
      </c>
      <c r="E26" s="11" t="n">
        <v>476142</v>
      </c>
      <c r="F26" s="11" t="n">
        <v>529310</v>
      </c>
      <c r="G26" s="11" t="n">
        <v>571309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Paradise Lake Mutual Water Company</t>
        </is>
      </c>
    </row>
    <row r="2">
      <c r="A2" s="2" t="inlineStr">
        <is>
          <t>Officers, Directors &amp; Contractors - Form 990 Part VII (FY2025; USD)</t>
        </is>
      </c>
    </row>
    <row r="3">
      <c r="A3" s="2" t="inlineStr">
        <is>
          <t>Entity ID: cawc_0179   |   Fiscal year ends May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GARY HOLZHAUSEN</t>
        </is>
      </c>
      <c r="B7" s="8" t="inlineStr">
        <is>
          <t>PRESIDENT</t>
        </is>
      </c>
      <c r="C7" s="9" t="n">
        <v>0</v>
      </c>
      <c r="D7" s="9" t="n">
        <v>0</v>
      </c>
      <c r="E7" s="9" t="n">
        <v>0</v>
      </c>
      <c r="F7" s="9" t="n">
        <v>0</v>
      </c>
    </row>
    <row r="8">
      <c r="A8" s="8" t="inlineStr">
        <is>
          <t>ROBERT MANN</t>
        </is>
      </c>
      <c r="B8" s="8" t="inlineStr">
        <is>
          <t>VP &amp; SECRETARY</t>
        </is>
      </c>
      <c r="C8" s="9" t="n">
        <v>0</v>
      </c>
      <c r="D8" s="9" t="n">
        <v>0</v>
      </c>
      <c r="E8" s="9" t="n">
        <v>0</v>
      </c>
      <c r="F8" s="9" t="n">
        <v>0</v>
      </c>
    </row>
    <row r="9">
      <c r="A9" s="8" t="inlineStr">
        <is>
          <t>JULIA HICKS</t>
        </is>
      </c>
      <c r="B9" s="8" t="inlineStr">
        <is>
          <t>TREASURER</t>
        </is>
      </c>
      <c r="C9" s="9" t="n">
        <v>0</v>
      </c>
      <c r="D9" s="9" t="n">
        <v>0</v>
      </c>
      <c r="E9" s="9" t="n">
        <v>0</v>
      </c>
      <c r="F9" s="9" t="n">
        <v>0</v>
      </c>
    </row>
    <row r="10">
      <c r="A10" s="8" t="inlineStr">
        <is>
          <t>JOSIE AVILA</t>
        </is>
      </c>
      <c r="B10" s="8" t="inlineStr">
        <is>
          <t>BOARD MEMBER</t>
        </is>
      </c>
      <c r="C10" s="9" t="n">
        <v>0</v>
      </c>
      <c r="D10" s="9" t="n">
        <v>0</v>
      </c>
      <c r="E10" s="9" t="n">
        <v>0</v>
      </c>
      <c r="F10" s="9" t="n">
        <v>0</v>
      </c>
    </row>
    <row r="11">
      <c r="A11" s="8" t="inlineStr">
        <is>
          <t>ERYN CASTOR</t>
        </is>
      </c>
      <c r="B11" s="8" t="inlineStr">
        <is>
          <t>BOARD MEMBER</t>
        </is>
      </c>
      <c r="C11" s="9" t="n">
        <v>0</v>
      </c>
      <c r="D11" s="9" t="n">
        <v>0</v>
      </c>
      <c r="E11" s="9" t="n">
        <v>0</v>
      </c>
      <c r="F11" s="9" t="n">
        <v>0</v>
      </c>
    </row>
    <row r="12">
      <c r="A12" s="8" t="inlineStr">
        <is>
          <t>JEANNIE WHITMORE</t>
        </is>
      </c>
      <c r="B12" s="8" t="inlineStr">
        <is>
          <t>BOARD MEMBER</t>
        </is>
      </c>
      <c r="C12" s="9" t="n">
        <v>0</v>
      </c>
      <c r="D12" s="9" t="n">
        <v>0</v>
      </c>
      <c r="E12" s="9" t="n">
        <v>0</v>
      </c>
      <c r="F12" s="9" t="n">
        <v>0</v>
      </c>
    </row>
    <row r="13">
      <c r="A13" s="8" t="inlineStr">
        <is>
          <t>JORGE OVANDO</t>
        </is>
      </c>
      <c r="B13" s="8" t="inlineStr">
        <is>
          <t>BOARD MEMBER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Paradise Lake Mutual Water Company</t>
        </is>
      </c>
    </row>
    <row r="2">
      <c r="A2" s="2" t="inlineStr">
        <is>
          <t>Revenue - Form 990 Part VIII (USD)</t>
        </is>
      </c>
    </row>
    <row r="3">
      <c r="A3" s="2" t="inlineStr">
        <is>
          <t>Entity ID: cawc_0179   |   Fiscal year ends May 31.</t>
        </is>
      </c>
    </row>
    <row r="5">
      <c r="A5" s="4" t="inlineStr">
        <is>
          <t>Part VIII line</t>
        </is>
      </c>
      <c r="B5" s="5" t="inlineStr">
        <is>
          <t>FY2023</t>
        </is>
      </c>
      <c r="C5" s="5" t="inlineStr">
        <is>
          <t>FY2024</t>
        </is>
      </c>
      <c r="D5" s="5" t="inlineStr">
        <is>
          <t>FY2025</t>
        </is>
      </c>
    </row>
    <row r="6">
      <c r="A6" s="6" t="inlineStr">
        <is>
          <t>Revenue by category</t>
        </is>
      </c>
      <c r="B6" s="7" t="n"/>
      <c r="C6" s="7" t="n"/>
      <c r="D6" s="7" t="n"/>
    </row>
    <row r="7">
      <c r="A7" s="8" t="inlineStr">
        <is>
          <t xml:space="preserve">    1h. Total contributions, gifts, grants</t>
        </is>
      </c>
      <c r="B7" s="17" t="inlineStr">
        <is>
          <t>not reported</t>
        </is>
      </c>
      <c r="C7" s="17" t="inlineStr">
        <is>
          <t>not reported</t>
        </is>
      </c>
      <c r="D7" s="17" t="inlineStr">
        <is>
          <t>not reported</t>
        </is>
      </c>
    </row>
    <row r="8">
      <c r="A8" s="8" t="inlineStr">
        <is>
          <t xml:space="preserve">    2g. Total program service revenue</t>
        </is>
      </c>
      <c r="B8" s="9" t="n">
        <v>92696</v>
      </c>
      <c r="C8" s="9" t="n">
        <v>94032</v>
      </c>
      <c r="D8" s="9" t="n">
        <v>91540</v>
      </c>
    </row>
    <row r="9">
      <c r="A9" s="8" t="inlineStr">
        <is>
          <t xml:space="preserve">    3. Investment income</t>
        </is>
      </c>
      <c r="B9" s="9" t="n">
        <v>10652</v>
      </c>
      <c r="C9" s="9" t="n">
        <v>21118</v>
      </c>
      <c r="D9" s="9" t="n">
        <v>20078</v>
      </c>
    </row>
    <row r="10">
      <c r="A10" s="8" t="inlineStr">
        <is>
          <t xml:space="preserve">    6d. Net rental income</t>
        </is>
      </c>
      <c r="B10" s="17" t="inlineStr">
        <is>
          <t>not reported</t>
        </is>
      </c>
      <c r="C10" s="17" t="inlineStr">
        <is>
          <t>not reported</t>
        </is>
      </c>
      <c r="D10" s="17" t="inlineStr">
        <is>
          <t>not reported</t>
        </is>
      </c>
    </row>
    <row r="11">
      <c r="A11" s="8" t="inlineStr">
        <is>
          <t xml:space="preserve">    7d. Net gain/(loss) from investment sales</t>
        </is>
      </c>
      <c r="B11" s="17" t="inlineStr">
        <is>
          <t>not reported</t>
        </is>
      </c>
      <c r="C11" s="17" t="inlineStr">
        <is>
          <t>not reported</t>
        </is>
      </c>
      <c r="D11" s="17" t="inlineStr">
        <is>
          <t>not reported</t>
        </is>
      </c>
    </row>
    <row r="12">
      <c r="A12" s="8" t="inlineStr">
        <is>
          <t xml:space="preserve">    11e. Other revenue</t>
        </is>
      </c>
      <c r="B12" s="9" t="n">
        <v>500</v>
      </c>
      <c r="C12" s="17" t="inlineStr">
        <is>
          <t>not reported</t>
        </is>
      </c>
      <c r="D12" s="17" t="inlineStr">
        <is>
          <t>not reported</t>
        </is>
      </c>
    </row>
    <row r="13">
      <c r="A13" s="10" t="inlineStr">
        <is>
          <t>12. Total revenue</t>
        </is>
      </c>
      <c r="B13" s="11">
        <f>SUM(B7:B12)</f>
        <v/>
      </c>
      <c r="C13" s="11">
        <f>SUM(C7:C12)</f>
        <v/>
      </c>
      <c r="D13" s="11">
        <f>SUM(D7:D12)</f>
        <v/>
      </c>
    </row>
    <row r="15">
      <c r="A15" s="6" t="inlineStr">
        <is>
          <t>Program service revenue detail - FY2025 (lines 2a-2f)</t>
        </is>
      </c>
      <c r="B15" s="7" t="n"/>
      <c r="C15" s="7" t="n"/>
      <c r="D15" s="7" t="n"/>
    </row>
    <row r="16">
      <c r="A16" s="5" t="inlineStr">
        <is>
          <t>Description</t>
        </is>
      </c>
      <c r="B16" s="5" t="inlineStr">
        <is>
          <t>Business code</t>
        </is>
      </c>
      <c r="C16" s="5" t="inlineStr">
        <is>
          <t>Total revenue</t>
        </is>
      </c>
    </row>
    <row r="17">
      <c r="A17" s="8" t="inlineStr">
        <is>
          <t>ASSESSMENTS &amp; FEES</t>
        </is>
      </c>
      <c r="B17" s="8" t="inlineStr">
        <is>
          <t>900099</t>
        </is>
      </c>
      <c r="C17" s="9" t="n">
        <v>91540</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18:D18"/>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Paradise Lake Mutual Water Company</t>
        </is>
      </c>
    </row>
    <row r="2">
      <c r="A2" s="2" t="inlineStr">
        <is>
          <t>Statement of Functional Expenses - Form 990 Part IX (USD)</t>
        </is>
      </c>
    </row>
    <row r="3">
      <c r="A3" s="2" t="inlineStr">
        <is>
          <t>Entity ID: cawc_0179   |   Fiscal year ends May 31.</t>
        </is>
      </c>
    </row>
    <row r="5">
      <c r="A5" s="4" t="inlineStr">
        <is>
          <t>Part IX line (column A Total)</t>
        </is>
      </c>
      <c r="B5" s="5" t="inlineStr">
        <is>
          <t>FY2023</t>
        </is>
      </c>
      <c r="C5" s="5" t="inlineStr">
        <is>
          <t>FY2024</t>
        </is>
      </c>
      <c r="D5" s="5" t="inlineStr">
        <is>
          <t>FY2025</t>
        </is>
      </c>
    </row>
    <row r="6">
      <c r="A6" s="6" t="inlineStr">
        <is>
          <t>Functional expenses, column A Total - by year</t>
        </is>
      </c>
      <c r="B6" s="7" t="n"/>
      <c r="C6" s="7" t="n"/>
      <c r="D6" s="7" t="n"/>
    </row>
    <row r="7">
      <c r="A7" s="8" t="inlineStr">
        <is>
          <t xml:space="preserve">    11b. Fees for services: legal</t>
        </is>
      </c>
      <c r="B7" s="9" t="n">
        <v>350</v>
      </c>
      <c r="C7" s="17" t="inlineStr">
        <is>
          <t>not reported</t>
        </is>
      </c>
      <c r="D7" s="17" t="inlineStr">
        <is>
          <t>not reported</t>
        </is>
      </c>
    </row>
    <row r="8">
      <c r="A8" s="8" t="inlineStr">
        <is>
          <t xml:space="preserve">    11c. Fees for services: accounting</t>
        </is>
      </c>
      <c r="B8" s="9" t="n">
        <v>24298</v>
      </c>
      <c r="C8" s="9" t="n">
        <v>18697</v>
      </c>
      <c r="D8" s="9" t="n">
        <v>18298</v>
      </c>
    </row>
    <row r="9">
      <c r="A9" s="8" t="inlineStr">
        <is>
          <t xml:space="preserve">    11g. Fees for services: other</t>
        </is>
      </c>
      <c r="B9" s="9" t="n">
        <v>286</v>
      </c>
      <c r="C9" s="9" t="n">
        <v>397</v>
      </c>
      <c r="D9" s="9" t="n">
        <v>856</v>
      </c>
    </row>
    <row r="10">
      <c r="A10" s="8" t="inlineStr">
        <is>
          <t xml:space="preserve">    13. Office expenses</t>
        </is>
      </c>
      <c r="B10" s="9" t="n">
        <v>96</v>
      </c>
      <c r="C10" s="9" t="n">
        <v>240</v>
      </c>
      <c r="D10" s="9" t="n">
        <v>238</v>
      </c>
    </row>
    <row r="11">
      <c r="A11" s="8" t="inlineStr">
        <is>
          <t xml:space="preserve">    22. Depreciation, depletion, and amortization</t>
        </is>
      </c>
      <c r="B11" s="9" t="n">
        <v>4646</v>
      </c>
      <c r="C11" s="9" t="n">
        <v>4085</v>
      </c>
      <c r="D11" s="9" t="n">
        <v>7710</v>
      </c>
    </row>
    <row r="12">
      <c r="A12" s="8" t="inlineStr">
        <is>
          <t xml:space="preserve">    23. Insurance</t>
        </is>
      </c>
      <c r="B12" s="9" t="n">
        <v>1673</v>
      </c>
      <c r="C12" s="9" t="n">
        <v>1796</v>
      </c>
      <c r="D12" s="9" t="n">
        <v>1824</v>
      </c>
    </row>
    <row r="13">
      <c r="A13" s="8" t="inlineStr">
        <is>
          <t xml:space="preserve">    24. REPAIRS &amp; MAINTENANCE</t>
        </is>
      </c>
      <c r="B13" s="9" t="n">
        <v>7859</v>
      </c>
      <c r="C13" s="9" t="n">
        <v>19585</v>
      </c>
      <c r="D13" s="9" t="n">
        <v>17710</v>
      </c>
    </row>
    <row r="14">
      <c r="A14" s="8" t="inlineStr">
        <is>
          <t xml:space="preserve">    24. UTILITIES</t>
        </is>
      </c>
      <c r="B14" s="9" t="n">
        <v>6593</v>
      </c>
      <c r="C14" s="9" t="n">
        <v>7775</v>
      </c>
      <c r="D14" s="9" t="n">
        <v>9583</v>
      </c>
    </row>
    <row r="15">
      <c r="A15" s="8" t="inlineStr">
        <is>
          <t xml:space="preserve">    24. WATER QUALITY REPORT/TE</t>
        </is>
      </c>
      <c r="B15" s="9" t="n">
        <v>4503</v>
      </c>
      <c r="C15" s="9" t="n">
        <v>3567</v>
      </c>
      <c r="D15" s="9" t="n">
        <v>7609</v>
      </c>
    </row>
    <row r="16">
      <c r="A16" s="8" t="inlineStr">
        <is>
          <t xml:space="preserve">    24. HEALTH DEPT FEES - MONT</t>
        </is>
      </c>
      <c r="B16" s="9" t="n">
        <v>2528</v>
      </c>
      <c r="C16" s="9" t="n">
        <v>2880</v>
      </c>
      <c r="D16" s="9" t="n">
        <v>3072</v>
      </c>
    </row>
    <row r="17">
      <c r="A17" s="8" t="inlineStr">
        <is>
          <t xml:space="preserve">    24e. All other expenses</t>
        </is>
      </c>
      <c r="B17" s="9" t="n">
        <v>4146</v>
      </c>
      <c r="C17" s="9" t="n">
        <v>2960</v>
      </c>
      <c r="D17" s="9" t="n">
        <v>2719</v>
      </c>
    </row>
    <row r="18">
      <c r="A18" s="10" t="inlineStr">
        <is>
          <t>25. Total functional expenses</t>
        </is>
      </c>
      <c r="B18" s="11">
        <f>SUM(B7:B17)</f>
        <v/>
      </c>
      <c r="C18" s="11">
        <f>SUM(C7:C17)</f>
        <v/>
      </c>
      <c r="D18" s="11">
        <f>SUM(D7:D17)</f>
        <v/>
      </c>
    </row>
    <row r="20">
      <c r="A20" s="6" t="inlineStr">
        <is>
          <t>Functional column split - FY2025</t>
        </is>
      </c>
      <c r="B20" s="7" t="n"/>
      <c r="C20" s="7" t="n"/>
      <c r="D20" s="7" t="n"/>
    </row>
    <row r="21" ht="42" customHeight="1">
      <c r="A21" s="3" t="inlineStr">
        <is>
          <t>Not reported. This filer reports only column A (Total) of Part IX; the program / management / fundraising split (columns B-D) is not filed, so it is left as not reported rather than shown empty or inferred.</t>
        </is>
      </c>
    </row>
    <row r="22" ht="42" customHeight="1">
      <c r="A2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D1"/>
    <mergeCell ref="A22:D22"/>
    <mergeCell ref="A3:D3"/>
    <mergeCell ref="A21:D2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Paradise Lake Mutual Water Company</t>
        </is>
      </c>
    </row>
    <row r="2">
      <c r="A2" s="2" t="inlineStr">
        <is>
          <t>Balance Sheet - Form 990 Part X (end of year, USD)</t>
        </is>
      </c>
    </row>
    <row r="3">
      <c r="A3" s="2" t="inlineStr">
        <is>
          <t>Entity ID: cawc_0179   |   Fiscal year ends May 31.</t>
        </is>
      </c>
    </row>
    <row r="5">
      <c r="A5" s="4" t="inlineStr">
        <is>
          <t>Part X line (column B, EOY)</t>
        </is>
      </c>
      <c r="B5" s="5" t="inlineStr">
        <is>
          <t>FY2023</t>
        </is>
      </c>
      <c r="C5" s="5" t="inlineStr">
        <is>
          <t>FY2024</t>
        </is>
      </c>
      <c r="D5" s="5" t="inlineStr">
        <is>
          <t>FY2025</t>
        </is>
      </c>
    </row>
    <row r="6">
      <c r="A6" s="6" t="inlineStr">
        <is>
          <t>Assets</t>
        </is>
      </c>
      <c r="B6" s="7" t="n"/>
      <c r="C6" s="7" t="n"/>
      <c r="D6" s="7" t="n"/>
    </row>
    <row r="7">
      <c r="A7" s="8" t="inlineStr">
        <is>
          <t xml:space="preserve">    1. Cash - non-interest-bearing</t>
        </is>
      </c>
      <c r="B7" s="9" t="n">
        <v>57754</v>
      </c>
      <c r="C7" s="9" t="n">
        <v>99814</v>
      </c>
      <c r="D7" s="9" t="n">
        <v>24178</v>
      </c>
    </row>
    <row r="8">
      <c r="A8" s="8" t="inlineStr">
        <is>
          <t xml:space="preserve">    2. Savings and temporary cash investments</t>
        </is>
      </c>
      <c r="B8" s="9" t="n">
        <v>393665</v>
      </c>
      <c r="C8" s="9" t="n">
        <v>414783</v>
      </c>
      <c r="D8" s="9" t="n">
        <v>434861</v>
      </c>
    </row>
    <row r="9">
      <c r="A9" s="8" t="inlineStr">
        <is>
          <t xml:space="preserve">    4. Accounts receivable, net</t>
        </is>
      </c>
      <c r="B9" s="9" t="n">
        <v>1867</v>
      </c>
      <c r="C9" s="9" t="n">
        <v>3343</v>
      </c>
      <c r="D9" s="9" t="n">
        <v>1871</v>
      </c>
    </row>
    <row r="10">
      <c r="A10" s="8" t="inlineStr">
        <is>
          <t xml:space="preserve">    9. Prepaid expenses and deferred charges</t>
        </is>
      </c>
      <c r="B10" s="9" t="n">
        <v>13172</v>
      </c>
      <c r="C10" s="9" t="n">
        <v>5216</v>
      </c>
      <c r="D10" s="9" t="n">
        <v>2566</v>
      </c>
    </row>
    <row r="11">
      <c r="A11" s="8" t="inlineStr">
        <is>
          <t xml:space="preserve">    10c. Land, buildings, and equipment, net</t>
        </is>
      </c>
      <c r="B11" s="9" t="n">
        <v>39364</v>
      </c>
      <c r="C11" s="9" t="n">
        <v>33247</v>
      </c>
      <c r="D11" s="9" t="n">
        <v>115313</v>
      </c>
    </row>
    <row r="12">
      <c r="A12" s="10" t="inlineStr">
        <is>
          <t>16. Total assets</t>
        </is>
      </c>
      <c r="B12" s="11">
        <f>SUM(B7:B11)</f>
        <v/>
      </c>
      <c r="C12" s="11">
        <f>SUM(C7:C11)</f>
        <v/>
      </c>
      <c r="D12" s="11">
        <f>SUM(D7:D11)</f>
        <v/>
      </c>
    </row>
    <row r="14">
      <c r="A14" s="6" t="inlineStr">
        <is>
          <t>Liabilities</t>
        </is>
      </c>
      <c r="B14" s="7" t="n"/>
      <c r="C14" s="7" t="n"/>
      <c r="D14" s="7" t="n"/>
    </row>
    <row r="15">
      <c r="A15" s="8" t="inlineStr">
        <is>
          <t xml:space="preserve">    17. Accounts payable and accrued expenses</t>
        </is>
      </c>
      <c r="B15" s="9" t="n">
        <v>21435</v>
      </c>
      <c r="C15" s="9" t="n">
        <v>16798</v>
      </c>
      <c r="D15" s="9" t="n">
        <v>907</v>
      </c>
    </row>
    <row r="16">
      <c r="A16" s="8" t="inlineStr">
        <is>
          <t xml:space="preserve">    19. Deferred revenue</t>
        </is>
      </c>
      <c r="B16" s="9" t="n">
        <v>8245</v>
      </c>
      <c r="C16" s="9" t="n">
        <v>7279</v>
      </c>
      <c r="D16" s="9" t="n">
        <v>6573</v>
      </c>
    </row>
    <row r="17">
      <c r="A17" s="8" t="inlineStr">
        <is>
          <t xml:space="preserve">    25. Other liabilities</t>
        </is>
      </c>
      <c r="B17" s="17" t="inlineStr">
        <is>
          <t>not reported</t>
        </is>
      </c>
      <c r="C17" s="9" t="n">
        <v>3016</v>
      </c>
      <c r="D17" s="9" t="n">
        <v>0</v>
      </c>
    </row>
    <row r="18">
      <c r="A18" s="10" t="inlineStr">
        <is>
          <t>26. Total liabilities</t>
        </is>
      </c>
      <c r="B18" s="11">
        <f>SUM(B15:B17)</f>
        <v/>
      </c>
      <c r="C18" s="11">
        <f>SUM(C15:C17)</f>
        <v/>
      </c>
      <c r="D18" s="11">
        <f>SUM(D15:D17)</f>
        <v/>
      </c>
    </row>
    <row r="20">
      <c r="A20" s="6" t="inlineStr">
        <is>
          <t>Net assets / fund balances</t>
        </is>
      </c>
      <c r="B20" s="7" t="n"/>
      <c r="C20" s="7" t="n"/>
      <c r="D20" s="7" t="n"/>
    </row>
    <row r="21">
      <c r="A21" s="8" t="inlineStr">
        <is>
          <t xml:space="preserve">    27. Net assets without donor restrictions</t>
        </is>
      </c>
      <c r="B21" s="9" t="n">
        <v>476142</v>
      </c>
      <c r="C21" s="9" t="n">
        <v>529310</v>
      </c>
      <c r="D21" s="9" t="n">
        <v>571309</v>
      </c>
    </row>
    <row r="22">
      <c r="A22" s="10" t="inlineStr">
        <is>
          <t>32. Total net assets / fund balances</t>
        </is>
      </c>
      <c r="B22" s="11">
        <f>SUM(B21:B21)</f>
        <v/>
      </c>
      <c r="C22" s="11">
        <f>SUM(C21:C21)</f>
        <v/>
      </c>
      <c r="D22" s="11">
        <f>SUM(D21:D21)</f>
        <v/>
      </c>
    </row>
    <row r="24" ht="42" customHeight="1">
      <c r="A2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24:D24"/>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Paradise Lake Mutual Water Company</t>
        </is>
      </c>
    </row>
    <row r="2">
      <c r="A2" s="2" t="inlineStr">
        <is>
          <t>Reconciliation of Net Assets - Form 990 Part XI (USD)</t>
        </is>
      </c>
    </row>
    <row r="3">
      <c r="A3" s="2" t="inlineStr">
        <is>
          <t>Entity ID: cawc_0179   |   Fiscal year ends May 31.</t>
        </is>
      </c>
    </row>
    <row r="5">
      <c r="A5" s="4" t="inlineStr">
        <is>
          <t>Part XI line</t>
        </is>
      </c>
      <c r="B5" s="5" t="inlineStr">
        <is>
          <t>FY2023</t>
        </is>
      </c>
      <c r="C5" s="5" t="inlineStr">
        <is>
          <t>FY2024</t>
        </is>
      </c>
      <c r="D5" s="5" t="inlineStr">
        <is>
          <t>FY2025</t>
        </is>
      </c>
    </row>
    <row r="6">
      <c r="A6" s="6" t="inlineStr">
        <is>
          <t>Reconciliation</t>
        </is>
      </c>
      <c r="B6" s="7" t="n"/>
      <c r="C6" s="7" t="n"/>
      <c r="D6" s="7" t="n"/>
    </row>
    <row r="7">
      <c r="A7" s="8" t="inlineStr">
        <is>
          <t xml:space="preserve">    4. Net assets, beginning of year</t>
        </is>
      </c>
      <c r="B7" s="9" t="n">
        <v>429272</v>
      </c>
      <c r="C7" s="9" t="n">
        <v>476142</v>
      </c>
      <c r="D7" s="9" t="n">
        <v>529310</v>
      </c>
    </row>
    <row r="8">
      <c r="A8" s="8" t="inlineStr">
        <is>
          <t xml:space="preserve">    3. Revenue less expenses</t>
        </is>
      </c>
      <c r="B8" s="9" t="n">
        <v>46870</v>
      </c>
      <c r="C8" s="9" t="n">
        <v>53168</v>
      </c>
      <c r="D8" s="9" t="n">
        <v>41999</v>
      </c>
    </row>
    <row r="9">
      <c r="A9" s="8" t="inlineStr">
        <is>
          <t xml:space="preserve">    8. Prior period adjustments</t>
        </is>
      </c>
      <c r="B9" s="17" t="inlineStr">
        <is>
          <t>not reported</t>
        </is>
      </c>
      <c r="C9" s="17" t="inlineStr">
        <is>
          <t>not reported</t>
        </is>
      </c>
      <c r="D9" s="17" t="inlineStr">
        <is>
          <t>not reported</t>
        </is>
      </c>
    </row>
    <row r="10">
      <c r="A10" s="8" t="inlineStr">
        <is>
          <t xml:space="preserve">    9. Other changes in net assets</t>
        </is>
      </c>
      <c r="B10" s="9" t="n">
        <v>0</v>
      </c>
      <c r="C10" s="9" t="n">
        <v>0</v>
      </c>
      <c r="D10" s="9" t="n">
        <v>0</v>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Paradise Lake Mutual Water Company</t>
        </is>
      </c>
    </row>
    <row r="2">
      <c r="A2" s="2" t="inlineStr">
        <is>
          <t>Cash Flow Proxies - derived (USD)</t>
        </is>
      </c>
    </row>
    <row r="3">
      <c r="A3" s="2" t="inlineStr">
        <is>
          <t>Entity ID: cawc_0179   |   Fiscal year ends May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42647</v>
      </c>
      <c r="C9" s="9" t="n">
        <v>47240</v>
      </c>
      <c r="D9" s="9" t="n">
        <v>48823</v>
      </c>
      <c r="E9" s="9" t="n">
        <v>46870</v>
      </c>
      <c r="F9" s="9" t="n">
        <v>53168</v>
      </c>
      <c r="G9" s="9" t="n">
        <v>41999</v>
      </c>
    </row>
    <row r="10">
      <c r="A10" s="8" t="inlineStr">
        <is>
          <t xml:space="preserve">    + Depreciation (reported)</t>
        </is>
      </c>
      <c r="B10" s="9" t="n"/>
      <c r="C10" s="9" t="n"/>
      <c r="D10" s="9" t="n"/>
      <c r="E10" s="9" t="n">
        <v>4646</v>
      </c>
      <c r="F10" s="9" t="n">
        <v>4085</v>
      </c>
      <c r="G10" s="9" t="n">
        <v>7710</v>
      </c>
    </row>
    <row r="11">
      <c r="A11" s="8" t="inlineStr">
        <is>
          <t xml:space="preserve">    − Δ Accounts receivable</t>
        </is>
      </c>
      <c r="B11" s="9" t="n"/>
      <c r="C11" s="9" t="n"/>
      <c r="D11" s="9" t="n"/>
      <c r="E11" s="9" t="n"/>
      <c r="F11" s="9" t="n">
        <v>-1476</v>
      </c>
      <c r="G11" s="9" t="n">
        <v>1472</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v>7956</v>
      </c>
      <c r="G13" s="9" t="n">
        <v>2650</v>
      </c>
    </row>
    <row r="14">
      <c r="A14" s="8" t="inlineStr">
        <is>
          <t xml:space="preserve">    + Δ Accounts payable</t>
        </is>
      </c>
      <c r="B14" s="9" t="n"/>
      <c r="C14" s="9" t="n"/>
      <c r="D14" s="9" t="n"/>
      <c r="E14" s="9" t="n"/>
      <c r="F14" s="9" t="n">
        <v>-4637</v>
      </c>
      <c r="G14" s="9" t="n">
        <v>-15891</v>
      </c>
    </row>
    <row r="15">
      <c r="A15" s="10" t="inlineStr">
        <is>
          <t xml:space="preserve">    Operating cash flow proxy</t>
        </is>
      </c>
      <c r="B15" s="11" t="n"/>
      <c r="C15" s="11" t="n">
        <v>47240</v>
      </c>
      <c r="D15" s="11" t="n">
        <v>48823</v>
      </c>
      <c r="E15" s="11" t="n">
        <v>51516</v>
      </c>
      <c r="F15" s="11" t="n">
        <v>59096</v>
      </c>
      <c r="G15" s="11" t="n">
        <v>37940</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v>6142</v>
      </c>
      <c r="G18" s="9" t="n">
        <v>-89776</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60147</v>
      </c>
      <c r="D24" s="11" t="n">
        <v>45602</v>
      </c>
      <c r="E24" s="11" t="n">
        <v>64347</v>
      </c>
      <c r="F24" s="11" t="n">
        <v>63178</v>
      </c>
      <c r="G24" s="11" t="n">
        <v>-55558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Paradise Lake Mutual Water Company</t>
        </is>
      </c>
    </row>
    <row r="2">
      <c r="A2" s="2" t="inlineStr">
        <is>
          <t>Financial Ratios</t>
        </is>
      </c>
    </row>
    <row r="3">
      <c r="A3" s="2" t="inlineStr">
        <is>
          <t>Entity ID: cawc_0179   |   Fiscal year ends May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0.4707590074178735</v>
      </c>
      <c r="C7" s="12" t="n">
        <v>0.5513538748832867</v>
      </c>
      <c r="D7" s="12" t="n">
        <v>0.5600445071521158</v>
      </c>
      <c r="E7" s="12" t="n">
        <v>0.4513327170479932</v>
      </c>
      <c r="F7" s="12" t="n">
        <v>0.4617281806339557</v>
      </c>
      <c r="G7" s="12" t="n">
        <v>0.3762744360228637</v>
      </c>
    </row>
    <row r="8">
      <c r="A8" s="8" t="inlineStr">
        <is>
          <t xml:space="preserve">    Expense ratio (expenses / revenue)</t>
        </is>
      </c>
      <c r="B8" s="12" t="n">
        <v>0.5292409925821264</v>
      </c>
      <c r="C8" s="12" t="n">
        <v>0.4486461251167134</v>
      </c>
      <c r="D8" s="12" t="n">
        <v>0.4399554928478842</v>
      </c>
      <c r="E8" s="12" t="n">
        <v>0.5486672829520067</v>
      </c>
      <c r="F8" s="12" t="n">
        <v>0.5382718193660443</v>
      </c>
      <c r="G8" s="12" t="n">
        <v>0.6237255639771363</v>
      </c>
    </row>
    <row r="9">
      <c r="A9" s="8" t="inlineStr">
        <is>
          <t xml:space="preserve">    Return on assets (NI / assets)</t>
        </is>
      </c>
      <c r="B9" s="12" t="n">
        <v>0.117708592089647</v>
      </c>
      <c r="C9" s="12" t="n">
        <v>0.1218753950501665</v>
      </c>
      <c r="D9" s="12" t="n">
        <v>0.1111718321276416</v>
      </c>
      <c r="E9" s="12" t="n">
        <v>0.09266105467931407</v>
      </c>
      <c r="F9" s="12" t="n">
        <v>0.09555663790454041</v>
      </c>
      <c r="G9" s="12" t="n">
        <v>0.07256357670930166</v>
      </c>
    </row>
    <row r="10">
      <c r="A10" s="8" t="inlineStr">
        <is>
          <t xml:space="preserve">    Revenue growth (YoY)</t>
        </is>
      </c>
      <c r="B10" s="12" t="n"/>
      <c r="C10" s="12" t="n"/>
      <c r="D10" s="12" t="n"/>
      <c r="E10" s="12" t="n">
        <v>0.1912316321965656</v>
      </c>
      <c r="F10" s="12" t="n">
        <v>0.1088321392804869</v>
      </c>
      <c r="G10" s="12" t="n">
        <v>-0.03067303517151541</v>
      </c>
    </row>
    <row r="12">
      <c r="A12" s="6" t="inlineStr">
        <is>
          <t>Leverage &amp; solvency</t>
        </is>
      </c>
      <c r="B12" s="7" t="n"/>
      <c r="C12" s="7" t="n"/>
      <c r="D12" s="7" t="n"/>
      <c r="E12" s="7" t="n"/>
      <c r="F12" s="7" t="n"/>
      <c r="G12" s="7" t="n"/>
    </row>
    <row r="13">
      <c r="A13" s="8" t="inlineStr">
        <is>
          <t xml:space="preserve">    Debt-to-assets (liab. / assets)</t>
        </is>
      </c>
      <c r="B13" s="12" t="n">
        <v>0.01352432999365184</v>
      </c>
      <c r="C13" s="12" t="n">
        <v>0.01847222329718866</v>
      </c>
      <c r="D13" s="12" t="n">
        <v>0.02253129219636266</v>
      </c>
      <c r="E13" s="12" t="n">
        <v>0.05867676771670667</v>
      </c>
      <c r="F13" s="12" t="n">
        <v>0.04869312350939876</v>
      </c>
      <c r="G13" s="12" t="n">
        <v>0.01292353517430359</v>
      </c>
    </row>
    <row r="14">
      <c r="A14" s="8" t="inlineStr">
        <is>
          <t xml:space="preserve">    Equity ratio (net assets / assets)</t>
        </is>
      </c>
      <c r="B14" s="12" t="n">
        <v>0.9864756700063482</v>
      </c>
      <c r="C14" s="12" t="n">
        <v>0.9815277767028113</v>
      </c>
      <c r="D14" s="12" t="n">
        <v>0.9774687078036374</v>
      </c>
      <c r="E14" s="12" t="n">
        <v>0.9413232322832933</v>
      </c>
      <c r="F14" s="12" t="n">
        <v>0.9513068764906012</v>
      </c>
      <c r="G14" s="12" t="n">
        <v>0.9870764648256964</v>
      </c>
    </row>
    <row r="16">
      <c r="A16" s="6" t="inlineStr">
        <is>
          <t>Liquidity &amp; asset profile (derived here)</t>
        </is>
      </c>
      <c r="B16" s="7" t="n"/>
      <c r="C16" s="7" t="n"/>
      <c r="D16" s="7" t="n"/>
      <c r="E16" s="7" t="n"/>
      <c r="F16" s="7" t="n"/>
      <c r="G16" s="7" t="n"/>
    </row>
    <row r="17">
      <c r="A17" s="8" t="inlineStr">
        <is>
          <t xml:space="preserve">    Current ratio (current assets / AP)</t>
        </is>
      </c>
      <c r="B17" s="18" t="n"/>
      <c r="C17" s="18" t="n"/>
      <c r="D17" s="18" t="n"/>
      <c r="E17" s="18" t="n">
        <v>21.76151154653604</v>
      </c>
      <c r="F17" s="18" t="n">
        <v>31.14394570782236</v>
      </c>
      <c r="G17" s="18" t="n">
        <v>510.9988974641676</v>
      </c>
    </row>
    <row r="18">
      <c r="A18" s="8" t="inlineStr">
        <is>
          <t xml:space="preserve">    Cash ratio ((cash+temp inv.) / total liab.)</t>
        </is>
      </c>
      <c r="B18" s="18" t="n">
        <v>57.41285714285714</v>
      </c>
      <c r="C18" s="18" t="n">
        <v>47.69134078212291</v>
      </c>
      <c r="D18" s="18" t="n">
        <v>39.11793835270338</v>
      </c>
      <c r="E18" s="18" t="n">
        <v>15.20953504043127</v>
      </c>
      <c r="F18" s="18" t="n">
        <v>18.99372531650242</v>
      </c>
      <c r="G18" s="18" t="n">
        <v>61.36885026737968</v>
      </c>
    </row>
    <row r="19">
      <c r="A19" s="8" t="inlineStr">
        <is>
          <t xml:space="preserve">    Asset age proxy (accum. deprec. / gross PP&amp;E)</t>
        </is>
      </c>
      <c r="B19" s="12" t="n"/>
      <c r="C19" s="12" t="n"/>
      <c r="D19" s="12" t="n"/>
      <c r="E19" s="12" t="n">
        <v>0.9261779201392275</v>
      </c>
      <c r="F19" s="12" t="n">
        <v>0.9369230068717439</v>
      </c>
      <c r="G19" s="12" t="n">
        <v>0.813065158819963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Paradise Lake Mutual Water Company</t>
        </is>
      </c>
    </row>
    <row r="2">
      <c r="A2" s="2" t="inlineStr">
        <is>
          <t>Unit economics - per-customer revenue by category (USD)</t>
        </is>
      </c>
    </row>
    <row r="3">
      <c r="A3" s="2" t="inlineStr">
        <is>
          <t>Entity ID: cawc_0179   |   Fiscal year ends May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c r="C6" s="21" t="inlineStr">
        <is>
          <t>State Water Board eAR Section 4</t>
        </is>
      </c>
    </row>
    <row r="7">
      <c r="A7" s="19" t="inlineStr">
        <is>
          <t>Total annual revenue (eAR Section 8b B1.8)</t>
        </is>
      </c>
      <c r="B7" s="20" t="n"/>
      <c r="C7" s="21" t="inlineStr">
        <is>
          <t>eAR Section 8b total annual revenue not reported for this system.</t>
        </is>
      </c>
    </row>
    <row r="8">
      <c r="A8" s="19" t="inlineStr">
        <is>
          <t>Primary source</t>
        </is>
      </c>
      <c r="B8" s="20"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Paradise Lake Mutual Water Company</t>
        </is>
      </c>
    </row>
    <row r="2">
      <c r="A2" s="2" t="inlineStr">
        <is>
          <t>Rate structure and representative bill - eAR Section 8a</t>
        </is>
      </c>
    </row>
    <row r="3">
      <c r="A3" s="2" t="inlineStr">
        <is>
          <t>Entity ID: cawc_0179   |   Fiscal year ends May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Paradise Lake Mutual Water Company</t>
        </is>
      </c>
    </row>
    <row r="2">
      <c r="A2" s="2" t="inlineStr">
        <is>
          <t>Operational metrics - plant per acre, density, terrain</t>
        </is>
      </c>
    </row>
    <row r="3">
      <c r="A3" s="2" t="inlineStr">
        <is>
          <t>Entity ID: cawc_0179   |   Fiscal year ends May 31.</t>
        </is>
      </c>
    </row>
    <row r="5">
      <c r="A5" s="6" t="inlineStr">
        <is>
          <t>Plant assets per acre</t>
        </is>
      </c>
      <c r="B5" s="7" t="n"/>
      <c r="C5" s="7" t="n"/>
    </row>
    <row r="6">
      <c r="A6" s="19" t="inlineStr">
        <is>
          <t>Service-area acres</t>
        </is>
      </c>
      <c r="B6" s="25" t="n">
        <v>110.9</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26" t="inlineStr">
        <is>
          <t>FY2021</t>
        </is>
      </c>
      <c r="B8" s="9" t="n"/>
      <c r="C8" s="9" t="n">
        <v>383.3904</v>
      </c>
    </row>
    <row r="9">
      <c r="A9" s="26" t="inlineStr">
        <is>
          <t>FY2022</t>
        </is>
      </c>
      <c r="B9" s="9" t="n"/>
      <c r="C9" s="9" t="n">
        <v>396.853</v>
      </c>
    </row>
    <row r="10">
      <c r="A10" s="26" t="inlineStr">
        <is>
          <t>FY2023</t>
        </is>
      </c>
      <c r="B10" s="9" t="n">
        <v>4808.1876</v>
      </c>
      <c r="C10" s="9" t="n">
        <v>354.9504</v>
      </c>
    </row>
    <row r="11">
      <c r="A11" s="26" t="inlineStr">
        <is>
          <t>FY2024</t>
        </is>
      </c>
      <c r="B11" s="9" t="n">
        <v>4752.8043</v>
      </c>
      <c r="C11" s="9" t="n">
        <v>299.7926</v>
      </c>
    </row>
    <row r="12">
      <c r="A12" s="26" t="inlineStr">
        <is>
          <t>FY2025</t>
        </is>
      </c>
      <c r="B12" s="9" t="n">
        <v>5562.3264</v>
      </c>
      <c r="C12" s="9" t="n">
        <v>1039.7926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19" t="inlineStr">
        <is>
          <t>Connections per acre</t>
        </is>
      </c>
      <c r="B19" s="18" t="n">
        <v>0.6899999999999999</v>
      </c>
      <c r="C19" s="21" t="inlineStr">
        <is>
          <t>76 connections / 110.9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Paradise Lake Mutual Water Company</t>
        </is>
      </c>
    </row>
    <row r="2">
      <c r="A2" s="2" t="inlineStr">
        <is>
          <t>Supply and weather indicators (DWR water year)</t>
        </is>
      </c>
    </row>
    <row r="3">
      <c r="A3" s="2" t="inlineStr">
        <is>
          <t>Entity ID: cawc_0179   |   Fiscal year ends May 31.</t>
        </is>
      </c>
    </row>
    <row r="5" ht="96" customHeight="1">
      <c r="A5" s="3" t="inlineStr">
        <is>
          <t>Reporting calendar: Different reporting periods. The DWR water year runs October 1 to September 30; this system's fiscal year ends May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Paradise Lake Mutual Water Company</t>
        </is>
      </c>
    </row>
    <row r="2">
      <c r="A2" s="2" t="inlineStr">
        <is>
          <t>How this was built - forensic lineage</t>
        </is>
      </c>
    </row>
    <row r="3">
      <c r="A3" s="2" t="inlineStr">
        <is>
          <t>Entity ID: cawc_0179   |   Fiscal year ends May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9" t="inlineStr">
        <is>
          <t>Sources checked</t>
        </is>
      </c>
      <c r="B12" s="21" t="inlineStr">
        <is>
          <t>Form 990 Part VIII line 2 (program-service revenue); State Water Board eAR Section 8b (water-rate revenue B1.1/B1.2); eAR Section 8b filer comment (WRRevenueComments)</t>
        </is>
      </c>
    </row>
    <row r="13" ht="72" customHeight="1">
      <c r="A13" s="19" t="inlineStr">
        <is>
          <t>What was found</t>
        </is>
      </c>
      <c r="B13" s="21" t="inlineStr">
        <is>
          <t>A period-aligned residual cannot be computed for this filer, so the metric is rendered IMPOSSIBLE rather than guessed.</t>
        </is>
      </c>
    </row>
    <row r="14" ht="72" customHeight="1">
      <c r="A14" s="19"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1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Paradise Lake Mutual Water Company</t>
        </is>
      </c>
    </row>
    <row r="2">
      <c r="A2" s="2" t="inlineStr">
        <is>
          <t>Sources &amp; audit - full provenance and tie-outs (kept off the statements so they read clean)</t>
        </is>
      </c>
    </row>
    <row r="3">
      <c r="A3" s="2" t="inlineStr">
        <is>
          <t>Entity ID: cawc_0179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2020-05-31</t>
        </is>
      </c>
      <c r="C10" s="8" t="inlineStr">
        <is>
          <t>990-EZ</t>
        </is>
      </c>
      <c r="D10" s="8" t="inlineStr">
        <is>
          <t>high</t>
        </is>
      </c>
      <c r="E10" s="8" t="inlineStr">
        <is>
          <t>d09c98d4-4a20-4db6-b2d2-7a4b8a68e813</t>
        </is>
      </c>
      <c r="F10" s="8" t="inlineStr">
        <is>
          <t>202012469349200216</t>
        </is>
      </c>
      <c r="G10" s="8" t="inlineStr">
        <is>
          <t>claude-opus-5</t>
        </is>
      </c>
      <c r="H10" s="8" t="inlineStr">
        <is>
          <t>2026-10-06T04:29:04+00:00</t>
        </is>
      </c>
      <c r="I10" s="8" t="inlineStr">
        <is>
          <t>https://apps.irs.gov/pub/epostcard/990/xml/2020/download990xml_2020_3.zip#202012469349200216_public.xml</t>
        </is>
      </c>
    </row>
    <row r="11">
      <c r="A11" s="27" t="inlineStr">
        <is>
          <t>FY2021</t>
        </is>
      </c>
      <c r="B11" s="8" t="inlineStr">
        <is>
          <t>2021-05-31</t>
        </is>
      </c>
      <c r="C11" s="8" t="inlineStr">
        <is>
          <t>990-EZ</t>
        </is>
      </c>
      <c r="D11" s="8" t="inlineStr">
        <is>
          <t>high</t>
        </is>
      </c>
      <c r="E11" s="8" t="inlineStr">
        <is>
          <t>7aa07c15-7905-4fdf-a54a-8e96df8a40ad</t>
        </is>
      </c>
      <c r="F11" s="8" t="inlineStr">
        <is>
          <t>202112809349201806</t>
        </is>
      </c>
      <c r="G11" s="8" t="inlineStr">
        <is>
          <t>claude-opus-5</t>
        </is>
      </c>
      <c r="H11" s="8" t="inlineStr">
        <is>
          <t>2026-10-06T04:29:07+00:00</t>
        </is>
      </c>
      <c r="I11" s="8" t="inlineStr">
        <is>
          <t>https://apps.irs.gov/pub/epostcard/990/xml/2021/2021_TEOS_XML_01A.zip#202112809349201806_public.xml</t>
        </is>
      </c>
    </row>
    <row r="12">
      <c r="A12" s="27" t="inlineStr">
        <is>
          <t>FY2022</t>
        </is>
      </c>
      <c r="B12" s="8" t="inlineStr">
        <is>
          <t>2022-05-31</t>
        </is>
      </c>
      <c r="C12" s="8" t="inlineStr">
        <is>
          <t>990-EZ</t>
        </is>
      </c>
      <c r="D12" s="8" t="inlineStr">
        <is>
          <t>high</t>
        </is>
      </c>
      <c r="E12" s="8" t="inlineStr">
        <is>
          <t>12465fe7-91a0-4064-a344-81c4c825b7b8</t>
        </is>
      </c>
      <c r="F12" s="8" t="inlineStr">
        <is>
          <t>202242499349200449</t>
        </is>
      </c>
      <c r="G12" s="8" t="inlineStr">
        <is>
          <t>claude-opus-5</t>
        </is>
      </c>
      <c r="H12" s="8" t="inlineStr">
        <is>
          <t>2026-10-06T04:29:09+00:00</t>
        </is>
      </c>
      <c r="I12" s="8" t="inlineStr">
        <is>
          <t>https://apps.irs.gov/pub/epostcard/990/xml/2022/2022_TEOS_XML_01A.zip#202242499349200449_public.xml</t>
        </is>
      </c>
    </row>
    <row r="13">
      <c r="A13" s="27" t="inlineStr">
        <is>
          <t>FY2023</t>
        </is>
      </c>
      <c r="B13" s="8" t="inlineStr">
        <is>
          <t>2023-05-31</t>
        </is>
      </c>
      <c r="C13" s="8" t="inlineStr">
        <is>
          <t>990</t>
        </is>
      </c>
      <c r="D13" s="8" t="inlineStr">
        <is>
          <t>high</t>
        </is>
      </c>
      <c r="E13" s="8" t="inlineStr">
        <is>
          <t>ec6080b6-8466-4960-87e2-f86bb1b2d1bd</t>
        </is>
      </c>
      <c r="F13" s="8" t="inlineStr">
        <is>
          <t>202332729349301623</t>
        </is>
      </c>
      <c r="G13" s="8" t="inlineStr">
        <is>
          <t>claude-opus-5</t>
        </is>
      </c>
      <c r="H13" s="8" t="inlineStr">
        <is>
          <t>2026-10-06T04:29:10+00:00</t>
        </is>
      </c>
      <c r="I13" s="8" t="inlineStr">
        <is>
          <t>https://apps.irs.gov/pub/epostcard/990/xml/2023/2023_TEOS_XML_10A.zip#202332729349301623_public.xml</t>
        </is>
      </c>
    </row>
    <row r="14">
      <c r="A14" s="27" t="inlineStr">
        <is>
          <t>FY2024</t>
        </is>
      </c>
      <c r="B14" s="8" t="inlineStr">
        <is>
          <t>2024-05-31</t>
        </is>
      </c>
      <c r="C14" s="8" t="inlineStr">
        <is>
          <t>990</t>
        </is>
      </c>
      <c r="D14" s="8" t="inlineStr">
        <is>
          <t>high</t>
        </is>
      </c>
      <c r="E14" s="8" t="inlineStr">
        <is>
          <t>f1ee4879-d2ff-4d5a-8f07-a7a26874507b</t>
        </is>
      </c>
      <c r="F14" s="8" t="inlineStr">
        <is>
          <t>202412229349301906</t>
        </is>
      </c>
      <c r="G14" s="8" t="inlineStr">
        <is>
          <t>claude-opus-5</t>
        </is>
      </c>
      <c r="H14" s="8" t="inlineStr">
        <is>
          <t>2026-10-06T04:29:11+00:00</t>
        </is>
      </c>
      <c r="I14" s="8" t="inlineStr">
        <is>
          <t>https://apps.irs.gov/pub/epostcard/990/xml/2024/2024_TEOS_XML_08A.zip#202412229349301906_public.xml</t>
        </is>
      </c>
    </row>
    <row r="15">
      <c r="A15" s="27" t="inlineStr">
        <is>
          <t>FY2025</t>
        </is>
      </c>
      <c r="B15" s="8" t="inlineStr">
        <is>
          <t>2025-05-31</t>
        </is>
      </c>
      <c r="C15" s="8" t="inlineStr">
        <is>
          <t>990</t>
        </is>
      </c>
      <c r="D15" s="8" t="inlineStr">
        <is>
          <t>high</t>
        </is>
      </c>
      <c r="E15" s="8" t="inlineStr">
        <is>
          <t>0f83850e-9c5d-40bd-9068-775ed561392c</t>
        </is>
      </c>
      <c r="F15" s="8" t="inlineStr">
        <is>
          <t>202542519349300544</t>
        </is>
      </c>
      <c r="G15" s="8" t="inlineStr">
        <is>
          <t>claude-opus-5</t>
        </is>
      </c>
      <c r="H15" s="8" t="inlineStr">
        <is>
          <t>2026-10-06T04:29:12+00:00</t>
        </is>
      </c>
      <c r="I15" s="8" t="inlineStr">
        <is>
          <t>https://apps.irs.gov/pub/epostcard/990/xml/2025/2025_TEOS_XML_09A.zip#202542519349300544_public.xml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93196</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94032</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91540</v>
      </c>
    </row>
    <row r="22">
      <c r="A22" s="8" t="inlineStr">
        <is>
          <t>Financial Statements</t>
        </is>
      </c>
      <c r="B22" s="8" t="inlineStr">
        <is>
          <t>B74</t>
        </is>
      </c>
      <c r="C22" s="8" t="inlineStr">
        <is>
          <t>11b. Gross income from other sources</t>
        </is>
      </c>
      <c r="D22" s="8" t="inlineStr">
        <is>
          <t>11b</t>
        </is>
      </c>
      <c r="E22" s="8" t="inlineStr">
        <is>
          <t>part_v_other_irs_filings.other_sources_gross_income</t>
        </is>
      </c>
      <c r="F22" s="8" t="inlineStr">
        <is>
          <t>high</t>
        </is>
      </c>
      <c r="G22" s="9" t="n">
        <v>10652</v>
      </c>
    </row>
    <row r="23">
      <c r="A23" s="8" t="inlineStr">
        <is>
          <t>Financial Statements</t>
        </is>
      </c>
      <c r="B23" s="8" t="inlineStr">
        <is>
          <t>C74</t>
        </is>
      </c>
      <c r="C23" s="8" t="inlineStr">
        <is>
          <t>11b. Gross income from other sources</t>
        </is>
      </c>
      <c r="D23" s="8" t="inlineStr">
        <is>
          <t>11b</t>
        </is>
      </c>
      <c r="E23" s="8" t="inlineStr">
        <is>
          <t>part_v_other_irs_filings.other_sources_gross_income</t>
        </is>
      </c>
      <c r="F23" s="8" t="inlineStr">
        <is>
          <t>high</t>
        </is>
      </c>
      <c r="G23" s="9" t="n">
        <v>21118</v>
      </c>
    </row>
    <row r="24">
      <c r="A24" s="8" t="inlineStr">
        <is>
          <t>Financial Statements</t>
        </is>
      </c>
      <c r="B24" s="8" t="inlineStr">
        <is>
          <t>D74</t>
        </is>
      </c>
      <c r="C24" s="8" t="inlineStr">
        <is>
          <t>11b. Gross income from other sources</t>
        </is>
      </c>
      <c r="D24" s="8" t="inlineStr">
        <is>
          <t>11b</t>
        </is>
      </c>
      <c r="E24" s="8" t="inlineStr">
        <is>
          <t>part_v_other_irs_filings.other_sources_gross_income</t>
        </is>
      </c>
      <c r="F24" s="8" t="inlineStr">
        <is>
          <t>high</t>
        </is>
      </c>
      <c r="G24" s="9" t="n">
        <v>20078</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92696</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94032</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91540</v>
      </c>
    </row>
    <row r="28">
      <c r="A28" s="8" t="inlineStr">
        <is>
          <t>Revenue (detail)</t>
        </is>
      </c>
      <c r="B28" s="8" t="inlineStr">
        <is>
          <t>B9</t>
        </is>
      </c>
      <c r="C28" s="8" t="inlineStr">
        <is>
          <t>3. Investment income</t>
        </is>
      </c>
      <c r="D28" s="8" t="inlineStr">
        <is>
          <t>3</t>
        </is>
      </c>
      <c r="E28" s="8" t="inlineStr">
        <is>
          <t>part_viii_revenue.investment_income</t>
        </is>
      </c>
      <c r="F28" s="8" t="inlineStr">
        <is>
          <t>high</t>
        </is>
      </c>
      <c r="G28" s="9" t="n">
        <v>10652</v>
      </c>
    </row>
    <row r="29">
      <c r="A29" s="8" t="inlineStr">
        <is>
          <t>Revenue (detail)</t>
        </is>
      </c>
      <c r="B29" s="8" t="inlineStr">
        <is>
          <t>C9</t>
        </is>
      </c>
      <c r="C29" s="8" t="inlineStr">
        <is>
          <t>3. Investment income</t>
        </is>
      </c>
      <c r="D29" s="8" t="inlineStr">
        <is>
          <t>3</t>
        </is>
      </c>
      <c r="E29" s="8" t="inlineStr">
        <is>
          <t>part_viii_revenue.investment_income</t>
        </is>
      </c>
      <c r="F29" s="8" t="inlineStr">
        <is>
          <t>high</t>
        </is>
      </c>
      <c r="G29" s="9" t="n">
        <v>21118</v>
      </c>
    </row>
    <row r="30">
      <c r="A30" s="8" t="inlineStr">
        <is>
          <t>Revenue (detail)</t>
        </is>
      </c>
      <c r="B30" s="8" t="inlineStr">
        <is>
          <t>D9</t>
        </is>
      </c>
      <c r="C30" s="8" t="inlineStr">
        <is>
          <t>3. Investment income</t>
        </is>
      </c>
      <c r="D30" s="8" t="inlineStr">
        <is>
          <t>3</t>
        </is>
      </c>
      <c r="E30" s="8" t="inlineStr">
        <is>
          <t>part_viii_revenue.investment_income</t>
        </is>
      </c>
      <c r="F30" s="8" t="inlineStr">
        <is>
          <t>high</t>
        </is>
      </c>
      <c r="G30" s="9" t="n">
        <v>20078</v>
      </c>
    </row>
    <row r="31">
      <c r="A31" s="8" t="inlineStr">
        <is>
          <t>Revenue (detail)</t>
        </is>
      </c>
      <c r="B31" s="8" t="inlineStr">
        <is>
          <t>B12</t>
        </is>
      </c>
      <c r="C31" s="8" t="inlineStr">
        <is>
          <t>11e. Other revenue</t>
        </is>
      </c>
      <c r="D31" s="8" t="inlineStr">
        <is>
          <t>11e</t>
        </is>
      </c>
      <c r="E31" s="8" t="inlineStr">
        <is>
          <t>part_viii_revenue.other_revenue_total</t>
        </is>
      </c>
      <c r="F31" s="8" t="inlineStr">
        <is>
          <t>high</t>
        </is>
      </c>
      <c r="G31" s="9" t="n">
        <v>500</v>
      </c>
    </row>
    <row r="32">
      <c r="A32" s="8" t="inlineStr">
        <is>
          <t>Operating expenses (detail)</t>
        </is>
      </c>
      <c r="B32" s="8" t="inlineStr">
        <is>
          <t>B7</t>
        </is>
      </c>
      <c r="C32" s="8" t="inlineStr">
        <is>
          <t>11b. Fees for services: legal</t>
        </is>
      </c>
      <c r="D32" s="8" t="inlineStr">
        <is>
          <t>11b</t>
        </is>
      </c>
      <c r="E32" s="8" t="inlineStr">
        <is>
          <t>part_ix_expenses.fees_legal</t>
        </is>
      </c>
      <c r="F32" s="8" t="inlineStr">
        <is>
          <t>high</t>
        </is>
      </c>
      <c r="G32" s="9" t="n">
        <v>350</v>
      </c>
    </row>
    <row r="33">
      <c r="A33" s="8" t="inlineStr">
        <is>
          <t>Operating expenses (detail)</t>
        </is>
      </c>
      <c r="B33" s="8" t="inlineStr">
        <is>
          <t>B8</t>
        </is>
      </c>
      <c r="C33" s="8" t="inlineStr">
        <is>
          <t>11c. Fees for services: accounting</t>
        </is>
      </c>
      <c r="D33" s="8" t="inlineStr">
        <is>
          <t>11c</t>
        </is>
      </c>
      <c r="E33" s="8" t="inlineStr">
        <is>
          <t>part_ix_expenses.fees_accounting</t>
        </is>
      </c>
      <c r="F33" s="8" t="inlineStr">
        <is>
          <t>high</t>
        </is>
      </c>
      <c r="G33" s="9" t="n">
        <v>24298</v>
      </c>
    </row>
    <row r="34">
      <c r="A34" s="8" t="inlineStr">
        <is>
          <t>Operating expenses (detail)</t>
        </is>
      </c>
      <c r="B34" s="8" t="inlineStr">
        <is>
          <t>C8</t>
        </is>
      </c>
      <c r="C34" s="8" t="inlineStr">
        <is>
          <t>11c. Fees for services: accounting</t>
        </is>
      </c>
      <c r="D34" s="8" t="inlineStr">
        <is>
          <t>11c</t>
        </is>
      </c>
      <c r="E34" s="8" t="inlineStr">
        <is>
          <t>part_ix_expenses.fees_accounting</t>
        </is>
      </c>
      <c r="F34" s="8" t="inlineStr">
        <is>
          <t>high</t>
        </is>
      </c>
      <c r="G34" s="9" t="n">
        <v>18697</v>
      </c>
    </row>
    <row r="35">
      <c r="A35" s="8" t="inlineStr">
        <is>
          <t>Operating expenses (detail)</t>
        </is>
      </c>
      <c r="B35" s="8" t="inlineStr">
        <is>
          <t>D8</t>
        </is>
      </c>
      <c r="C35" s="8" t="inlineStr">
        <is>
          <t>11c. Fees for services: accounting</t>
        </is>
      </c>
      <c r="D35" s="8" t="inlineStr">
        <is>
          <t>11c</t>
        </is>
      </c>
      <c r="E35" s="8" t="inlineStr">
        <is>
          <t>part_ix_expenses.fees_accounting</t>
        </is>
      </c>
      <c r="F35" s="8" t="inlineStr">
        <is>
          <t>high</t>
        </is>
      </c>
      <c r="G35" s="9" t="n">
        <v>18298</v>
      </c>
    </row>
    <row r="36">
      <c r="A36" s="8" t="inlineStr">
        <is>
          <t>Operating expenses (detail)</t>
        </is>
      </c>
      <c r="B36" s="8" t="inlineStr">
        <is>
          <t>B9</t>
        </is>
      </c>
      <c r="C36" s="8" t="inlineStr">
        <is>
          <t>11g. Fees for services: other</t>
        </is>
      </c>
      <c r="D36" s="8" t="inlineStr">
        <is>
          <t>11g</t>
        </is>
      </c>
      <c r="E36" s="8" t="inlineStr">
        <is>
          <t>part_ix_expenses.fees_other</t>
        </is>
      </c>
      <c r="F36" s="8" t="inlineStr">
        <is>
          <t>high</t>
        </is>
      </c>
      <c r="G36" s="9" t="n">
        <v>286</v>
      </c>
    </row>
    <row r="37">
      <c r="A37" s="8" t="inlineStr">
        <is>
          <t>Operating expenses (detail)</t>
        </is>
      </c>
      <c r="B37" s="8" t="inlineStr">
        <is>
          <t>C9</t>
        </is>
      </c>
      <c r="C37" s="8" t="inlineStr">
        <is>
          <t>11g. Fees for services: other</t>
        </is>
      </c>
      <c r="D37" s="8" t="inlineStr">
        <is>
          <t>11g</t>
        </is>
      </c>
      <c r="E37" s="8" t="inlineStr">
        <is>
          <t>part_ix_expenses.fees_other</t>
        </is>
      </c>
      <c r="F37" s="8" t="inlineStr">
        <is>
          <t>high</t>
        </is>
      </c>
      <c r="G37" s="9" t="n">
        <v>397</v>
      </c>
    </row>
    <row r="38">
      <c r="A38" s="8" t="inlineStr">
        <is>
          <t>Operating expenses (detail)</t>
        </is>
      </c>
      <c r="B38" s="8" t="inlineStr">
        <is>
          <t>D9</t>
        </is>
      </c>
      <c r="C38" s="8" t="inlineStr">
        <is>
          <t>11g. Fees for services: other</t>
        </is>
      </c>
      <c r="D38" s="8" t="inlineStr">
        <is>
          <t>11g</t>
        </is>
      </c>
      <c r="E38" s="8" t="inlineStr">
        <is>
          <t>part_ix_expenses.fees_other</t>
        </is>
      </c>
      <c r="F38" s="8" t="inlineStr">
        <is>
          <t>high</t>
        </is>
      </c>
      <c r="G38" s="9" t="n">
        <v>856</v>
      </c>
    </row>
    <row r="39">
      <c r="A39" s="8" t="inlineStr">
        <is>
          <t>Operating expenses (detail)</t>
        </is>
      </c>
      <c r="B39" s="8" t="inlineStr">
        <is>
          <t>B10</t>
        </is>
      </c>
      <c r="C39" s="8" t="inlineStr">
        <is>
          <t>13. Office expenses</t>
        </is>
      </c>
      <c r="D39" s="8" t="inlineStr">
        <is>
          <t>13</t>
        </is>
      </c>
      <c r="E39" s="8" t="inlineStr">
        <is>
          <t>part_ix_expenses.office_expenses</t>
        </is>
      </c>
      <c r="F39" s="8" t="inlineStr">
        <is>
          <t>high</t>
        </is>
      </c>
      <c r="G39" s="9" t="n">
        <v>96</v>
      </c>
    </row>
    <row r="40">
      <c r="A40" s="8" t="inlineStr">
        <is>
          <t>Operating expenses (detail)</t>
        </is>
      </c>
      <c r="B40" s="8" t="inlineStr">
        <is>
          <t>C10</t>
        </is>
      </c>
      <c r="C40" s="8" t="inlineStr">
        <is>
          <t>13. Office expenses</t>
        </is>
      </c>
      <c r="D40" s="8" t="inlineStr">
        <is>
          <t>13</t>
        </is>
      </c>
      <c r="E40" s="8" t="inlineStr">
        <is>
          <t>part_ix_expenses.office_expenses</t>
        </is>
      </c>
      <c r="F40" s="8" t="inlineStr">
        <is>
          <t>high</t>
        </is>
      </c>
      <c r="G40" s="9" t="n">
        <v>240</v>
      </c>
    </row>
    <row r="41">
      <c r="A41" s="8" t="inlineStr">
        <is>
          <t>Operating expenses (detail)</t>
        </is>
      </c>
      <c r="B41" s="8" t="inlineStr">
        <is>
          <t>D10</t>
        </is>
      </c>
      <c r="C41" s="8" t="inlineStr">
        <is>
          <t>13. Office expenses</t>
        </is>
      </c>
      <c r="D41" s="8" t="inlineStr">
        <is>
          <t>13</t>
        </is>
      </c>
      <c r="E41" s="8" t="inlineStr">
        <is>
          <t>part_ix_expenses.office_expenses</t>
        </is>
      </c>
      <c r="F41" s="8" t="inlineStr">
        <is>
          <t>high</t>
        </is>
      </c>
      <c r="G41" s="9" t="n">
        <v>238</v>
      </c>
    </row>
    <row r="42">
      <c r="A42" s="8" t="inlineStr">
        <is>
          <t>Operating expenses (detail)</t>
        </is>
      </c>
      <c r="B42" s="8" t="inlineStr">
        <is>
          <t>B11</t>
        </is>
      </c>
      <c r="C42" s="8" t="inlineStr">
        <is>
          <t>22. Depreciation, depletion, and amortization</t>
        </is>
      </c>
      <c r="D42" s="8" t="inlineStr">
        <is>
          <t>22</t>
        </is>
      </c>
      <c r="E42" s="8" t="inlineStr">
        <is>
          <t>part_ix_expenses.depreciation</t>
        </is>
      </c>
      <c r="F42" s="8" t="inlineStr">
        <is>
          <t>high</t>
        </is>
      </c>
      <c r="G42" s="9" t="n">
        <v>4646</v>
      </c>
    </row>
    <row r="43">
      <c r="A43" s="8" t="inlineStr">
        <is>
          <t>Operating expenses (detail)</t>
        </is>
      </c>
      <c r="B43" s="8" t="inlineStr">
        <is>
          <t>C11</t>
        </is>
      </c>
      <c r="C43" s="8" t="inlineStr">
        <is>
          <t>22. Depreciation, depletion, and amortization</t>
        </is>
      </c>
      <c r="D43" s="8" t="inlineStr">
        <is>
          <t>22</t>
        </is>
      </c>
      <c r="E43" s="8" t="inlineStr">
        <is>
          <t>part_ix_expenses.depreciation</t>
        </is>
      </c>
      <c r="F43" s="8" t="inlineStr">
        <is>
          <t>high</t>
        </is>
      </c>
      <c r="G43" s="9" t="n">
        <v>4085</v>
      </c>
    </row>
    <row r="44">
      <c r="A44" s="8" t="inlineStr">
        <is>
          <t>Operating expenses (detail)</t>
        </is>
      </c>
      <c r="B44" s="8" t="inlineStr">
        <is>
          <t>D11</t>
        </is>
      </c>
      <c r="C44" s="8" t="inlineStr">
        <is>
          <t>22. Depreciation, depletion, and amortization</t>
        </is>
      </c>
      <c r="D44" s="8" t="inlineStr">
        <is>
          <t>22</t>
        </is>
      </c>
      <c r="E44" s="8" t="inlineStr">
        <is>
          <t>part_ix_expenses.depreciation</t>
        </is>
      </c>
      <c r="F44" s="8" t="inlineStr">
        <is>
          <t>high</t>
        </is>
      </c>
      <c r="G44" s="9" t="n">
        <v>7710</v>
      </c>
    </row>
    <row r="45">
      <c r="A45" s="8" t="inlineStr">
        <is>
          <t>Operating expenses (detail)</t>
        </is>
      </c>
      <c r="B45" s="8" t="inlineStr">
        <is>
          <t>B12</t>
        </is>
      </c>
      <c r="C45" s="8" t="inlineStr">
        <is>
          <t>23. Insurance</t>
        </is>
      </c>
      <c r="D45" s="8" t="inlineStr">
        <is>
          <t>23</t>
        </is>
      </c>
      <c r="E45" s="8" t="inlineStr">
        <is>
          <t>part_ix_expenses.insurance</t>
        </is>
      </c>
      <c r="F45" s="8" t="inlineStr">
        <is>
          <t>high</t>
        </is>
      </c>
      <c r="G45" s="9" t="n">
        <v>1673</v>
      </c>
    </row>
    <row r="46">
      <c r="A46" s="8" t="inlineStr">
        <is>
          <t>Operating expenses (detail)</t>
        </is>
      </c>
      <c r="B46" s="8" t="inlineStr">
        <is>
          <t>C12</t>
        </is>
      </c>
      <c r="C46" s="8" t="inlineStr">
        <is>
          <t>23. Insurance</t>
        </is>
      </c>
      <c r="D46" s="8" t="inlineStr">
        <is>
          <t>23</t>
        </is>
      </c>
      <c r="E46" s="8" t="inlineStr">
        <is>
          <t>part_ix_expenses.insurance</t>
        </is>
      </c>
      <c r="F46" s="8" t="inlineStr">
        <is>
          <t>high</t>
        </is>
      </c>
      <c r="G46" s="9" t="n">
        <v>1796</v>
      </c>
    </row>
    <row r="47">
      <c r="A47" s="8" t="inlineStr">
        <is>
          <t>Operating expenses (detail)</t>
        </is>
      </c>
      <c r="B47" s="8" t="inlineStr">
        <is>
          <t>D12</t>
        </is>
      </c>
      <c r="C47" s="8" t="inlineStr">
        <is>
          <t>23. Insurance</t>
        </is>
      </c>
      <c r="D47" s="8" t="inlineStr">
        <is>
          <t>23</t>
        </is>
      </c>
      <c r="E47" s="8" t="inlineStr">
        <is>
          <t>part_ix_expenses.insurance</t>
        </is>
      </c>
      <c r="F47" s="8" t="inlineStr">
        <is>
          <t>high</t>
        </is>
      </c>
      <c r="G47" s="9" t="n">
        <v>1824</v>
      </c>
    </row>
    <row r="48">
      <c r="A48" s="8" t="inlineStr">
        <is>
          <t>Operating expenses (detail)</t>
        </is>
      </c>
      <c r="B48" s="8" t="inlineStr">
        <is>
          <t>B17</t>
        </is>
      </c>
      <c r="C48" s="8" t="inlineStr">
        <is>
          <t>24e. All other expenses</t>
        </is>
      </c>
      <c r="D48" s="8" t="inlineStr">
        <is>
          <t>24e</t>
        </is>
      </c>
      <c r="E48" s="8" t="inlineStr">
        <is>
          <t>part_ix_expenses.all_other_expenses</t>
        </is>
      </c>
      <c r="F48" s="8" t="inlineStr">
        <is>
          <t>high</t>
        </is>
      </c>
      <c r="G48" s="9" t="n">
        <v>4146</v>
      </c>
    </row>
    <row r="49">
      <c r="A49" s="8" t="inlineStr">
        <is>
          <t>Operating expenses (detail)</t>
        </is>
      </c>
      <c r="B49" s="8" t="inlineStr">
        <is>
          <t>C17</t>
        </is>
      </c>
      <c r="C49" s="8" t="inlineStr">
        <is>
          <t>24e. All other expenses</t>
        </is>
      </c>
      <c r="D49" s="8" t="inlineStr">
        <is>
          <t>24e</t>
        </is>
      </c>
      <c r="E49" s="8" t="inlineStr">
        <is>
          <t>part_ix_expenses.all_other_expenses</t>
        </is>
      </c>
      <c r="F49" s="8" t="inlineStr">
        <is>
          <t>high</t>
        </is>
      </c>
      <c r="G49" s="9" t="n">
        <v>2960</v>
      </c>
    </row>
    <row r="50">
      <c r="A50" s="8" t="inlineStr">
        <is>
          <t>Operating expenses (detail)</t>
        </is>
      </c>
      <c r="B50" s="8" t="inlineStr">
        <is>
          <t>D17</t>
        </is>
      </c>
      <c r="C50" s="8" t="inlineStr">
        <is>
          <t>24e. All other expenses</t>
        </is>
      </c>
      <c r="D50" s="8" t="inlineStr">
        <is>
          <t>24e</t>
        </is>
      </c>
      <c r="E50" s="8" t="inlineStr">
        <is>
          <t>part_ix_expenses.all_other_expenses</t>
        </is>
      </c>
      <c r="F50" s="8" t="inlineStr">
        <is>
          <t>high</t>
        </is>
      </c>
      <c r="G50" s="9" t="n">
        <v>2719</v>
      </c>
    </row>
    <row r="51">
      <c r="A51" s="8" t="inlineStr">
        <is>
          <t>Balance sheet (detail)</t>
        </is>
      </c>
      <c r="B51" s="8" t="inlineStr">
        <is>
          <t>B7</t>
        </is>
      </c>
      <c r="C51" s="8" t="inlineStr">
        <is>
          <t>1. Cash - non-interest-bearing</t>
        </is>
      </c>
      <c r="D51" s="8" t="inlineStr">
        <is>
          <t>1E</t>
        </is>
      </c>
      <c r="E51" s="8" t="inlineStr">
        <is>
          <t>part_x_balance_sheet.cash_noninterest_eoy</t>
        </is>
      </c>
      <c r="F51" s="8" t="inlineStr">
        <is>
          <t>high</t>
        </is>
      </c>
      <c r="G51" s="9" t="n">
        <v>57754</v>
      </c>
    </row>
    <row r="52">
      <c r="A52" s="8" t="inlineStr">
        <is>
          <t>Balance sheet (detail)</t>
        </is>
      </c>
      <c r="B52" s="8" t="inlineStr">
        <is>
          <t>C7</t>
        </is>
      </c>
      <c r="C52" s="8" t="inlineStr">
        <is>
          <t>1. Cash - non-interest-bearing</t>
        </is>
      </c>
      <c r="D52" s="8" t="inlineStr">
        <is>
          <t>1E</t>
        </is>
      </c>
      <c r="E52" s="8" t="inlineStr">
        <is>
          <t>part_x_balance_sheet.cash_noninterest_eoy</t>
        </is>
      </c>
      <c r="F52" s="8" t="inlineStr">
        <is>
          <t>high</t>
        </is>
      </c>
      <c r="G52" s="9" t="n">
        <v>99814</v>
      </c>
    </row>
    <row r="53">
      <c r="A53" s="8" t="inlineStr">
        <is>
          <t>Balance sheet (detail)</t>
        </is>
      </c>
      <c r="B53" s="8" t="inlineStr">
        <is>
          <t>D7</t>
        </is>
      </c>
      <c r="C53" s="8" t="inlineStr">
        <is>
          <t>1. Cash - non-interest-bearing</t>
        </is>
      </c>
      <c r="D53" s="8" t="inlineStr">
        <is>
          <t>1E</t>
        </is>
      </c>
      <c r="E53" s="8" t="inlineStr">
        <is>
          <t>part_x_balance_sheet.cash_noninterest_eoy</t>
        </is>
      </c>
      <c r="F53" s="8" t="inlineStr">
        <is>
          <t>high</t>
        </is>
      </c>
      <c r="G53" s="9" t="n">
        <v>24178</v>
      </c>
    </row>
    <row r="54">
      <c r="A54" s="8" t="inlineStr">
        <is>
          <t>Balance sheet (detail)</t>
        </is>
      </c>
      <c r="B54" s="8" t="inlineStr">
        <is>
          <t>B8</t>
        </is>
      </c>
      <c r="C54" s="8" t="inlineStr">
        <is>
          <t>2. Savings and temporary cash investments</t>
        </is>
      </c>
      <c r="D54" s="8" t="inlineStr">
        <is>
          <t>2E</t>
        </is>
      </c>
      <c r="E54" s="8" t="inlineStr">
        <is>
          <t>part_x_balance_sheet.savings_temp_invest_eoy</t>
        </is>
      </c>
      <c r="F54" s="8" t="inlineStr">
        <is>
          <t>high</t>
        </is>
      </c>
      <c r="G54" s="9" t="n">
        <v>393665</v>
      </c>
    </row>
    <row r="55">
      <c r="A55" s="8" t="inlineStr">
        <is>
          <t>Balance sheet (detail)</t>
        </is>
      </c>
      <c r="B55" s="8" t="inlineStr">
        <is>
          <t>C8</t>
        </is>
      </c>
      <c r="C55" s="8" t="inlineStr">
        <is>
          <t>2. Savings and temporary cash investments</t>
        </is>
      </c>
      <c r="D55" s="8" t="inlineStr">
        <is>
          <t>2E</t>
        </is>
      </c>
      <c r="E55" s="8" t="inlineStr">
        <is>
          <t>part_x_balance_sheet.savings_temp_invest_eoy</t>
        </is>
      </c>
      <c r="F55" s="8" t="inlineStr">
        <is>
          <t>high</t>
        </is>
      </c>
      <c r="G55" s="9" t="n">
        <v>414783</v>
      </c>
    </row>
    <row r="56">
      <c r="A56" s="8" t="inlineStr">
        <is>
          <t>Balance sheet (detail)</t>
        </is>
      </c>
      <c r="B56" s="8" t="inlineStr">
        <is>
          <t>D8</t>
        </is>
      </c>
      <c r="C56" s="8" t="inlineStr">
        <is>
          <t>2. Savings and temporary cash investments</t>
        </is>
      </c>
      <c r="D56" s="8" t="inlineStr">
        <is>
          <t>2E</t>
        </is>
      </c>
      <c r="E56" s="8" t="inlineStr">
        <is>
          <t>part_x_balance_sheet.savings_temp_invest_eoy</t>
        </is>
      </c>
      <c r="F56" s="8" t="inlineStr">
        <is>
          <t>high</t>
        </is>
      </c>
      <c r="G56" s="9" t="n">
        <v>434861</v>
      </c>
    </row>
    <row r="57">
      <c r="A57" s="8" t="inlineStr">
        <is>
          <t>Balance sheet (detail)</t>
        </is>
      </c>
      <c r="B57" s="8" t="inlineStr">
        <is>
          <t>B9</t>
        </is>
      </c>
      <c r="C57" s="8" t="inlineStr">
        <is>
          <t>4. Accounts receivable, net</t>
        </is>
      </c>
      <c r="D57" s="8" t="inlineStr">
        <is>
          <t>4E</t>
        </is>
      </c>
      <c r="E57" s="8" t="inlineStr">
        <is>
          <t>part_x_balance_sheet.accounts_receivable_eoy</t>
        </is>
      </c>
      <c r="F57" s="8" t="inlineStr">
        <is>
          <t>high</t>
        </is>
      </c>
      <c r="G57" s="9" t="n">
        <v>1867</v>
      </c>
    </row>
    <row r="58">
      <c r="A58" s="8" t="inlineStr">
        <is>
          <t>Balance sheet (detail)</t>
        </is>
      </c>
      <c r="B58" s="8" t="inlineStr">
        <is>
          <t>C9</t>
        </is>
      </c>
      <c r="C58" s="8" t="inlineStr">
        <is>
          <t>4. Accounts receivable, net</t>
        </is>
      </c>
      <c r="D58" s="8" t="inlineStr">
        <is>
          <t>4E</t>
        </is>
      </c>
      <c r="E58" s="8" t="inlineStr">
        <is>
          <t>part_x_balance_sheet.accounts_receivable_eoy</t>
        </is>
      </c>
      <c r="F58" s="8" t="inlineStr">
        <is>
          <t>high</t>
        </is>
      </c>
      <c r="G58" s="9" t="n">
        <v>3343</v>
      </c>
    </row>
    <row r="59">
      <c r="A59" s="8" t="inlineStr">
        <is>
          <t>Balance sheet (detail)</t>
        </is>
      </c>
      <c r="B59" s="8" t="inlineStr">
        <is>
          <t>D9</t>
        </is>
      </c>
      <c r="C59" s="8" t="inlineStr">
        <is>
          <t>4. Accounts receivable, net</t>
        </is>
      </c>
      <c r="D59" s="8" t="inlineStr">
        <is>
          <t>4E</t>
        </is>
      </c>
      <c r="E59" s="8" t="inlineStr">
        <is>
          <t>part_x_balance_sheet.accounts_receivable_eoy</t>
        </is>
      </c>
      <c r="F59" s="8" t="inlineStr">
        <is>
          <t>high</t>
        </is>
      </c>
      <c r="G59" s="9" t="n">
        <v>1871</v>
      </c>
    </row>
    <row r="60">
      <c r="A60" s="8" t="inlineStr">
        <is>
          <t>Balance sheet (detail)</t>
        </is>
      </c>
      <c r="B60" s="8" t="inlineStr">
        <is>
          <t>B10</t>
        </is>
      </c>
      <c r="C60" s="8" t="inlineStr">
        <is>
          <t>9. Prepaid expenses and deferred charges</t>
        </is>
      </c>
      <c r="D60" s="8" t="inlineStr">
        <is>
          <t>9E</t>
        </is>
      </c>
      <c r="E60" s="8" t="inlineStr">
        <is>
          <t>part_x_balance_sheet.prepaid_expenses_eoy</t>
        </is>
      </c>
      <c r="F60" s="8" t="inlineStr">
        <is>
          <t>high</t>
        </is>
      </c>
      <c r="G60" s="9" t="n">
        <v>13172</v>
      </c>
    </row>
    <row r="61">
      <c r="A61" s="8" t="inlineStr">
        <is>
          <t>Balance sheet (detail)</t>
        </is>
      </c>
      <c r="B61" s="8" t="inlineStr">
        <is>
          <t>C10</t>
        </is>
      </c>
      <c r="C61" s="8" t="inlineStr">
        <is>
          <t>9. Prepaid expenses and deferred charges</t>
        </is>
      </c>
      <c r="D61" s="8" t="inlineStr">
        <is>
          <t>9E</t>
        </is>
      </c>
      <c r="E61" s="8" t="inlineStr">
        <is>
          <t>part_x_balance_sheet.prepaid_expenses_eoy</t>
        </is>
      </c>
      <c r="F61" s="8" t="inlineStr">
        <is>
          <t>high</t>
        </is>
      </c>
      <c r="G61" s="9" t="n">
        <v>5216</v>
      </c>
    </row>
    <row r="62">
      <c r="A62" s="8" t="inlineStr">
        <is>
          <t>Balance sheet (detail)</t>
        </is>
      </c>
      <c r="B62" s="8" t="inlineStr">
        <is>
          <t>D10</t>
        </is>
      </c>
      <c r="C62" s="8" t="inlineStr">
        <is>
          <t>9. Prepaid expenses and deferred charges</t>
        </is>
      </c>
      <c r="D62" s="8" t="inlineStr">
        <is>
          <t>9E</t>
        </is>
      </c>
      <c r="E62" s="8" t="inlineStr">
        <is>
          <t>part_x_balance_sheet.prepaid_expenses_eoy</t>
        </is>
      </c>
      <c r="F62" s="8" t="inlineStr">
        <is>
          <t>high</t>
        </is>
      </c>
      <c r="G62" s="9" t="n">
        <v>2566</v>
      </c>
    </row>
    <row r="63">
      <c r="A63" s="8" t="inlineStr">
        <is>
          <t>Balance sheet (detail)</t>
        </is>
      </c>
      <c r="B63" s="8" t="inlineStr">
        <is>
          <t>B11</t>
        </is>
      </c>
      <c r="C63" s="8" t="inlineStr">
        <is>
          <t>10c. Land, buildings, and equipment, net</t>
        </is>
      </c>
      <c r="D63" s="8" t="inlineStr">
        <is>
          <t>10cE</t>
        </is>
      </c>
      <c r="E63" s="8" t="inlineStr">
        <is>
          <t>part_x_balance_sheet.land_bldg_equip_net_eoy</t>
        </is>
      </c>
      <c r="F63" s="8" t="inlineStr">
        <is>
          <t>high</t>
        </is>
      </c>
      <c r="G63" s="9" t="n">
        <v>39364</v>
      </c>
    </row>
    <row r="64">
      <c r="A64" s="8" t="inlineStr">
        <is>
          <t>Balance sheet (detail)</t>
        </is>
      </c>
      <c r="B64" s="8" t="inlineStr">
        <is>
          <t>C11</t>
        </is>
      </c>
      <c r="C64" s="8" t="inlineStr">
        <is>
          <t>10c. Land, buildings, and equipment, net</t>
        </is>
      </c>
      <c r="D64" s="8" t="inlineStr">
        <is>
          <t>10cE</t>
        </is>
      </c>
      <c r="E64" s="8" t="inlineStr">
        <is>
          <t>part_x_balance_sheet.land_bldg_equip_net_eoy</t>
        </is>
      </c>
      <c r="F64" s="8" t="inlineStr">
        <is>
          <t>high</t>
        </is>
      </c>
      <c r="G64" s="9" t="n">
        <v>33247</v>
      </c>
    </row>
    <row r="65">
      <c r="A65" s="8" t="inlineStr">
        <is>
          <t>Balance sheet (detail)</t>
        </is>
      </c>
      <c r="B65" s="8" t="inlineStr">
        <is>
          <t>D11</t>
        </is>
      </c>
      <c r="C65" s="8" t="inlineStr">
        <is>
          <t>10c. Land, buildings, and equipment, net</t>
        </is>
      </c>
      <c r="D65" s="8" t="inlineStr">
        <is>
          <t>10cE</t>
        </is>
      </c>
      <c r="E65" s="8" t="inlineStr">
        <is>
          <t>part_x_balance_sheet.land_bldg_equip_net_eoy</t>
        </is>
      </c>
      <c r="F65" s="8" t="inlineStr">
        <is>
          <t>high</t>
        </is>
      </c>
      <c r="G65" s="9" t="n">
        <v>115313</v>
      </c>
    </row>
    <row r="66">
      <c r="A66" s="8" t="inlineStr">
        <is>
          <t>Balance sheet (detail)</t>
        </is>
      </c>
      <c r="B66" s="8" t="inlineStr">
        <is>
          <t>B15</t>
        </is>
      </c>
      <c r="C66" s="8" t="inlineStr">
        <is>
          <t>17. Accounts payable and accrued expenses</t>
        </is>
      </c>
      <c r="D66" s="8" t="inlineStr">
        <is>
          <t>17E</t>
        </is>
      </c>
      <c r="E66" s="8" t="inlineStr">
        <is>
          <t>part_x_balance_sheet.accounts_payable_eoy</t>
        </is>
      </c>
      <c r="F66" s="8" t="inlineStr">
        <is>
          <t>high</t>
        </is>
      </c>
      <c r="G66" s="9" t="n">
        <v>21435</v>
      </c>
    </row>
    <row r="67">
      <c r="A67" s="8" t="inlineStr">
        <is>
          <t>Balance sheet (detail)</t>
        </is>
      </c>
      <c r="B67" s="8" t="inlineStr">
        <is>
          <t>C15</t>
        </is>
      </c>
      <c r="C67" s="8" t="inlineStr">
        <is>
          <t>17. Accounts payable and accrued expenses</t>
        </is>
      </c>
      <c r="D67" s="8" t="inlineStr">
        <is>
          <t>17E</t>
        </is>
      </c>
      <c r="E67" s="8" t="inlineStr">
        <is>
          <t>part_x_balance_sheet.accounts_payable_eoy</t>
        </is>
      </c>
      <c r="F67" s="8" t="inlineStr">
        <is>
          <t>high</t>
        </is>
      </c>
      <c r="G67" s="9" t="n">
        <v>16798</v>
      </c>
    </row>
    <row r="68">
      <c r="A68" s="8" t="inlineStr">
        <is>
          <t>Balance sheet (detail)</t>
        </is>
      </c>
      <c r="B68" s="8" t="inlineStr">
        <is>
          <t>D15</t>
        </is>
      </c>
      <c r="C68" s="8" t="inlineStr">
        <is>
          <t>17. Accounts payable and accrued expenses</t>
        </is>
      </c>
      <c r="D68" s="8" t="inlineStr">
        <is>
          <t>17E</t>
        </is>
      </c>
      <c r="E68" s="8" t="inlineStr">
        <is>
          <t>part_x_balance_sheet.accounts_payable_eoy</t>
        </is>
      </c>
      <c r="F68" s="8" t="inlineStr">
        <is>
          <t>high</t>
        </is>
      </c>
      <c r="G68" s="9" t="n">
        <v>907</v>
      </c>
    </row>
    <row r="69">
      <c r="A69" s="8" t="inlineStr">
        <is>
          <t>Balance sheet (detail)</t>
        </is>
      </c>
      <c r="B69" s="8" t="inlineStr">
        <is>
          <t>B16</t>
        </is>
      </c>
      <c r="C69" s="8" t="inlineStr">
        <is>
          <t>19. Deferred revenue</t>
        </is>
      </c>
      <c r="D69" s="8" t="inlineStr">
        <is>
          <t>19E</t>
        </is>
      </c>
      <c r="E69" s="8" t="inlineStr">
        <is>
          <t>part_x_balance_sheet.deferred_revenue_eoy</t>
        </is>
      </c>
      <c r="F69" s="8" t="inlineStr">
        <is>
          <t>high</t>
        </is>
      </c>
      <c r="G69" s="9" t="n">
        <v>8245</v>
      </c>
    </row>
    <row r="70">
      <c r="A70" s="8" t="inlineStr">
        <is>
          <t>Balance sheet (detail)</t>
        </is>
      </c>
      <c r="B70" s="8" t="inlineStr">
        <is>
          <t>C16</t>
        </is>
      </c>
      <c r="C70" s="8" t="inlineStr">
        <is>
          <t>19. Deferred revenue</t>
        </is>
      </c>
      <c r="D70" s="8" t="inlineStr">
        <is>
          <t>19E</t>
        </is>
      </c>
      <c r="E70" s="8" t="inlineStr">
        <is>
          <t>part_x_balance_sheet.deferred_revenue_eoy</t>
        </is>
      </c>
      <c r="F70" s="8" t="inlineStr">
        <is>
          <t>high</t>
        </is>
      </c>
      <c r="G70" s="9" t="n">
        <v>7279</v>
      </c>
    </row>
    <row r="71">
      <c r="A71" s="8" t="inlineStr">
        <is>
          <t>Balance sheet (detail)</t>
        </is>
      </c>
      <c r="B71" s="8" t="inlineStr">
        <is>
          <t>D16</t>
        </is>
      </c>
      <c r="C71" s="8" t="inlineStr">
        <is>
          <t>19. Deferred revenue</t>
        </is>
      </c>
      <c r="D71" s="8" t="inlineStr">
        <is>
          <t>19E</t>
        </is>
      </c>
      <c r="E71" s="8" t="inlineStr">
        <is>
          <t>part_x_balance_sheet.deferred_revenue_eoy</t>
        </is>
      </c>
      <c r="F71" s="8" t="inlineStr">
        <is>
          <t>high</t>
        </is>
      </c>
      <c r="G71" s="9" t="n">
        <v>6573</v>
      </c>
    </row>
    <row r="72">
      <c r="A72" s="8" t="inlineStr">
        <is>
          <t>Balance sheet (detail)</t>
        </is>
      </c>
      <c r="B72" s="8" t="inlineStr">
        <is>
          <t>C17</t>
        </is>
      </c>
      <c r="C72" s="8" t="inlineStr">
        <is>
          <t>25. Other liabilities</t>
        </is>
      </c>
      <c r="D72" s="8" t="inlineStr">
        <is>
          <t>25E</t>
        </is>
      </c>
      <c r="E72" s="8" t="inlineStr">
        <is>
          <t>part_x_balance_sheet.other_liabilities_eoy</t>
        </is>
      </c>
      <c r="F72" s="8" t="inlineStr">
        <is>
          <t>high</t>
        </is>
      </c>
      <c r="G72" s="9" t="n">
        <v>3016</v>
      </c>
    </row>
    <row r="73">
      <c r="A73" s="8" t="inlineStr">
        <is>
          <t>Balance sheet (detail)</t>
        </is>
      </c>
      <c r="B73" s="8" t="inlineStr">
        <is>
          <t>D17</t>
        </is>
      </c>
      <c r="C73" s="8" t="inlineStr">
        <is>
          <t>25. Other liabilities</t>
        </is>
      </c>
      <c r="D73" s="8" t="inlineStr">
        <is>
          <t>25E</t>
        </is>
      </c>
      <c r="E73" s="8" t="inlineStr">
        <is>
          <t>part_x_balance_sheet.other_liabilities_eoy</t>
        </is>
      </c>
      <c r="F73" s="8" t="inlineStr">
        <is>
          <t>high</t>
        </is>
      </c>
      <c r="G73" s="9" t="n">
        <v>0</v>
      </c>
    </row>
    <row r="74">
      <c r="A74" s="8" t="inlineStr">
        <is>
          <t>Balance sheet (detail)</t>
        </is>
      </c>
      <c r="B74" s="8" t="inlineStr">
        <is>
          <t>B21</t>
        </is>
      </c>
      <c r="C74" s="8" t="inlineStr">
        <is>
          <t>27. Net assets without donor restrictions</t>
        </is>
      </c>
      <c r="D74" s="8" t="inlineStr">
        <is>
          <t>27E</t>
        </is>
      </c>
      <c r="E74" s="8" t="inlineStr">
        <is>
          <t>part_x_balance_sheet.net_assets_no_donor_restriction_eoy</t>
        </is>
      </c>
      <c r="F74" s="8" t="inlineStr">
        <is>
          <t>high</t>
        </is>
      </c>
      <c r="G74" s="9" t="n">
        <v>476142</v>
      </c>
    </row>
    <row r="75">
      <c r="A75" s="8" t="inlineStr">
        <is>
          <t>Balance sheet (detail)</t>
        </is>
      </c>
      <c r="B75" s="8" t="inlineStr">
        <is>
          <t>C21</t>
        </is>
      </c>
      <c r="C75" s="8" t="inlineStr">
        <is>
          <t>27. Net assets without donor restrictions</t>
        </is>
      </c>
      <c r="D75" s="8" t="inlineStr">
        <is>
          <t>27E</t>
        </is>
      </c>
      <c r="E75" s="8" t="inlineStr">
        <is>
          <t>part_x_balance_sheet.net_assets_no_donor_restriction_eoy</t>
        </is>
      </c>
      <c r="F75" s="8" t="inlineStr">
        <is>
          <t>high</t>
        </is>
      </c>
      <c r="G75" s="9" t="n">
        <v>529310</v>
      </c>
    </row>
    <row r="76">
      <c r="A76" s="8" t="inlineStr">
        <is>
          <t>Balance sheet (detail)</t>
        </is>
      </c>
      <c r="B76" s="8" t="inlineStr">
        <is>
          <t>D21</t>
        </is>
      </c>
      <c r="C76" s="8" t="inlineStr">
        <is>
          <t>27. Net assets without donor restrictions</t>
        </is>
      </c>
      <c r="D76" s="8" t="inlineStr">
        <is>
          <t>27E</t>
        </is>
      </c>
      <c r="E76" s="8" t="inlineStr">
        <is>
          <t>part_x_balance_sheet.net_assets_no_donor_restriction_eoy</t>
        </is>
      </c>
      <c r="F76" s="8" t="inlineStr">
        <is>
          <t>high</t>
        </is>
      </c>
      <c r="G76" s="9" t="n">
        <v>571309</v>
      </c>
    </row>
    <row r="77">
      <c r="A77" s="8" t="inlineStr">
        <is>
          <t>Net-assets reconciliation</t>
        </is>
      </c>
      <c r="B77" s="8" t="inlineStr">
        <is>
          <t>B7</t>
        </is>
      </c>
      <c r="C77" s="8" t="inlineStr">
        <is>
          <t>4. Net assets, beginning of year</t>
        </is>
      </c>
      <c r="D77" s="8" t="inlineStr">
        <is>
          <t>Part XI line 4</t>
        </is>
      </c>
      <c r="E77" s="8" t="inlineStr">
        <is>
          <t>part_xi_reconciliation.net_assets_boy</t>
        </is>
      </c>
      <c r="F77" s="8" t="inlineStr">
        <is>
          <t>high</t>
        </is>
      </c>
      <c r="G77" s="9" t="n">
        <v>429272</v>
      </c>
    </row>
    <row r="78">
      <c r="A78" s="8" t="inlineStr">
        <is>
          <t>Net-assets reconciliation</t>
        </is>
      </c>
      <c r="B78" s="8" t="inlineStr">
        <is>
          <t>C7</t>
        </is>
      </c>
      <c r="C78" s="8" t="inlineStr">
        <is>
          <t>4. Net assets, beginning of year</t>
        </is>
      </c>
      <c r="D78" s="8" t="inlineStr">
        <is>
          <t>Part XI line 4</t>
        </is>
      </c>
      <c r="E78" s="8" t="inlineStr">
        <is>
          <t>part_xi_reconciliation.net_assets_boy</t>
        </is>
      </c>
      <c r="F78" s="8" t="inlineStr">
        <is>
          <t>high</t>
        </is>
      </c>
      <c r="G78" s="9" t="n">
        <v>476142</v>
      </c>
    </row>
    <row r="79">
      <c r="A79" s="8" t="inlineStr">
        <is>
          <t>Net-assets reconciliation</t>
        </is>
      </c>
      <c r="B79" s="8" t="inlineStr">
        <is>
          <t>D7</t>
        </is>
      </c>
      <c r="C79" s="8" t="inlineStr">
        <is>
          <t>4. Net assets, beginning of year</t>
        </is>
      </c>
      <c r="D79" s="8" t="inlineStr">
        <is>
          <t>Part XI line 4</t>
        </is>
      </c>
      <c r="E79" s="8" t="inlineStr">
        <is>
          <t>part_xi_reconciliation.net_assets_boy</t>
        </is>
      </c>
      <c r="F79" s="8" t="inlineStr">
        <is>
          <t>high</t>
        </is>
      </c>
      <c r="G79" s="9" t="n">
        <v>529310</v>
      </c>
    </row>
    <row r="80">
      <c r="A80" s="8" t="inlineStr">
        <is>
          <t>Net-assets reconciliation</t>
        </is>
      </c>
      <c r="B80" s="8" t="inlineStr">
        <is>
          <t>B8</t>
        </is>
      </c>
      <c r="C80" s="8" t="inlineStr">
        <is>
          <t>3. Revenue less expenses</t>
        </is>
      </c>
      <c r="D80" s="8" t="inlineStr">
        <is>
          <t>Part XI line 3</t>
        </is>
      </c>
      <c r="E80" s="8" t="inlineStr">
        <is>
          <t>part_xi_reconciliation.reconciliation_revenue_expenses</t>
        </is>
      </c>
      <c r="F80" s="8" t="inlineStr">
        <is>
          <t>high</t>
        </is>
      </c>
      <c r="G80" s="9" t="n">
        <v>46870</v>
      </c>
    </row>
    <row r="81">
      <c r="A81" s="8" t="inlineStr">
        <is>
          <t>Net-assets reconciliation</t>
        </is>
      </c>
      <c r="B81" s="8" t="inlineStr">
        <is>
          <t>C8</t>
        </is>
      </c>
      <c r="C81" s="8" t="inlineStr">
        <is>
          <t>3. Revenue less expenses</t>
        </is>
      </c>
      <c r="D81" s="8" t="inlineStr">
        <is>
          <t>Part XI line 3</t>
        </is>
      </c>
      <c r="E81" s="8" t="inlineStr">
        <is>
          <t>part_xi_reconciliation.reconciliation_revenue_expenses</t>
        </is>
      </c>
      <c r="F81" s="8" t="inlineStr">
        <is>
          <t>high</t>
        </is>
      </c>
      <c r="G81" s="9" t="n">
        <v>53168</v>
      </c>
    </row>
    <row r="82">
      <c r="A82" s="8" t="inlineStr">
        <is>
          <t>Net-assets reconciliation</t>
        </is>
      </c>
      <c r="B82" s="8" t="inlineStr">
        <is>
          <t>D8</t>
        </is>
      </c>
      <c r="C82" s="8" t="inlineStr">
        <is>
          <t>3. Revenue less expenses</t>
        </is>
      </c>
      <c r="D82" s="8" t="inlineStr">
        <is>
          <t>Part XI line 3</t>
        </is>
      </c>
      <c r="E82" s="8" t="inlineStr">
        <is>
          <t>part_xi_reconciliation.reconciliation_revenue_expenses</t>
        </is>
      </c>
      <c r="F82" s="8" t="inlineStr">
        <is>
          <t>high</t>
        </is>
      </c>
      <c r="G82" s="9" t="n">
        <v>41999</v>
      </c>
    </row>
    <row r="83">
      <c r="A83" s="8" t="inlineStr">
        <is>
          <t>Net-assets reconciliation</t>
        </is>
      </c>
      <c r="B83" s="8" t="inlineStr">
        <is>
          <t>B10</t>
        </is>
      </c>
      <c r="C83" s="8" t="inlineStr">
        <is>
          <t>9. Other changes in net assets</t>
        </is>
      </c>
      <c r="D83" s="8" t="inlineStr">
        <is>
          <t>Part XI line 9</t>
        </is>
      </c>
      <c r="E83" s="8" t="inlineStr">
        <is>
          <t>part_xi_reconciliation.other_changes_net_assets</t>
        </is>
      </c>
      <c r="F83" s="8" t="inlineStr">
        <is>
          <t>high</t>
        </is>
      </c>
      <c r="G83" s="9" t="n">
        <v>0</v>
      </c>
    </row>
    <row r="84">
      <c r="A84" s="8" t="inlineStr">
        <is>
          <t>Net-assets reconciliation</t>
        </is>
      </c>
      <c r="B84" s="8" t="inlineStr">
        <is>
          <t>C10</t>
        </is>
      </c>
      <c r="C84" s="8" t="inlineStr">
        <is>
          <t>9. Other changes in net assets</t>
        </is>
      </c>
      <c r="D84" s="8" t="inlineStr">
        <is>
          <t>Part XI line 9</t>
        </is>
      </c>
      <c r="E84" s="8" t="inlineStr">
        <is>
          <t>part_xi_reconciliation.other_changes_net_assets</t>
        </is>
      </c>
      <c r="F84" s="8" t="inlineStr">
        <is>
          <t>high</t>
        </is>
      </c>
      <c r="G84" s="9" t="n">
        <v>0</v>
      </c>
    </row>
    <row r="85">
      <c r="A85" s="8" t="inlineStr">
        <is>
          <t>Net-assets reconciliation</t>
        </is>
      </c>
      <c r="B85" s="8" t="inlineStr">
        <is>
          <t>D10</t>
        </is>
      </c>
      <c r="C85" s="8" t="inlineStr">
        <is>
          <t>9. Other changes in net assets</t>
        </is>
      </c>
      <c r="D85" s="8" t="inlineStr">
        <is>
          <t>Part XI line 9</t>
        </is>
      </c>
      <c r="E85" s="8" t="inlineStr">
        <is>
          <t>part_xi_reconciliation.other_changes_net_assets</t>
        </is>
      </c>
      <c r="F85" s="8" t="inlineStr">
        <is>
          <t>high</t>
        </is>
      </c>
      <c r="G85" s="9" t="n">
        <v>0</v>
      </c>
    </row>
    <row r="87">
      <c r="A87" s="29" t="inlineStr">
        <is>
          <t>C. Tie-out checks (filed vs computed; any nonzero variance is flagged red)</t>
        </is>
      </c>
      <c r="B87" s="7" t="n"/>
      <c r="C87" s="7" t="n"/>
      <c r="D87" s="7" t="n"/>
      <c r="E87" s="7" t="n"/>
      <c r="F87" s="7" t="n"/>
      <c r="G87" s="7" t="n"/>
      <c r="H87" s="7" t="n"/>
      <c r="I87" s="7" t="n"/>
      <c r="J87" s="7" t="n"/>
      <c r="K87" s="7" t="n"/>
    </row>
    <row r="88">
      <c r="A88" s="5" t="inlineStr">
        <is>
          <t>Tab</t>
        </is>
      </c>
      <c r="B88" s="5" t="inlineStr">
        <is>
          <t>Check</t>
        </is>
      </c>
      <c r="C88" s="5" t="inlineStr">
        <is>
          <t>Fiscal year</t>
        </is>
      </c>
      <c r="D88" s="5" t="inlineStr">
        <is>
          <t>Filed</t>
        </is>
      </c>
      <c r="E88" s="5" t="inlineStr">
        <is>
          <t>Computed</t>
        </is>
      </c>
      <c r="F88" s="5" t="inlineStr">
        <is>
          <t>Variance (computed - filed)</t>
        </is>
      </c>
    </row>
    <row r="89">
      <c r="A89" s="26" t="inlineStr">
        <is>
          <t>Revenue (detail)</t>
        </is>
      </c>
      <c r="B89" s="26" t="inlineStr">
        <is>
          <t>12. Total revenue</t>
        </is>
      </c>
      <c r="C89" s="26" t="inlineStr">
        <is>
          <t>FY2023</t>
        </is>
      </c>
      <c r="D89" s="9" t="n">
        <v>103848</v>
      </c>
      <c r="E89" s="9">
        <f>'Revenue (detail)'!B13</f>
        <v/>
      </c>
      <c r="F89" s="9">
        <f>E89-D89</f>
        <v/>
      </c>
    </row>
    <row r="90">
      <c r="A90" s="26" t="inlineStr">
        <is>
          <t>Revenue (detail)</t>
        </is>
      </c>
      <c r="B90" s="26" t="inlineStr">
        <is>
          <t>12. Total revenue</t>
        </is>
      </c>
      <c r="C90" s="26" t="inlineStr">
        <is>
          <t>FY2024</t>
        </is>
      </c>
      <c r="D90" s="9" t="n">
        <v>115150</v>
      </c>
      <c r="E90" s="9">
        <f>'Revenue (detail)'!C13</f>
        <v/>
      </c>
      <c r="F90" s="9">
        <f>E90-D90</f>
        <v/>
      </c>
    </row>
    <row r="91">
      <c r="A91" s="26" t="inlineStr">
        <is>
          <t>Revenue (detail)</t>
        </is>
      </c>
      <c r="B91" s="26" t="inlineStr">
        <is>
          <t>12. Total revenue</t>
        </is>
      </c>
      <c r="C91" s="26" t="inlineStr">
        <is>
          <t>FY2025</t>
        </is>
      </c>
      <c r="D91" s="9" t="n">
        <v>111618</v>
      </c>
      <c r="E91" s="9">
        <f>'Revenue (detail)'!D13</f>
        <v/>
      </c>
      <c r="F91" s="9">
        <f>E91-D91</f>
        <v/>
      </c>
    </row>
    <row r="92">
      <c r="A92" s="26" t="inlineStr">
        <is>
          <t>Revenue (detail)</t>
        </is>
      </c>
      <c r="B92" s="26" t="inlineStr">
        <is>
          <t>2g program service revenue = sum of lines 2a-2f (FY2025)</t>
        </is>
      </c>
      <c r="C92" s="26" t="inlineStr">
        <is>
          <t>FY2025</t>
        </is>
      </c>
      <c r="D92" s="9" t="n">
        <v>91540</v>
      </c>
      <c r="E92" s="9">
        <f>SUM('Revenue (detail)'!C17:C17)</f>
        <v/>
      </c>
      <c r="F92" s="9">
        <f>E92-D92</f>
        <v/>
      </c>
    </row>
    <row r="93">
      <c r="A93" s="26" t="inlineStr">
        <is>
          <t>Operating expenses (detail)</t>
        </is>
      </c>
      <c r="B93" s="26" t="inlineStr">
        <is>
          <t>25. Total functional expenses</t>
        </is>
      </c>
      <c r="C93" s="26" t="inlineStr">
        <is>
          <t>FY2023</t>
        </is>
      </c>
      <c r="D93" s="9" t="n">
        <v>56978</v>
      </c>
      <c r="E93" s="9">
        <f>'Operating expenses (detail)'!B18</f>
        <v/>
      </c>
      <c r="F93" s="9">
        <f>E93-D93</f>
        <v/>
      </c>
    </row>
    <row r="94">
      <c r="A94" s="26" t="inlineStr">
        <is>
          <t>Operating expenses (detail)</t>
        </is>
      </c>
      <c r="B94" s="26" t="inlineStr">
        <is>
          <t>25. Total functional expenses</t>
        </is>
      </c>
      <c r="C94" s="26" t="inlineStr">
        <is>
          <t>FY2024</t>
        </is>
      </c>
      <c r="D94" s="9" t="n">
        <v>61982</v>
      </c>
      <c r="E94" s="9">
        <f>'Operating expenses (detail)'!C18</f>
        <v/>
      </c>
      <c r="F94" s="9">
        <f>E94-D94</f>
        <v/>
      </c>
    </row>
    <row r="95">
      <c r="A95" s="26" t="inlineStr">
        <is>
          <t>Operating expenses (detail)</t>
        </is>
      </c>
      <c r="B95" s="26" t="inlineStr">
        <is>
          <t>25. Total functional expenses</t>
        </is>
      </c>
      <c r="C95" s="26" t="inlineStr">
        <is>
          <t>FY2025</t>
        </is>
      </c>
      <c r="D95" s="9" t="n">
        <v>69619</v>
      </c>
      <c r="E95" s="9">
        <f>'Operating expenses (detail)'!D18</f>
        <v/>
      </c>
      <c r="F95" s="9">
        <f>E95-D95</f>
        <v/>
      </c>
    </row>
    <row r="96">
      <c r="A96" s="26" t="inlineStr">
        <is>
          <t>Balance sheet (detail)</t>
        </is>
      </c>
      <c r="B96" s="26" t="inlineStr">
        <is>
          <t>16. Total assets</t>
        </is>
      </c>
      <c r="C96" s="26" t="inlineStr">
        <is>
          <t>FY2023</t>
        </is>
      </c>
      <c r="D96" s="9" t="n">
        <v>505822</v>
      </c>
      <c r="E96" s="9">
        <f>'Balance sheet (detail)'!B12</f>
        <v/>
      </c>
      <c r="F96" s="9">
        <f>E96-D96</f>
        <v/>
      </c>
    </row>
    <row r="97">
      <c r="A97" s="26" t="inlineStr">
        <is>
          <t>Balance sheet (detail)</t>
        </is>
      </c>
      <c r="B97" s="26" t="inlineStr">
        <is>
          <t>16. Total assets</t>
        </is>
      </c>
      <c r="C97" s="26" t="inlineStr">
        <is>
          <t>FY2024</t>
        </is>
      </c>
      <c r="D97" s="9" t="n">
        <v>556403</v>
      </c>
      <c r="E97" s="9">
        <f>'Balance sheet (detail)'!C12</f>
        <v/>
      </c>
      <c r="F97" s="9">
        <f>E97-D97</f>
        <v/>
      </c>
    </row>
    <row r="98">
      <c r="A98" s="26" t="inlineStr">
        <is>
          <t>Balance sheet (detail)</t>
        </is>
      </c>
      <c r="B98" s="26" t="inlineStr">
        <is>
          <t>16. Total assets</t>
        </is>
      </c>
      <c r="C98" s="26" t="inlineStr">
        <is>
          <t>FY2025</t>
        </is>
      </c>
      <c r="D98" s="9" t="n">
        <v>578789</v>
      </c>
      <c r="E98" s="9">
        <f>'Balance sheet (detail)'!D12</f>
        <v/>
      </c>
      <c r="F98" s="9">
        <f>E98-D98</f>
        <v/>
      </c>
    </row>
    <row r="99">
      <c r="A99" s="26" t="inlineStr">
        <is>
          <t>Balance sheet (detail)</t>
        </is>
      </c>
      <c r="B99" s="26" t="inlineStr">
        <is>
          <t>26. Total liabilities</t>
        </is>
      </c>
      <c r="C99" s="26" t="inlineStr">
        <is>
          <t>FY2023</t>
        </is>
      </c>
      <c r="D99" s="9" t="n">
        <v>29680</v>
      </c>
      <c r="E99" s="9">
        <f>'Balance sheet (detail)'!B18</f>
        <v/>
      </c>
      <c r="F99" s="9">
        <f>E99-D99</f>
        <v/>
      </c>
    </row>
    <row r="100">
      <c r="A100" s="26" t="inlineStr">
        <is>
          <t>Balance sheet (detail)</t>
        </is>
      </c>
      <c r="B100" s="26" t="inlineStr">
        <is>
          <t>26. Total liabilities</t>
        </is>
      </c>
      <c r="C100" s="26" t="inlineStr">
        <is>
          <t>FY2024</t>
        </is>
      </c>
      <c r="D100" s="9" t="n">
        <v>27093</v>
      </c>
      <c r="E100" s="9">
        <f>'Balance sheet (detail)'!C18</f>
        <v/>
      </c>
      <c r="F100" s="9">
        <f>E100-D100</f>
        <v/>
      </c>
    </row>
    <row r="101">
      <c r="A101" s="26" t="inlineStr">
        <is>
          <t>Balance sheet (detail)</t>
        </is>
      </c>
      <c r="B101" s="26" t="inlineStr">
        <is>
          <t>26. Total liabilities</t>
        </is>
      </c>
      <c r="C101" s="26" t="inlineStr">
        <is>
          <t>FY2025</t>
        </is>
      </c>
      <c r="D101" s="9" t="n">
        <v>7480</v>
      </c>
      <c r="E101" s="9">
        <f>'Balance sheet (detail)'!D18</f>
        <v/>
      </c>
      <c r="F101" s="9">
        <f>E101-D101</f>
        <v/>
      </c>
    </row>
    <row r="102">
      <c r="A102" s="26" t="inlineStr">
        <is>
          <t>Balance sheet (detail)</t>
        </is>
      </c>
      <c r="B102" s="26" t="inlineStr">
        <is>
          <t>32. Total net assets / fund balances</t>
        </is>
      </c>
      <c r="C102" s="26" t="inlineStr">
        <is>
          <t>FY2023</t>
        </is>
      </c>
      <c r="D102" s="9" t="n">
        <v>476142</v>
      </c>
      <c r="E102" s="9">
        <f>'Balance sheet (detail)'!B22</f>
        <v/>
      </c>
      <c r="F102" s="9">
        <f>E102-D102</f>
        <v/>
      </c>
    </row>
    <row r="103">
      <c r="A103" s="26" t="inlineStr">
        <is>
          <t>Balance sheet (detail)</t>
        </is>
      </c>
      <c r="B103" s="26" t="inlineStr">
        <is>
          <t>32. Total net assets / fund balances</t>
        </is>
      </c>
      <c r="C103" s="26" t="inlineStr">
        <is>
          <t>FY2024</t>
        </is>
      </c>
      <c r="D103" s="9" t="n">
        <v>529310</v>
      </c>
      <c r="E103" s="9">
        <f>'Balance sheet (detail)'!C22</f>
        <v/>
      </c>
      <c r="F103" s="9">
        <f>E103-D103</f>
        <v/>
      </c>
    </row>
    <row r="104">
      <c r="A104" s="26" t="inlineStr">
        <is>
          <t>Balance sheet (detail)</t>
        </is>
      </c>
      <c r="B104" s="26" t="inlineStr">
        <is>
          <t>32. Total net assets / fund balances</t>
        </is>
      </c>
      <c r="C104" s="26" t="inlineStr">
        <is>
          <t>FY2025</t>
        </is>
      </c>
      <c r="D104" s="9" t="n">
        <v>571309</v>
      </c>
      <c r="E104" s="9">
        <f>'Balance sheet (detail)'!D22</f>
        <v/>
      </c>
      <c r="F104" s="9">
        <f>E104-D104</f>
        <v/>
      </c>
    </row>
    <row r="105">
      <c r="A105" s="26" t="inlineStr">
        <is>
          <t>Balance sheet (detail)</t>
        </is>
      </c>
      <c r="B105" s="26" t="inlineStr">
        <is>
          <t>Balance sheet identity: line 16 = line 26 + line 32 (EOY)</t>
        </is>
      </c>
      <c r="C105" s="26" t="inlineStr">
        <is>
          <t>FY2023</t>
        </is>
      </c>
      <c r="D105" s="9">
        <f>'Balance sheet (detail)'!B12</f>
        <v/>
      </c>
      <c r="E105" s="9">
        <f>SUM('Balance sheet (detail)'!B18,'Balance sheet (detail)'!B22)</f>
        <v/>
      </c>
      <c r="F105" s="9">
        <f>E105-D105</f>
        <v/>
      </c>
    </row>
    <row r="106">
      <c r="A106" s="26" t="inlineStr">
        <is>
          <t>Balance sheet (detail)</t>
        </is>
      </c>
      <c r="B106" s="26" t="inlineStr">
        <is>
          <t>Balance sheet identity: line 16 = line 26 + line 32 (EOY)</t>
        </is>
      </c>
      <c r="C106" s="26" t="inlineStr">
        <is>
          <t>FY2024</t>
        </is>
      </c>
      <c r="D106" s="9">
        <f>'Balance sheet (detail)'!C12</f>
        <v/>
      </c>
      <c r="E106" s="9">
        <f>SUM('Balance sheet (detail)'!C18,'Balance sheet (detail)'!C22)</f>
        <v/>
      </c>
      <c r="F106" s="9">
        <f>E106-D106</f>
        <v/>
      </c>
    </row>
    <row r="107">
      <c r="A107" s="26" t="inlineStr">
        <is>
          <t>Balance sheet (detail)</t>
        </is>
      </c>
      <c r="B107" s="26" t="inlineStr">
        <is>
          <t>Balance sheet identity: line 16 = line 26 + line 32 (EOY)</t>
        </is>
      </c>
      <c r="C107" s="26" t="inlineStr">
        <is>
          <t>FY2025</t>
        </is>
      </c>
      <c r="D107" s="9">
        <f>'Balance sheet (detail)'!D12</f>
        <v/>
      </c>
      <c r="E107" s="9">
        <f>SUM('Balance sheet (detail)'!D18,'Balance sheet (detail)'!D22)</f>
        <v/>
      </c>
      <c r="F107" s="9">
        <f>E107-D107</f>
        <v/>
      </c>
    </row>
    <row r="108">
      <c r="A108" s="26" t="inlineStr">
        <is>
          <t>Net-assets reconciliation</t>
        </is>
      </c>
      <c r="B108" s="26" t="inlineStr">
        <is>
          <t>10. Net assets, end of year</t>
        </is>
      </c>
      <c r="C108" s="26" t="inlineStr">
        <is>
          <t>FY2023</t>
        </is>
      </c>
      <c r="D108" s="9" t="n">
        <v>476142</v>
      </c>
      <c r="E108" s="9">
        <f>'Net-assets reconciliation'!B11</f>
        <v/>
      </c>
      <c r="F108" s="9">
        <f>E108-D108</f>
        <v/>
      </c>
    </row>
    <row r="109">
      <c r="A109" s="26" t="inlineStr">
        <is>
          <t>Net-assets reconciliation</t>
        </is>
      </c>
      <c r="B109" s="26" t="inlineStr">
        <is>
          <t>10. Net assets, end of year</t>
        </is>
      </c>
      <c r="C109" s="26" t="inlineStr">
        <is>
          <t>FY2024</t>
        </is>
      </c>
      <c r="D109" s="9" t="n">
        <v>529310</v>
      </c>
      <c r="E109" s="9">
        <f>'Net-assets reconciliation'!C11</f>
        <v/>
      </c>
      <c r="F109" s="9">
        <f>E109-D109</f>
        <v/>
      </c>
    </row>
    <row r="110">
      <c r="A110" s="26" t="inlineStr">
        <is>
          <t>Net-assets reconciliation</t>
        </is>
      </c>
      <c r="B110" s="26" t="inlineStr">
        <is>
          <t>10. Net assets, end of year</t>
        </is>
      </c>
      <c r="C110" s="26" t="inlineStr">
        <is>
          <t>FY2025</t>
        </is>
      </c>
      <c r="D110" s="9" t="n">
        <v>571309</v>
      </c>
      <c r="E110" s="9">
        <f>'Net-assets reconciliation'!D11</f>
        <v/>
      </c>
      <c r="F110" s="9">
        <f>E110-D110</f>
        <v/>
      </c>
    </row>
    <row r="112">
      <c r="A112" s="29" t="inlineStr">
        <is>
          <t>D. Preparer / auditor trail (one row per fiscal year, as filed)</t>
        </is>
      </c>
      <c r="B112" s="7" t="n"/>
      <c r="C112" s="7" t="n"/>
      <c r="D112" s="7" t="n"/>
      <c r="E112" s="7" t="n"/>
      <c r="F112" s="7" t="n"/>
      <c r="G112" s="7" t="n"/>
      <c r="H112" s="7" t="n"/>
      <c r="I112" s="7" t="n"/>
      <c r="J112" s="7" t="n"/>
      <c r="K112" s="7" t="n"/>
    </row>
    <row r="113">
      <c r="A113" s="5" t="inlineStr">
        <is>
          <t>Fiscal year</t>
        </is>
      </c>
      <c r="B113" s="5" t="inlineStr">
        <is>
          <t>Paid preparer</t>
        </is>
      </c>
      <c r="C113" s="5" t="inlineStr">
        <is>
          <t>Preparer firm</t>
        </is>
      </c>
      <c r="D113" s="5" t="inlineStr">
        <is>
          <t>Independent auditor</t>
        </is>
      </c>
      <c r="E113" s="5" t="inlineStr">
        <is>
          <t>Citation</t>
        </is>
      </c>
    </row>
    <row r="114" ht="42" customHeight="1">
      <c r="A114" s="27" t="inlineStr">
        <is>
          <t>FY2023</t>
        </is>
      </c>
      <c r="B114" s="8" t="inlineStr">
        <is>
          <t>KIELY HOLCOMB CPA</t>
        </is>
      </c>
      <c r="C114" s="8" t="inlineStr">
        <is>
          <t>CLIFTONLARSONALLEN LLP</t>
        </is>
      </c>
      <c r="D114" s="30" t="inlineStr">
        <is>
          <t>not reported</t>
        </is>
      </c>
      <c r="E114" s="20" t="inlineStr">
        <is>
          <t>Form 990 Return Header, Paid Preparer block (return_header.preparer_person_name / preparer_firm_name); auditor: Part XII line 2 reports audited financial statements but does not name the firm.</t>
        </is>
      </c>
    </row>
    <row r="115" ht="42" customHeight="1">
      <c r="A115" s="27" t="inlineStr">
        <is>
          <t>FY2024</t>
        </is>
      </c>
      <c r="B115" s="8" t="inlineStr">
        <is>
          <t>KIELY HOLCOMB CPA</t>
        </is>
      </c>
      <c r="C115" s="8" t="inlineStr">
        <is>
          <t>CLIFTONLARSONALLEN LLP</t>
        </is>
      </c>
      <c r="D115" s="30" t="inlineStr">
        <is>
          <t>not reported</t>
        </is>
      </c>
      <c r="E115" s="20" t="inlineStr">
        <is>
          <t>Form 990 Return Header, Paid Preparer block (return_header.preparer_person_name / preparer_firm_name); auditor: Part XII line 2 reports audited financial statements but does not name the firm.</t>
        </is>
      </c>
    </row>
    <row r="116" ht="42" customHeight="1">
      <c r="A116" s="27" t="inlineStr">
        <is>
          <t>FY2025</t>
        </is>
      </c>
      <c r="B116" s="8" t="inlineStr">
        <is>
          <t>KIELY HOLCOMB CPA</t>
        </is>
      </c>
      <c r="C116" s="8" t="inlineStr">
        <is>
          <t>CLIFTONLARSONALLEN LLP</t>
        </is>
      </c>
      <c r="D116" s="30" t="inlineStr">
        <is>
          <t>not reported</t>
        </is>
      </c>
      <c r="E116" s="20" t="inlineStr">
        <is>
          <t>Form 990 Return Header, Paid Preparer block (return_header.preparer_person_name / preparer_firm_name); auditor: Part XII line 2 reports audited financial statements but does not name the firm.</t>
        </is>
      </c>
    </row>
    <row r="118" ht="42" customHeight="1">
      <c r="A11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18:K118"/>
    <mergeCell ref="A3:K3"/>
    <mergeCell ref="A2:K2"/>
    <mergeCell ref="A5:K5"/>
    <mergeCell ref="A1:K1"/>
  </mergeCells>
  <conditionalFormatting sqref="F89:F11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